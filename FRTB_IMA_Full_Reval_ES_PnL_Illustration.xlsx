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95b87dc0f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Overview" sheetId="1" r:id="R89af46ec0e3f409b"/>
    <x:sheet xmlns:r="http://schemas.openxmlformats.org/officeDocument/2006/relationships" name="02_Assumptions" sheetId="2" r:id="R13bed840e5864c14"/>
    <x:sheet xmlns:r="http://schemas.openxmlformats.org/officeDocument/2006/relationships" name="03_Curve_Base_Shocks" sheetId="3" r:id="R4b14ef7c4a134d59"/>
    <x:sheet xmlns:r="http://schemas.openxmlformats.org/officeDocument/2006/relationships" name="04_Curve_Build_Steps" sheetId="4" r:id="R0c5f86649dec48b9"/>
    <x:sheet xmlns:r="http://schemas.openxmlformats.org/officeDocument/2006/relationships" name="05_Swaption_Surface" sheetId="5" r:id="R41cbf8b04d544dd4"/>
    <x:sheet xmlns:r="http://schemas.openxmlformats.org/officeDocument/2006/relationships" name="06_Swaption_Build_Steps" sheetId="6" r:id="R611eaef859ee4dcf"/>
    <x:sheet xmlns:r="http://schemas.openxmlformats.org/officeDocument/2006/relationships" name="08_Pricing_Helper" sheetId="7" r:id="R49d4d8cfca364708"/>
    <x:sheet xmlns:r="http://schemas.openxmlformats.org/officeDocument/2006/relationships" name="07_Full_Reval_PnL" sheetId="8" r:id="R224cc34b124d40ae"/>
    <x:sheet xmlns:r="http://schemas.openxmlformats.org/officeDocument/2006/relationships" name="09_ES_Vector_Template" sheetId="9" r:id="Rb08d3c8f04ae4a1e"/>
    <x:sheet xmlns:r="http://schemas.openxmlformats.org/officeDocument/2006/relationships" name="10_References" sheetId="10" r:id="R4b556dcb2c86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dd-mmm-yyyy"/>
    <x:numFmt numFmtId="201" formatCode="0"/>
    <x:numFmt numFmtId="202" formatCode="$#,##0;[Red]($#,##0);-"/>
    <x:numFmt numFmtId="203" formatCode="0.000"/>
    <x:numFmt numFmtId="204" formatCode="0.0000%;[Red](0.0000%);-"/>
    <x:numFmt numFmtId="205" formatCode="0.0;[Red](0.0);-"/>
    <x:numFmt numFmtId="206" formatCode="0.00%"/>
    <x:numFmt numFmtId="207" formatCode="0.0000"/>
    <x:numFmt numFmtId="208" formatCode="0.0%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8"/>
      <x:color rgb="FF7030A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sz val="11"/>
      <x:color rgb="FF7030A0"/>
      <x:name val="Carlito"/>
    </x:font>
    <x:font>
      <x:b/>
      <x:sz val="12"/>
      <x:color rgb="FF7030A0"/>
      <x:name val="Carlito"/>
    </x:font>
    <x:font>
      <x:sz val="11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0" fontId="8" fillId="0" borderId="0" xfId="0" applyNumberFormat="1" applyFont="1" applyFill="1" applyBorder="1"/>
    <x:xf numFmtId="204" fontId="8" fillId="0" borderId="0" xfId="0" applyNumberFormat="1" applyFont="1" applyFill="1" applyBorder="1"/>
    <x:xf numFmtId="205" fontId="8" fillId="0" borderId="0" xfId="0" applyNumberFormat="1" applyFont="1" applyFill="1" applyBorder="1"/>
    <x:xf numFmtId="0" fontId="8" fillId="0" borderId="1" xfId="0" applyNumberFormat="1" applyFont="1" applyFill="1" applyBorder="1"/>
    <x:xf numFmtId="204" fontId="8" fillId="0" borderId="1" xfId="0" applyNumberFormat="1" applyFont="1" applyFill="1" applyBorder="1"/>
    <x:xf numFmtId="205" fontId="8" fillId="0" borderId="1" xfId="0" applyNumberFormat="1" applyFont="1" applyFill="1" applyBorder="1"/>
    <x:xf numFmtId="203" fontId="8" fillId="0" borderId="0" xfId="0" applyNumberFormat="1" applyFont="1" applyFill="1" applyBorder="1"/>
    <x:xf numFmtId="203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0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5" fontId="6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5" fontId="6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205" fontId="6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205" fontId="4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205" fontId="6" fillId="6" borderId="1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5" fontId="4" fillId="6" borderId="1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205" fontId="6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205" fontId="6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6" fontId="8" fillId="0" borderId="0" xfId="0" applyNumberFormat="1" applyFont="1" applyFill="1" applyBorder="1"/>
    <x:xf numFmtId="206" fontId="8" fillId="0" borderId="1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horizont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10" fillId="8" borderId="1" xfId="0" applyNumberFormat="1" applyFont="1" applyFill="1" applyBorder="1"/>
    <x:xf numFmtId="0" fontId="10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horizontal="center" wrapText="1"/>
    </x:xf>
    <x:xf numFmtId="0" fontId="10" fillId="8" borderId="1" xfId="0" applyNumberFormat="1" applyFont="1" applyFill="1" applyBorder="1" applyAlignment="1">
      <x:alignment horizontal="center" vertical="center" wrapText="1"/>
    </x:xf>
    <x:xf numFmtId="205" fontId="7" fillId="0" borderId="0" xfId="0" applyNumberFormat="1" applyFont="1" applyFill="1" applyBorder="1"/>
    <x:xf numFmtId="205" fontId="7" fillId="0" borderId="1" xfId="0" applyNumberFormat="1" applyFont="1" applyFill="1" applyBorder="1"/>
    <x:xf numFmtId="202" fontId="8" fillId="0" borderId="0" xfId="0" applyNumberFormat="1" applyFont="1" applyFill="1" applyBorder="1"/>
    <x:xf numFmtId="202" fontId="8" fillId="0" borderId="1" xfId="0" applyNumberFormat="1" applyFont="1" applyFill="1" applyBorder="1"/>
    <x:xf numFmtId="207" fontId="6" fillId="0" borderId="0" xfId="0" applyNumberFormat="1" applyFont="1" applyFill="1" applyBorder="1"/>
    <x:xf numFmtId="207" fontId="6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8" fillId="8" borderId="0" xfId="0" applyNumberFormat="1" applyFont="1" applyFill="1" applyBorder="1"/>
    <x:xf numFmtId="202" fontId="4" fillId="8" borderId="0" xfId="0" applyNumberFormat="1" applyFont="1" applyFill="1" applyBorder="1"/>
    <x:xf numFmtId="202" fontId="8" fillId="8" borderId="1" xfId="0" applyNumberFormat="1" applyFont="1" applyFill="1" applyBorder="1"/>
    <x:xf numFmtId="202" fontId="4" fillId="8" borderId="1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2" fontId="7" fillId="6" borderId="0" xfId="0" applyNumberFormat="1" applyFont="1" applyFill="1" applyBorder="1"/>
    <x:xf numFmtId="202" fontId="0" fillId="6" borderId="0" xfId="0" applyNumberFormat="1" applyFont="1" applyFill="1" applyBorder="1"/>
    <x:xf numFmtId="202" fontId="4" fillId="6" borderId="0" xfId="0" applyNumberFormat="1" applyFont="1" applyFill="1" applyBorder="1"/>
    <x:xf numFmtId="202" fontId="7" fillId="6" borderId="1" xfId="0" applyNumberFormat="1" applyFont="1" applyFill="1" applyBorder="1"/>
    <x:xf numFmtId="202" fontId="0" fillId="6" borderId="1" xfId="0" applyNumberFormat="1" applyFont="1" applyFill="1" applyBorder="1"/>
    <x:xf numFmtId="202" fontId="4" fillId="6" borderId="1" xfId="0" applyNumberFormat="1" applyFont="1" applyFill="1" applyBorder="1"/>
    <x:xf numFmtId="202" fontId="7" fillId="8" borderId="0" xfId="0" applyNumberFormat="1" applyFont="1" applyFill="1" applyBorder="1"/>
    <x:xf numFmtId="202" fontId="7" fillId="8" borderId="1" xfId="0" applyNumberFormat="1" applyFont="1" applyFill="1" applyBorder="1"/>
    <x:xf numFmtId="208" fontId="6" fillId="0" borderId="0" xfId="0" applyNumberFormat="1" applyFont="1" applyFill="1" applyBorder="1"/>
    <x:xf numFmtId="208" fontId="6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0" fontId="6" fillId="7" borderId="0" xfId="0" applyNumberFormat="1" applyFont="1" applyFill="1" applyBorder="1"/>
    <x:xf numFmtId="202" fontId="6" fillId="7" borderId="0" xfId="0" applyNumberFormat="1" applyFont="1" applyFill="1" applyBorder="1"/>
    <x:xf numFmtId="200" fontId="6" fillId="7" borderId="1" xfId="0" applyNumberFormat="1" applyFont="1" applyFill="1" applyBorder="1"/>
    <x:xf numFmtId="202" fontId="6" fillId="7" borderId="1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3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3" fontId="8" fillId="0" borderId="1" xfId="0" applyNumberFormat="1" applyFont="1" applyFill="1" applyBorder="1" applyAlignment="1">
      <x:alignment vertical="center"/>
    </x:xf>
    <x:xf numFmtId="204" fontId="8" fillId="0" borderId="1" xfId="0" applyNumberFormat="1" applyFont="1" applyFill="1" applyBorder="1" applyAlignment="1">
      <x:alignment vertical="center"/>
    </x:xf>
    <x:xf numFmtId="205" fontId="8" fillId="0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205" fontId="4" fillId="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5" fontId="6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205" fontId="6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5" fontId="4" fillId="6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5" fontId="6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205" fontId="6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/>
    </x:xf>
    <x:xf numFmtId="206" fontId="6" fillId="0" borderId="1" xfId="0" applyNumberFormat="1" applyFont="1" applyFill="1" applyBorder="1" applyAlignment="1">
      <x:alignment vertical="center"/>
    </x:xf>
    <x:xf numFmtId="206" fontId="8" fillId="0" borderId="1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/>
    </x:xf>
    <x:xf numFmtId="202" fontId="4" fillId="6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2" fillId="7" borderId="1" xfId="0" applyNumberFormat="1" applyFont="1" applyFill="1" applyBorder="1" applyAlignment="1">
      <x:alignment vertical="center" wrapText="1"/>
    </x:xf>
    <x:xf numFmtId="202" fontId="8" fillId="0" borderId="1" xfId="0" applyNumberFormat="1" applyFont="1" applyFill="1" applyBorder="1" applyAlignment="1">
      <x:alignment vertical="center"/>
    </x:xf>
    <x:xf numFmtId="202" fontId="4" fillId="6" borderId="1" xfId="0" applyNumberFormat="1" applyFont="1" applyFill="1" applyBorder="1" applyAlignment="1">
      <x:alignment vertical="center"/>
    </x:xf>
    <x:xf numFmtId="202" fontId="7" fillId="0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202" fontId="4" fillId="8" borderId="1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7" fontId="6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5" fontId="7" fillId="0" borderId="1" xfId="0" applyNumberFormat="1" applyFont="1" applyFill="1" applyBorder="1" applyAlignment="1">
      <x:alignment vertical="center"/>
    </x:xf>
    <x:xf numFmtId="207" fontId="6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8" fontId="6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6" fillId="7" borderId="0" xfId="0" applyNumberFormat="1" applyFont="1" applyFill="1" applyBorder="1" applyAlignment="1">
      <x:alignment vertical="center"/>
    </x:xf>
    <x:xf numFmtId="202" fontId="6" fillId="7" borderId="0" xfId="0" applyNumberFormat="1" applyFont="1" applyFill="1" applyBorder="1" applyAlignment="1">
      <x:alignment vertical="center"/>
    </x:xf>
    <x:xf numFmtId="208" fontId="6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200" fontId="6" fillId="7" borderId="1" xfId="0" applyNumberFormat="1" applyFont="1" applyFill="1" applyBorder="1" applyAlignment="1">
      <x:alignment vertical="center"/>
    </x:xf>
    <x:xf numFmtId="202" fontId="6" fillId="7" borderId="1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90131b8bf4ea7" /><Relationship Type="http://schemas.openxmlformats.org/officeDocument/2006/relationships/theme" Target="/xl/theme/theme1.xml" Id="R53b5d38ba83c441e" /><Relationship Type="http://schemas.openxmlformats.org/officeDocument/2006/relationships/sharedStrings" Target="/xl/sharedStrings.xml" Id="R6c39752ff6184b83" /><Relationship Type="http://schemas.openxmlformats.org/officeDocument/2006/relationships/worksheet" Target="/xl/worksheets/sheet1.xml" Id="R89af46ec0e3f409b" /><Relationship Type="http://schemas.openxmlformats.org/officeDocument/2006/relationships/worksheet" Target="/xl/worksheets/sheet2.xml" Id="R13bed840e5864c14" /><Relationship Type="http://schemas.openxmlformats.org/officeDocument/2006/relationships/worksheet" Target="/xl/worksheets/sheet3.xml" Id="R4b14ef7c4a134d59" /><Relationship Type="http://schemas.openxmlformats.org/officeDocument/2006/relationships/worksheet" Target="/xl/worksheets/sheet4.xml" Id="R0c5f86649dec48b9" /><Relationship Type="http://schemas.openxmlformats.org/officeDocument/2006/relationships/worksheet" Target="/xl/worksheets/sheet5.xml" Id="R41cbf8b04d544dd4" /><Relationship Type="http://schemas.openxmlformats.org/officeDocument/2006/relationships/worksheet" Target="/xl/worksheets/sheet6.xml" Id="R611eaef859ee4dcf" /><Relationship Type="http://schemas.openxmlformats.org/officeDocument/2006/relationships/worksheet" Target="/xl/worksheets/sheet7.xml" Id="R49d4d8cfca364708" /><Relationship Type="http://schemas.openxmlformats.org/officeDocument/2006/relationships/worksheet" Target="/xl/worksheets/sheet8.xml" Id="R224cc34b124d40ae" /><Relationship Type="http://schemas.openxmlformats.org/officeDocument/2006/relationships/worksheet" Target="/xl/worksheets/sheet9.xml" Id="Rb08d3c8f04ae4a1e" /><Relationship Type="http://schemas.openxmlformats.org/officeDocument/2006/relationships/worksheet" Target="/xl/worksheets/sheet10.xml" Id="R4b556dcb2c864a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a400881fd341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P&amp;L Build Path by Risk Class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Cross P&amp;L</c:v>
          </c:tx>
          <c:cat>
            <c:strRef>
              <c:f>'07_Full_Reval_PnL'!$T$5:$T$15</c:f>
              <c:strCache>
                <c:ptCount val="0"/>
              </c:strCache>
            </c:strRef>
          </c:cat>
          <c:val>
            <c:numRef>
              <c:f>'07_Full_Reval_PnL'!$U$5:$U$15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IR P&amp;L</c:v>
          </c:tx>
          <c:cat>
            <c:strRef>
              <c:f>'07_Full_Reval_PnL'!$T$5:$T$15</c:f>
              <c:strCache>
                <c:ptCount val="0"/>
              </c:strCache>
            </c:strRef>
          </c:cat>
          <c:val>
            <c:numRef>
              <c:f>'07_Full_Reval_PnL'!$V$5:$V$15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Credit P&amp;L</c:v>
          </c:tx>
          <c:cat>
            <c:strRef>
              <c:f>'07_Full_Reval_PnL'!$T$5:$T$15</c:f>
              <c:strCache>
                <c:ptCount val="0"/>
              </c:strCache>
            </c:strRef>
          </c:cat>
          <c:val>
            <c:numRef>
              <c:f>'07_Full_Reval_PnL'!$W$5:$W$15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FX P&amp;L</c:v>
          </c:tx>
          <c:cat>
            <c:strRef>
              <c:f>'07_Full_Reval_PnL'!$T$5:$T$15</c:f>
              <c:strCache>
                <c:ptCount val="0"/>
              </c:strCache>
            </c:strRef>
          </c:cat>
          <c:val>
            <c:numRef>
              <c:f>'07_Full_Reval_PnL'!$X$5:$X$15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19</xdr:col>
      <xdr:colOff>0</xdr:colOff>
      <xdr:row>16</xdr:row>
      <xdr:rowOff>0</xdr:rowOff>
    </xdr:from>
    <xdr:to>
      <xdr:col>29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a400881fd3416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daa94473b601493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4" hidden="0" customWidth="1"/>
    <x:col min="4" max="4" width="18" hidden="0" customWidth="1"/>
    <x:col min="5" max="5" width="22" hidden="0" customWidth="1"/>
    <x:col min="6" max="6" width="4" hidden="0" customWidth="1"/>
    <x:col min="7" max="7" width="18" hidden="0" customWidth="1"/>
    <x:col min="8" max="8" width="22" hidden="0" customWidth="1"/>
    <x:col min="9" max="9" width="4" hidden="0" customWidth="1"/>
    <x:col min="10" max="10" width="18" hidden="0" customWidth="1"/>
    <x:col min="11" max="11" width="22" hidden="0" customWidth="1"/>
    <x:col min="12" max="12" width="4" hidden="0" customWidth="1"/>
  </x:cols>
  <x:sheetData>
    <x:row r="1" ht="28" customHeight="1">
      <x:c r="A1" s="5" t="str">
        <x:v>Full Revaluation P&amp;L Vector Illustration — ES Stress Scenario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191"/>
      <x:c r="N1" s="191"/>
      <x:c r="O1" s="191"/>
      <x:c r="P1" s="191"/>
      <x:c r="Q1" s="191"/>
      <x:c r="R1" s="191"/>
      <x:c r="S1" s="191"/>
      <x:c r="T1" s="191"/>
      <x:c r="U1" s="191"/>
      <x:c r="V1" s="191"/>
      <x:c r="W1" s="191"/>
      <x:c r="X1" s="191"/>
      <x:c r="Y1" s="191"/>
      <x:c r="Z1" s="191"/>
      <x:c r="AA1" s="191"/>
      <x:c r="AB1" s="191"/>
      <x:c r="AC1" s="191"/>
      <x:c r="AD1" s="191"/>
      <x:c r="AE1" s="191"/>
      <x:c r="AF1" s="191"/>
      <x:c r="AG1" s="191"/>
      <x:c r="AH1" s="191"/>
      <x:c r="AI1" s="191"/>
      <x:c r="AJ1" s="191"/>
      <x:c r="AK1" s="191"/>
    </x:row>
    <x:row r="2">
      <x:c r="A2" s="191"/>
      <x:c r="B2" s="191"/>
      <x:c r="C2" s="191"/>
      <x:c r="D2" s="191"/>
      <x:c r="E2" s="191"/>
      <x:c r="F2" s="191"/>
      <x:c r="G2" s="191"/>
      <x:c r="H2" s="191"/>
      <x:c r="I2" s="191"/>
      <x:c r="J2" s="191"/>
      <x:c r="K2" s="191"/>
      <x:c r="L2" s="191"/>
      <x:c r="M2" s="191"/>
      <x:c r="N2" s="191"/>
      <x:c r="O2" s="191"/>
      <x:c r="P2" s="191"/>
      <x:c r="Q2" s="191"/>
      <x:c r="R2" s="191"/>
      <x:c r="S2" s="191"/>
      <x:c r="T2" s="191"/>
      <x:c r="U2" s="191"/>
      <x:c r="V2" s="191"/>
      <x:c r="W2" s="191"/>
      <x:c r="X2" s="191"/>
      <x:c r="Y2" s="191"/>
      <x:c r="Z2" s="191"/>
      <x:c r="AA2" s="191"/>
      <x:c r="AB2" s="191"/>
      <x:c r="AC2" s="191"/>
      <x:c r="AD2" s="191"/>
      <x:c r="AE2" s="191"/>
      <x:c r="AF2" s="191"/>
      <x:c r="AG2" s="191"/>
      <x:c r="AH2" s="191"/>
      <x:c r="AI2" s="191"/>
      <x:c r="AJ2" s="191"/>
      <x:c r="AK2" s="191"/>
    </x:row>
    <x:row r="3" ht="22" customHeight="1">
      <x:c r="A3" s="13" t="str">
        <x:v>Worked example for Trade 123456. For each stress date, base market objects are shifted, the trade is fully revalued, and scenario P&amp;L is calculated as Stressed NPV − Base NPV. The build-step P&amp;Ls are an audit trail for one stress scenario; the ES vector uses the final fully shocked P&amp;L from every historical/stress date.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91"/>
      <x:c r="N3" s="191"/>
      <x:c r="O3" s="191"/>
      <x:c r="P3" s="191"/>
      <x:c r="Q3" s="191"/>
      <x:c r="R3" s="191"/>
      <x:c r="S3" s="191"/>
      <x:c r="T3" s="191"/>
      <x:c r="U3" s="191"/>
      <x:c r="V3" s="191"/>
      <x:c r="W3" s="191"/>
      <x:c r="X3" s="191"/>
      <x:c r="Y3" s="191"/>
      <x:c r="Z3" s="191"/>
      <x:c r="AA3" s="191"/>
      <x:c r="AB3" s="191"/>
      <x:c r="AC3" s="191"/>
      <x:c r="AD3" s="191"/>
      <x:c r="AE3" s="191"/>
      <x:c r="AF3" s="191"/>
      <x:c r="AG3" s="191"/>
      <x:c r="AH3" s="191"/>
      <x:c r="AI3" s="191"/>
      <x:c r="AJ3" s="191"/>
      <x:c r="AK3" s="191"/>
    </x:row>
    <x:row r="4" ht="22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91"/>
      <x:c r="N4" s="191"/>
      <x:c r="O4" s="191"/>
      <x:c r="P4" s="191"/>
      <x:c r="Q4" s="191"/>
      <x:c r="R4" s="191"/>
      <x:c r="S4" s="191"/>
      <x:c r="T4" s="191"/>
      <x:c r="U4" s="191"/>
      <x:c r="V4" s="191"/>
      <x:c r="W4" s="191"/>
      <x:c r="X4" s="191"/>
      <x:c r="Y4" s="191"/>
      <x:c r="Z4" s="191"/>
      <x:c r="AA4" s="191"/>
      <x:c r="AB4" s="191"/>
      <x:c r="AC4" s="191"/>
      <x:c r="AD4" s="191"/>
      <x:c r="AE4" s="191"/>
      <x:c r="AF4" s="191"/>
      <x:c r="AG4" s="191"/>
      <x:c r="AH4" s="191"/>
      <x:c r="AI4" s="191"/>
      <x:c r="AJ4" s="191"/>
      <x:c r="AK4" s="191"/>
    </x:row>
    <x:row r="5" ht="22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91"/>
      <x:c r="N5" s="191"/>
      <x:c r="O5" s="191"/>
      <x:c r="P5" s="191"/>
      <x:c r="Q5" s="191"/>
      <x:c r="R5" s="191"/>
      <x:c r="S5" s="191"/>
      <x:c r="T5" s="191"/>
      <x:c r="U5" s="191"/>
      <x:c r="V5" s="191"/>
      <x:c r="W5" s="191"/>
      <x:c r="X5" s="191"/>
      <x:c r="Y5" s="191"/>
      <x:c r="Z5" s="191"/>
      <x:c r="AA5" s="191"/>
      <x:c r="AB5" s="191"/>
      <x:c r="AC5" s="191"/>
      <x:c r="AD5" s="191"/>
      <x:c r="AE5" s="191"/>
      <x:c r="AF5" s="191"/>
      <x:c r="AG5" s="191"/>
      <x:c r="AH5" s="191"/>
      <x:c r="AI5" s="191"/>
      <x:c r="AJ5" s="191"/>
      <x:c r="AK5" s="191"/>
    </x:row>
    <x:row r="6">
      <x:c r="A6" s="191"/>
      <x:c r="B6" s="191"/>
      <x:c r="C6" s="191"/>
      <x:c r="D6" s="191"/>
      <x:c r="E6" s="191"/>
      <x:c r="F6" s="191"/>
      <x:c r="G6" s="191"/>
      <x:c r="H6" s="191"/>
      <x:c r="I6" s="191"/>
      <x:c r="J6" s="191"/>
      <x:c r="K6" s="191"/>
      <x:c r="L6" s="191"/>
      <x:c r="M6" s="191"/>
      <x:c r="N6" s="191"/>
      <x:c r="O6" s="191"/>
      <x:c r="P6" s="191"/>
      <x:c r="Q6" s="191"/>
      <x:c r="R6" s="191"/>
      <x:c r="S6" s="191"/>
      <x:c r="T6" s="191"/>
      <x:c r="U6" s="191"/>
      <x:c r="V6" s="191"/>
      <x:c r="W6" s="191"/>
      <x:c r="X6" s="191"/>
      <x:c r="Y6" s="191"/>
      <x:c r="Z6" s="191"/>
      <x:c r="AA6" s="191"/>
      <x:c r="AB6" s="191"/>
      <x:c r="AC6" s="191"/>
      <x:c r="AD6" s="191"/>
      <x:c r="AE6" s="191"/>
      <x:c r="AF6" s="191"/>
      <x:c r="AG6" s="191"/>
      <x:c r="AH6" s="191"/>
      <x:c r="AI6" s="191"/>
      <x:c r="AJ6" s="191"/>
      <x:c r="AK6" s="191"/>
    </x:row>
    <x:row r="7" ht="22" customHeight="1">
      <x:c r="A7" s="21" t="str">
        <x:v>1. Inputs</x:v>
      </x:c>
      <x:c r="B7" s="21"/>
      <x:c r="C7" s="191"/>
      <x:c r="D7" s="21" t="str">
        <x:v>2. Base Objects</x:v>
      </x:c>
      <x:c r="E7" s="21"/>
      <x:c r="F7" s="191"/>
      <x:c r="G7" s="21" t="str">
        <x:v>3. Shock Build</x:v>
      </x:c>
      <x:c r="H7" s="21"/>
      <x:c r="I7" s="191"/>
      <x:c r="J7" s="21" t="str">
        <x:v>4. Full Reval</x:v>
      </x:c>
      <x:c r="K7" s="21"/>
      <x:c r="L7" s="191"/>
      <x:c r="M7" s="191"/>
      <x:c r="N7" s="191"/>
      <x:c r="O7" s="191"/>
      <x:c r="P7" s="191"/>
      <x:c r="Q7" s="191"/>
      <x:c r="R7" s="191"/>
      <x:c r="S7" s="191"/>
      <x:c r="T7" s="191"/>
      <x:c r="U7" s="191"/>
      <x:c r="V7" s="191"/>
      <x:c r="W7" s="191"/>
      <x:c r="X7" s="191"/>
      <x:c r="Y7" s="191"/>
      <x:c r="Z7" s="191"/>
      <x:c r="AA7" s="191"/>
      <x:c r="AB7" s="191"/>
      <x:c r="AC7" s="191"/>
      <x:c r="AD7" s="191"/>
      <x:c r="AE7" s="191"/>
      <x:c r="AF7" s="191"/>
      <x:c r="AG7" s="191"/>
      <x:c r="AH7" s="191"/>
      <x:c r="AI7" s="191"/>
      <x:c r="AJ7" s="191"/>
      <x:c r="AK7" s="191"/>
    </x:row>
    <x:row r="8">
      <x:c r="A8" s="30" t="str">
        <x:v>Valuation date
Stress date
Trade ID
Curve taxonomy</x:v>
      </x:c>
      <x:c r="B8" s="30"/>
      <x:c r="C8" s="38" t="str">
        <x:v>→</x:v>
      </x:c>
      <x:c r="D8" s="30" t="str">
        <x:v>Base discount curves
Base SABR parameter surfaces
Base NPV</x:v>
      </x:c>
      <x:c r="E8" s="30"/>
      <x:c r="F8" s="38" t="str">
        <x:v>→</x:v>
      </x:c>
      <x:c r="G8" s="30" t="str">
        <x:v>Sequential gxlCurveDiscShift
Row-by-row surface shifts
Final shocked objects</x:v>
      </x:c>
      <x:c r="H8" s="30"/>
      <x:c r="I8" s="38" t="str">
        <x:v>→</x:v>
      </x:c>
      <x:c r="J8" s="30" t="str">
        <x:v>NPV using all shocked objects
or only selected risk-class objects</x:v>
      </x:c>
      <x:c r="K8" s="30"/>
      <x:c r="L8" s="191"/>
      <x:c r="M8" s="191"/>
      <x:c r="N8" s="191"/>
      <x:c r="O8" s="191"/>
      <x:c r="P8" s="191"/>
      <x:c r="Q8" s="191"/>
      <x:c r="R8" s="191"/>
      <x:c r="S8" s="191"/>
      <x:c r="T8" s="191"/>
      <x:c r="U8" s="191"/>
      <x:c r="V8" s="191"/>
      <x:c r="W8" s="191"/>
      <x:c r="X8" s="191"/>
      <x:c r="Y8" s="191"/>
      <x:c r="Z8" s="191"/>
      <x:c r="AA8" s="191"/>
      <x:c r="AB8" s="191"/>
      <x:c r="AC8" s="191"/>
      <x:c r="AD8" s="191"/>
      <x:c r="AE8" s="191"/>
      <x:c r="AF8" s="191"/>
      <x:c r="AG8" s="191"/>
      <x:c r="AH8" s="191"/>
      <x:c r="AI8" s="191"/>
      <x:c r="AJ8" s="191"/>
      <x:c r="AK8" s="191"/>
    </x:row>
    <x:row r="9">
      <x:c r="A9" s="30"/>
      <x:c r="B9" s="30"/>
      <x:c r="C9" s="191"/>
      <x:c r="D9" s="30"/>
      <x:c r="E9" s="30"/>
      <x:c r="F9" s="191"/>
      <x:c r="G9" s="30"/>
      <x:c r="H9" s="30"/>
      <x:c r="I9" s="191"/>
      <x:c r="J9" s="30"/>
      <x:c r="K9" s="30"/>
      <x:c r="L9" s="191"/>
      <x:c r="M9" s="191"/>
      <x:c r="N9" s="191"/>
      <x:c r="O9" s="191"/>
      <x:c r="P9" s="191"/>
      <x:c r="Q9" s="191"/>
      <x:c r="R9" s="191"/>
      <x:c r="S9" s="191"/>
      <x:c r="T9" s="191"/>
      <x:c r="U9" s="191"/>
      <x:c r="V9" s="191"/>
      <x:c r="W9" s="191"/>
      <x:c r="X9" s="191"/>
      <x:c r="Y9" s="191"/>
      <x:c r="Z9" s="191"/>
      <x:c r="AA9" s="191"/>
      <x:c r="AB9" s="191"/>
      <x:c r="AC9" s="191"/>
      <x:c r="AD9" s="191"/>
      <x:c r="AE9" s="191"/>
      <x:c r="AF9" s="191"/>
      <x:c r="AG9" s="191"/>
      <x:c r="AH9" s="191"/>
      <x:c r="AI9" s="191"/>
      <x:c r="AJ9" s="191"/>
      <x:c r="AK9" s="191"/>
    </x:row>
    <x:row r="10">
      <x:c r="A10" s="191"/>
      <x:c r="B10" s="191"/>
      <x:c r="C10" s="191"/>
      <x:c r="D10" s="191"/>
      <x:c r="E10" s="191"/>
      <x:c r="F10" s="191"/>
      <x:c r="G10" s="191"/>
      <x:c r="H10" s="191"/>
      <x:c r="I10" s="191"/>
      <x:c r="J10" s="191"/>
      <x:c r="K10" s="191"/>
      <x:c r="L10" s="191"/>
      <x:c r="M10" s="191"/>
      <x:c r="N10" s="191"/>
      <x:c r="O10" s="191"/>
      <x:c r="P10" s="191"/>
      <x:c r="Q10" s="191"/>
      <x:c r="R10" s="191"/>
      <x:c r="S10" s="191"/>
      <x:c r="T10" s="191"/>
      <x:c r="U10" s="191"/>
      <x:c r="V10" s="191"/>
      <x:c r="W10" s="191"/>
      <x:c r="X10" s="191"/>
      <x:c r="Y10" s="191"/>
      <x:c r="Z10" s="191"/>
      <x:c r="AA10" s="191"/>
      <x:c r="AB10" s="191"/>
      <x:c r="AC10" s="191"/>
      <x:c r="AD10" s="191"/>
      <x:c r="AE10" s="191"/>
      <x:c r="AF10" s="191"/>
      <x:c r="AG10" s="191"/>
      <x:c r="AH10" s="191"/>
      <x:c r="AI10" s="191"/>
      <x:c r="AJ10" s="191"/>
      <x:c r="AK10" s="191"/>
    </x:row>
    <x:row r="11" ht="22" customHeight="1">
      <x:c r="A11" s="21" t="str">
        <x:v>5. P&amp;L by Class</x:v>
      </x:c>
      <x:c r="B11" s="21"/>
      <x:c r="C11" s="191"/>
      <x:c r="D11" s="21" t="str">
        <x:v>6. Final Scenario P&amp;L</x:v>
      </x:c>
      <x:c r="E11" s="21"/>
      <x:c r="F11" s="191"/>
      <x:c r="G11" s="21" t="str">
        <x:v>7. ES Vector</x:v>
      </x:c>
      <x:c r="H11" s="21"/>
      <x:c r="I11" s="191"/>
      <x:c r="J11" s="21" t="str">
        <x:v>8. Tail Average</x:v>
      </x:c>
      <x:c r="K11" s="21"/>
      <x:c r="L11" s="191"/>
      <x:c r="M11" s="191"/>
      <x:c r="N11" s="191"/>
      <x:c r="O11" s="191"/>
      <x:c r="P11" s="191"/>
      <x:c r="Q11" s="191"/>
      <x:c r="R11" s="191"/>
      <x:c r="S11" s="191"/>
      <x:c r="T11" s="191"/>
      <x:c r="U11" s="191"/>
      <x:c r="V11" s="191"/>
      <x:c r="W11" s="191"/>
      <x:c r="X11" s="191"/>
      <x:c r="Y11" s="191"/>
      <x:c r="Z11" s="191"/>
      <x:c r="AA11" s="191"/>
      <x:c r="AB11" s="191"/>
      <x:c r="AC11" s="191"/>
      <x:c r="AD11" s="191"/>
      <x:c r="AE11" s="191"/>
      <x:c r="AF11" s="191"/>
      <x:c r="AG11" s="191"/>
      <x:c r="AH11" s="191"/>
      <x:c r="AI11" s="191"/>
      <x:c r="AJ11" s="191"/>
      <x:c r="AK11" s="191"/>
    </x:row>
    <x:row r="12">
      <x:c r="A12" s="30" t="str">
        <x:v>Cross / IR / Credit / FX
Stressed NPV − Base NPV</x:v>
      </x:c>
      <x:c r="B12" s="30"/>
      <x:c r="C12" s="38" t="str">
        <x:v>→</x:v>
      </x:c>
      <x:c r="D12" s="30" t="str">
        <x:v>Take the final build step
for each shock date</x:v>
      </x:c>
      <x:c r="E12" s="30"/>
      <x:c r="F12" s="38" t="str">
        <x:v>→</x:v>
      </x:c>
      <x:c r="G12" s="30" t="str">
        <x:v>Repeat across all historical
or stressed scenario dates</x:v>
      </x:c>
      <x:c r="H12" s="30"/>
      <x:c r="I12" s="38" t="str">
        <x:v>→</x:v>
      </x:c>
      <x:c r="J12" s="30" t="str">
        <x:v>Order scenario losses
Average the 97.5% tail</x:v>
      </x:c>
      <x:c r="K12" s="30"/>
      <x:c r="L12" s="191"/>
      <x:c r="M12" s="191"/>
      <x:c r="N12" s="191"/>
      <x:c r="O12" s="191"/>
      <x:c r="P12" s="191"/>
      <x:c r="Q12" s="191"/>
      <x:c r="R12" s="191"/>
      <x:c r="S12" s="191"/>
      <x:c r="T12" s="191"/>
      <x:c r="U12" s="191"/>
      <x:c r="V12" s="191"/>
      <x:c r="W12" s="191"/>
      <x:c r="X12" s="191"/>
      <x:c r="Y12" s="191"/>
      <x:c r="Z12" s="191"/>
      <x:c r="AA12" s="191"/>
      <x:c r="AB12" s="191"/>
      <x:c r="AC12" s="191"/>
      <x:c r="AD12" s="191"/>
      <x:c r="AE12" s="191"/>
      <x:c r="AF12" s="191"/>
      <x:c r="AG12" s="191"/>
      <x:c r="AH12" s="191"/>
      <x:c r="AI12" s="191"/>
      <x:c r="AJ12" s="191"/>
      <x:c r="AK12" s="191"/>
    </x:row>
    <x:row r="13">
      <x:c r="A13" s="30"/>
      <x:c r="B13" s="30"/>
      <x:c r="C13" s="191"/>
      <x:c r="D13" s="30"/>
      <x:c r="E13" s="30"/>
      <x:c r="F13" s="191"/>
      <x:c r="G13" s="30"/>
      <x:c r="H13" s="30"/>
      <x:c r="I13" s="191"/>
      <x:c r="J13" s="30"/>
      <x:c r="K13" s="30"/>
      <x:c r="L13" s="191"/>
      <x:c r="M13" s="191"/>
      <x:c r="N13" s="191"/>
      <x:c r="O13" s="191"/>
      <x:c r="P13" s="191"/>
      <x:c r="Q13" s="191"/>
      <x:c r="R13" s="191"/>
      <x:c r="S13" s="191"/>
      <x:c r="T13" s="191"/>
      <x:c r="U13" s="191"/>
      <x:c r="V13" s="191"/>
      <x:c r="W13" s="191"/>
      <x:c r="X13" s="191"/>
      <x:c r="Y13" s="191"/>
      <x:c r="Z13" s="191"/>
      <x:c r="AA13" s="191"/>
      <x:c r="AB13" s="191"/>
      <x:c r="AC13" s="191"/>
      <x:c r="AD13" s="191"/>
      <x:c r="AE13" s="191"/>
      <x:c r="AF13" s="191"/>
      <x:c r="AG13" s="191"/>
      <x:c r="AH13" s="191"/>
      <x:c r="AI13" s="191"/>
      <x:c r="AJ13" s="191"/>
      <x:c r="AK13" s="191"/>
    </x:row>
    <x:row r="14">
      <x:c r="A14" s="191"/>
      <x:c r="B14" s="191"/>
      <x:c r="C14" s="191"/>
      <x:c r="D14" s="191"/>
      <x:c r="E14" s="191"/>
      <x:c r="F14" s="191"/>
      <x:c r="G14" s="191"/>
      <x:c r="H14" s="191"/>
      <x:c r="I14" s="191"/>
      <x:c r="J14" s="191"/>
      <x:c r="K14" s="191"/>
      <x:c r="L14" s="191"/>
      <x:c r="M14" s="191"/>
      <x:c r="N14" s="191"/>
      <x:c r="O14" s="191"/>
      <x:c r="P14" s="191"/>
      <x:c r="Q14" s="191"/>
      <x:c r="R14" s="191"/>
      <x:c r="S14" s="191"/>
      <x:c r="T14" s="191"/>
      <x:c r="U14" s="191"/>
      <x:c r="V14" s="191"/>
      <x:c r="W14" s="191"/>
      <x:c r="X14" s="191"/>
      <x:c r="Y14" s="191"/>
      <x:c r="Z14" s="191"/>
      <x:c r="AA14" s="191"/>
      <x:c r="AB14" s="191"/>
      <x:c r="AC14" s="191"/>
      <x:c r="AD14" s="191"/>
      <x:c r="AE14" s="191"/>
      <x:c r="AF14" s="191"/>
      <x:c r="AG14" s="191"/>
      <x:c r="AH14" s="191"/>
      <x:c r="AI14" s="191"/>
      <x:c r="AJ14" s="191"/>
      <x:c r="AK14" s="191"/>
    </x:row>
    <x:row r="15">
      <x:c r="A15" s="191"/>
      <x:c r="B15" s="191"/>
      <x:c r="C15" s="191"/>
      <x:c r="D15" s="191"/>
      <x:c r="E15" s="191"/>
      <x:c r="F15" s="191"/>
      <x:c r="G15" s="191"/>
      <x:c r="H15" s="191"/>
      <x:c r="I15" s="191"/>
      <x:c r="J15" s="191"/>
      <x:c r="K15" s="191"/>
      <x:c r="L15" s="191"/>
      <x:c r="M15" s="191"/>
      <x:c r="N15" s="191"/>
      <x:c r="O15" s="191"/>
      <x:c r="P15" s="191"/>
      <x:c r="Q15" s="191"/>
      <x:c r="R15" s="191"/>
      <x:c r="S15" s="191"/>
      <x:c r="T15" s="191"/>
      <x:c r="U15" s="191"/>
      <x:c r="V15" s="191"/>
      <x:c r="W15" s="191"/>
      <x:c r="X15" s="191"/>
      <x:c r="Y15" s="191"/>
      <x:c r="Z15" s="191"/>
      <x:c r="AA15" s="191"/>
      <x:c r="AB15" s="191"/>
      <x:c r="AC15" s="191"/>
      <x:c r="AD15" s="191"/>
      <x:c r="AE15" s="191"/>
      <x:c r="AF15" s="191"/>
      <x:c r="AG15" s="191"/>
      <x:c r="AH15" s="191"/>
      <x:c r="AI15" s="191"/>
      <x:c r="AJ15" s="191"/>
      <x:c r="AK15" s="191"/>
    </x:row>
    <x:row r="16" ht="22" customHeight="1">
      <x:c r="A16" s="21" t="str">
        <x:v>Risk-class revaluation convention</x:v>
      </x:c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191"/>
      <x:c r="N16" s="191"/>
      <x:c r="O16" s="191"/>
      <x:c r="P16" s="191"/>
      <x:c r="Q16" s="191"/>
      <x:c r="R16" s="191"/>
      <x:c r="S16" s="191"/>
      <x:c r="T16" s="191"/>
      <x:c r="U16" s="191"/>
      <x:c r="V16" s="191"/>
      <x:c r="W16" s="191"/>
      <x:c r="X16" s="191"/>
      <x:c r="Y16" s="191"/>
      <x:c r="Z16" s="191"/>
      <x:c r="AA16" s="191"/>
      <x:c r="AB16" s="191"/>
      <x:c r="AC16" s="191"/>
      <x:c r="AD16" s="191"/>
      <x:c r="AE16" s="191"/>
      <x:c r="AF16" s="191"/>
      <x:c r="AG16" s="191"/>
      <x:c r="AH16" s="191"/>
      <x:c r="AI16" s="191"/>
      <x:c r="AJ16" s="191"/>
      <x:c r="AK16" s="191"/>
    </x:row>
    <x:row r="17">
      <x:c r="A17" s="45" t="str">
        <x:v>Measure</x:v>
      </x:c>
      <x:c r="B17" s="45"/>
      <x:c r="C17" s="45" t="str">
        <x:v>Shocked market objects</x:v>
      </x:c>
      <x:c r="D17" s="45"/>
      <x:c r="E17" s="45" t="str">
        <x:v>Objects held at base</x:v>
      </x:c>
      <x:c r="F17" s="45"/>
      <x:c r="G17" s="45" t="str">
        <x:v>NPV call concept</x:v>
      </x:c>
      <x:c r="H17" s="45"/>
      <x:c r="I17" s="45" t="str">
        <x:v>P&amp;L</x:v>
      </x:c>
      <x:c r="J17" s="45"/>
      <x:c r="K17" s="45" t="str">
        <x:v>Interpretation</x:v>
      </x:c>
      <x:c r="L17" s="45"/>
      <x:c r="M17" s="191"/>
      <x:c r="N17" s="191"/>
      <x:c r="O17" s="191"/>
      <x:c r="P17" s="191"/>
      <x:c r="Q17" s="191"/>
      <x:c r="R17" s="191"/>
      <x:c r="S17" s="191"/>
      <x:c r="T17" s="191"/>
      <x:c r="U17" s="191"/>
      <x:c r="V17" s="191"/>
      <x:c r="W17" s="191"/>
      <x:c r="X17" s="191"/>
      <x:c r="Y17" s="191"/>
      <x:c r="Z17" s="191"/>
      <x:c r="AA17" s="191"/>
      <x:c r="AB17" s="191"/>
      <x:c r="AC17" s="191"/>
      <x:c r="AD17" s="191"/>
      <x:c r="AE17" s="191"/>
      <x:c r="AF17" s="191"/>
      <x:c r="AG17" s="191"/>
      <x:c r="AH17" s="191"/>
      <x:c r="AI17" s="191"/>
      <x:c r="AJ17" s="191"/>
      <x:c r="AK17" s="191"/>
    </x:row>
    <x:row r="18" ht="48" customHeight="1">
      <x:c r="A18" s="192" t="str">
        <x:v>Cross</x:v>
      </x:c>
      <x:c r="B18" s="192"/>
      <x:c r="C18" s="192" t="str">
        <x:v>All IR + Credit + FX + IR Vol</x:v>
      </x:c>
      <x:c r="D18" s="192"/>
      <x:c r="E18" s="192" t="str">
        <x:v>None</x:v>
      </x:c>
      <x:c r="F18" s="192"/>
      <x:c r="G18" s="192" t="str">
        <x:v>NPV(All shocked objects)</x:v>
      </x:c>
      <x:c r="H18" s="192"/>
      <x:c r="I18" s="192" t="str">
        <x:v>NPVcross − NPVbase</x:v>
      </x:c>
      <x:c r="J18" s="192"/>
      <x:c r="K18" s="192" t="str">
        <x:v>Includes nonlinear cross-risk interactions</x:v>
      </x:c>
      <x:c r="L18" s="192"/>
      <x:c r="M18" s="191"/>
      <x:c r="N18" s="191"/>
      <x:c r="O18" s="191"/>
      <x:c r="P18" s="191"/>
      <x:c r="Q18" s="191"/>
      <x:c r="R18" s="191"/>
      <x:c r="S18" s="191"/>
      <x:c r="T18" s="191"/>
      <x:c r="U18" s="191"/>
      <x:c r="V18" s="191"/>
      <x:c r="W18" s="191"/>
      <x:c r="X18" s="191"/>
      <x:c r="Y18" s="191"/>
      <x:c r="Z18" s="191"/>
      <x:c r="AA18" s="191"/>
      <x:c r="AB18" s="191"/>
      <x:c r="AC18" s="191"/>
      <x:c r="AD18" s="191"/>
      <x:c r="AE18" s="191"/>
      <x:c r="AF18" s="191"/>
      <x:c r="AG18" s="191"/>
      <x:c r="AH18" s="191"/>
      <x:c r="AI18" s="191"/>
      <x:c r="AJ18" s="191"/>
      <x:c r="AK18" s="191"/>
    </x:row>
    <x:row r="19" ht="48" customHeight="1">
      <x:c r="A19" s="192" t="str">
        <x:v>IR</x:v>
      </x:c>
      <x:c r="B19" s="192"/>
      <x:c r="C19" s="192" t="str">
        <x:v>SOFR, ESTRN, Swabr_Swaption</x:v>
      </x:c>
      <x:c r="D19" s="192"/>
      <x:c r="E19" s="192" t="str">
        <x:v>Credit and FX objects</x:v>
      </x:c>
      <x:c r="F19" s="192"/>
      <x:c r="G19" s="192" t="str">
        <x:v>NPV(IR shocked; others base)</x:v>
      </x:c>
      <x:c r="H19" s="192"/>
      <x:c r="I19" s="192" t="str">
        <x:v>NPVIR − NPVbase</x:v>
      </x:c>
      <x:c r="J19" s="192"/>
      <x:c r="K19" s="192" t="str">
        <x:v>Standalone IR full-reval P&amp;L</x:v>
      </x:c>
      <x:c r="L19" s="192"/>
      <x:c r="M19" s="191"/>
      <x:c r="N19" s="191"/>
      <x:c r="O19" s="191"/>
      <x:c r="P19" s="191"/>
      <x:c r="Q19" s="191"/>
      <x:c r="R19" s="191"/>
      <x:c r="S19" s="191"/>
      <x:c r="T19" s="191"/>
      <x:c r="U19" s="191"/>
      <x:c r="V19" s="191"/>
      <x:c r="W19" s="191"/>
      <x:c r="X19" s="191"/>
      <x:c r="Y19" s="191"/>
      <x:c r="Z19" s="191"/>
      <x:c r="AA19" s="191"/>
      <x:c r="AB19" s="191"/>
      <x:c r="AC19" s="191"/>
      <x:c r="AD19" s="191"/>
      <x:c r="AE19" s="191"/>
      <x:c r="AF19" s="191"/>
      <x:c r="AG19" s="191"/>
      <x:c r="AH19" s="191"/>
      <x:c r="AI19" s="191"/>
      <x:c r="AJ19" s="191"/>
      <x:c r="AK19" s="191"/>
    </x:row>
    <x:row r="20" ht="48" customHeight="1">
      <x:c r="A20" s="192" t="str">
        <x:v>Credit</x:v>
      </x:c>
      <x:c r="B20" s="192"/>
      <x:c r="C20" s="192" t="str">
        <x:v>Agency_FNMA, Eur_Govt, Treasury</x:v>
      </x:c>
      <x:c r="D20" s="192"/>
      <x:c r="E20" s="192" t="str">
        <x:v>IR, IR Vol and FX objects</x:v>
      </x:c>
      <x:c r="F20" s="192"/>
      <x:c r="G20" s="192" t="str">
        <x:v>NPV(Credit shocked; others base)</x:v>
      </x:c>
      <x:c r="H20" s="192"/>
      <x:c r="I20" s="192" t="str">
        <x:v>NPVcredit − NPVbase</x:v>
      </x:c>
      <x:c r="J20" s="192"/>
      <x:c r="K20" s="192" t="str">
        <x:v>Standalone Credit full-reval P&amp;L</x:v>
      </x:c>
      <x:c r="L20" s="192"/>
      <x:c r="M20" s="191"/>
      <x:c r="N20" s="191"/>
      <x:c r="O20" s="191"/>
      <x:c r="P20" s="191"/>
      <x:c r="Q20" s="191"/>
      <x:c r="R20" s="191"/>
      <x:c r="S20" s="191"/>
      <x:c r="T20" s="191"/>
      <x:c r="U20" s="191"/>
      <x:c r="V20" s="191"/>
      <x:c r="W20" s="191"/>
      <x:c r="X20" s="191"/>
      <x:c r="Y20" s="191"/>
      <x:c r="Z20" s="191"/>
      <x:c r="AA20" s="191"/>
      <x:c r="AB20" s="191"/>
      <x:c r="AC20" s="191"/>
      <x:c r="AD20" s="191"/>
      <x:c r="AE20" s="191"/>
      <x:c r="AF20" s="191"/>
      <x:c r="AG20" s="191"/>
      <x:c r="AH20" s="191"/>
      <x:c r="AI20" s="191"/>
      <x:c r="AJ20" s="191"/>
      <x:c r="AK20" s="191"/>
    </x:row>
    <x:row r="21" ht="48" customHeight="1">
      <x:c r="A21" s="192" t="str">
        <x:v>FX</x:v>
      </x:c>
      <x:c r="B21" s="192"/>
      <x:c r="C21" s="192" t="str">
        <x:v>EURUSD</x:v>
      </x:c>
      <x:c r="D21" s="192"/>
      <x:c r="E21" s="192" t="str">
        <x:v>IR, IR Vol and Credit objects</x:v>
      </x:c>
      <x:c r="F21" s="192"/>
      <x:c r="G21" s="192" t="str">
        <x:v>NPV(FX shocked; others base)</x:v>
      </x:c>
      <x:c r="H21" s="192"/>
      <x:c r="I21" s="192" t="str">
        <x:v>NPVFX − NPVbase</x:v>
      </x:c>
      <x:c r="J21" s="192"/>
      <x:c r="K21" s="192" t="str">
        <x:v>Standalone FX full-reval P&amp;L</x:v>
      </x:c>
      <x:c r="L21" s="192"/>
      <x:c r="M21" s="191"/>
      <x:c r="N21" s="191"/>
      <x:c r="O21" s="191"/>
      <x:c r="P21" s="191"/>
      <x:c r="Q21" s="191"/>
      <x:c r="R21" s="191"/>
      <x:c r="S21" s="191"/>
      <x:c r="T21" s="191"/>
      <x:c r="U21" s="191"/>
      <x:c r="V21" s="191"/>
      <x:c r="W21" s="191"/>
      <x:c r="X21" s="191"/>
      <x:c r="Y21" s="191"/>
      <x:c r="Z21" s="191"/>
      <x:c r="AA21" s="191"/>
      <x:c r="AB21" s="191"/>
      <x:c r="AC21" s="191"/>
      <x:c r="AD21" s="191"/>
      <x:c r="AE21" s="191"/>
      <x:c r="AF21" s="191"/>
      <x:c r="AG21" s="191"/>
      <x:c r="AH21" s="191"/>
      <x:c r="AI21" s="191"/>
      <x:c r="AJ21" s="191"/>
      <x:c r="AK21" s="191"/>
    </x:row>
    <x:row r="22" ht="48" customHeight="1">
      <x:c r="A22" s="66" t="str">
        <x:v>Important</x:v>
      </x:c>
      <x:c r="B22" s="66"/>
      <x:c r="C22" s="66" t="str">
        <x:v>Cross P&amp;L may differ from IR + Credit + FX</x:v>
      </x:c>
      <x:c r="D22" s="66"/>
      <x:c r="E22" s="66" t="str">
        <x:v>—</x:v>
      </x:c>
      <x:c r="F22" s="66"/>
      <x:c r="G22" s="66" t="str">
        <x:v>Difference = interaction / nonlinearity</x:v>
      </x:c>
      <x:c r="H22" s="66"/>
      <x:c r="I22" s="66" t="str">
        <x:v>Cross-check</x:v>
      </x:c>
      <x:c r="J22" s="66"/>
      <x:c r="K22" s="66" t="str">
        <x:v>Expected under nonlinear pricing</x:v>
      </x:c>
      <x:c r="L22" s="66"/>
      <x:c r="M22" s="191"/>
      <x:c r="N22" s="191"/>
      <x:c r="O22" s="191"/>
      <x:c r="P22" s="191"/>
      <x:c r="Q22" s="191"/>
      <x:c r="R22" s="191"/>
      <x:c r="S22" s="191"/>
      <x:c r="T22" s="191"/>
      <x:c r="U22" s="191"/>
      <x:c r="V22" s="191"/>
      <x:c r="W22" s="191"/>
      <x:c r="X22" s="191"/>
      <x:c r="Y22" s="191"/>
      <x:c r="Z22" s="191"/>
      <x:c r="AA22" s="191"/>
      <x:c r="AB22" s="191"/>
      <x:c r="AC22" s="191"/>
      <x:c r="AD22" s="191"/>
      <x:c r="AE22" s="191"/>
      <x:c r="AF22" s="191"/>
      <x:c r="AG22" s="191"/>
      <x:c r="AH22" s="191"/>
      <x:c r="AI22" s="191"/>
      <x:c r="AJ22" s="191"/>
      <x:c r="AK22" s="191"/>
    </x:row>
    <x:row r="23">
      <x:c r="A23" s="191"/>
      <x:c r="B23" s="191"/>
      <x:c r="C23" s="191"/>
      <x:c r="D23" s="191"/>
      <x:c r="E23" s="191"/>
      <x:c r="F23" s="191"/>
      <x:c r="G23" s="191"/>
      <x:c r="H23" s="191"/>
      <x:c r="I23" s="191"/>
      <x:c r="J23" s="191"/>
      <x:c r="K23" s="191"/>
      <x:c r="L23" s="191"/>
      <x:c r="M23" s="191"/>
      <x:c r="N23" s="191"/>
      <x:c r="O23" s="191"/>
      <x:c r="P23" s="191"/>
      <x:c r="Q23" s="191"/>
      <x:c r="R23" s="191"/>
      <x:c r="S23" s="191"/>
      <x:c r="T23" s="191"/>
      <x:c r="U23" s="191"/>
      <x:c r="V23" s="191"/>
      <x:c r="W23" s="191"/>
      <x:c r="X23" s="191"/>
      <x:c r="Y23" s="191"/>
      <x:c r="Z23" s="191"/>
      <x:c r="AA23" s="191"/>
      <x:c r="AB23" s="191"/>
      <x:c r="AC23" s="191"/>
      <x:c r="AD23" s="191"/>
      <x:c r="AE23" s="191"/>
      <x:c r="AF23" s="191"/>
      <x:c r="AG23" s="191"/>
      <x:c r="AH23" s="191"/>
      <x:c r="AI23" s="191"/>
      <x:c r="AJ23" s="191"/>
      <x:c r="AK23" s="191"/>
    </x:row>
    <x:row r="24">
      <x:c r="A24" s="191"/>
      <x:c r="B24" s="191"/>
      <x:c r="C24" s="191"/>
      <x:c r="D24" s="191"/>
      <x:c r="E24" s="191"/>
      <x:c r="F24" s="191"/>
      <x:c r="G24" s="191"/>
      <x:c r="H24" s="191"/>
      <x:c r="I24" s="191"/>
      <x:c r="J24" s="191"/>
      <x:c r="K24" s="191"/>
      <x:c r="L24" s="191"/>
      <x:c r="M24" s="191"/>
      <x:c r="N24" s="191"/>
      <x:c r="O24" s="191"/>
      <x:c r="P24" s="191"/>
      <x:c r="Q24" s="191"/>
      <x:c r="R24" s="191"/>
      <x:c r="S24" s="191"/>
      <x:c r="T24" s="191"/>
      <x:c r="U24" s="191"/>
      <x:c r="V24" s="191"/>
      <x:c r="W24" s="191"/>
      <x:c r="X24" s="191"/>
      <x:c r="Y24" s="191"/>
      <x:c r="Z24" s="191"/>
      <x:c r="AA24" s="191"/>
      <x:c r="AB24" s="191"/>
      <x:c r="AC24" s="191"/>
      <x:c r="AD24" s="191"/>
      <x:c r="AE24" s="191"/>
      <x:c r="AF24" s="191"/>
      <x:c r="AG24" s="191"/>
      <x:c r="AH24" s="191"/>
      <x:c r="AI24" s="191"/>
      <x:c r="AJ24" s="191"/>
      <x:c r="AK24" s="191"/>
    </x:row>
    <x:row r="25" ht="22" customHeight="1">
      <x:c r="A25" s="21" t="str">
        <x:v>Key formulas</x:v>
      </x:c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191"/>
      <x:c r="N25" s="191"/>
      <x:c r="O25" s="191"/>
      <x:c r="P25" s="191"/>
      <x:c r="Q25" s="191"/>
      <x:c r="R25" s="191"/>
      <x:c r="S25" s="191"/>
      <x:c r="T25" s="191"/>
      <x:c r="U25" s="191"/>
      <x:c r="V25" s="191"/>
      <x:c r="W25" s="191"/>
      <x:c r="X25" s="191"/>
      <x:c r="Y25" s="191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</x:row>
    <x:row r="26" ht="28" customHeight="1">
      <x:c r="A26" s="219" t="str">
        <x:v>Scenario P&amp;L</x:v>
      </x:c>
      <x:c r="B26" s="219"/>
      <x:c r="C26" s="219"/>
      <x:c r="D26" s="192" t="str">
        <x:v>PnL(d) = NPV(shocked market objects at shock date d) − NPV(base market objects at valuation date)</x:v>
      </x:c>
      <x:c r="E26" s="192"/>
      <x:c r="F26" s="192"/>
      <x:c r="G26" s="192"/>
      <x:c r="H26" s="192"/>
      <x:c r="I26" s="192"/>
      <x:c r="J26" s="192"/>
      <x:c r="K26" s="192"/>
      <x:c r="L26" s="192"/>
      <x:c r="M26" s="191"/>
      <x:c r="N26" s="191"/>
      <x:c r="O26" s="191"/>
      <x:c r="P26" s="191"/>
      <x:c r="Q26" s="191"/>
      <x:c r="R26" s="191"/>
      <x:c r="S26" s="191"/>
      <x:c r="T26" s="191"/>
      <x:c r="U26" s="191"/>
      <x:c r="V26" s="191"/>
      <x:c r="W26" s="191"/>
      <x:c r="X26" s="191"/>
      <x:c r="Y26" s="191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</x:row>
    <x:row r="27" ht="28" customHeight="1">
      <x:c r="A27" s="219" t="str">
        <x:v>Standalone class P&amp;L</x:v>
      </x:c>
      <x:c r="B27" s="219"/>
      <x:c r="C27" s="219"/>
      <x:c r="D27" s="192" t="str">
        <x:v>Shock only that risk class; pass base objects for every other class</x:v>
      </x:c>
      <x:c r="E27" s="192"/>
      <x:c r="F27" s="192"/>
      <x:c r="G27" s="192"/>
      <x:c r="H27" s="192"/>
      <x:c r="I27" s="192"/>
      <x:c r="J27" s="192"/>
      <x:c r="K27" s="192"/>
      <x:c r="L27" s="192"/>
      <x:c r="M27" s="191"/>
      <x:c r="N27" s="191"/>
      <x:c r="O27" s="191"/>
      <x:c r="P27" s="191"/>
      <x:c r="Q27" s="191"/>
      <x:c r="R27" s="191"/>
      <x:c r="S27" s="191"/>
      <x:c r="T27" s="191"/>
      <x:c r="U27" s="191"/>
      <x:c r="V27" s="191"/>
      <x:c r="W27" s="191"/>
      <x:c r="X27" s="191"/>
      <x:c r="Y27" s="191"/>
      <x:c r="Z27" s="191"/>
      <x:c r="AA27" s="191"/>
      <x:c r="AB27" s="191"/>
      <x:c r="AC27" s="191"/>
      <x:c r="AD27" s="191"/>
      <x:c r="AE27" s="191"/>
      <x:c r="AF27" s="191"/>
      <x:c r="AG27" s="191"/>
      <x:c r="AH27" s="191"/>
      <x:c r="AI27" s="191"/>
      <x:c r="AJ27" s="191"/>
      <x:c r="AK27" s="191"/>
    </x:row>
    <x:row r="28" ht="28" customHeight="1">
      <x:c r="A28" s="219" t="str">
        <x:v>Cross P&amp;L</x:v>
      </x:c>
      <x:c r="B28" s="219"/>
      <x:c r="C28" s="219"/>
      <x:c r="D28" s="192" t="str">
        <x:v>Shock every included market object in the same NPV call</x:v>
      </x:c>
      <x:c r="E28" s="192"/>
      <x:c r="F28" s="192"/>
      <x:c r="G28" s="192"/>
      <x:c r="H28" s="192"/>
      <x:c r="I28" s="192"/>
      <x:c r="J28" s="192"/>
      <x:c r="K28" s="192"/>
      <x:c r="L28" s="192"/>
      <x:c r="M28" s="191"/>
      <x:c r="N28" s="191"/>
      <x:c r="O28" s="191"/>
      <x:c r="P28" s="191"/>
      <x:c r="Q28" s="191"/>
      <x:c r="R28" s="191"/>
      <x:c r="S28" s="191"/>
      <x:c r="T28" s="191"/>
      <x:c r="U28" s="191"/>
      <x:c r="V28" s="191"/>
      <x:c r="W28" s="191"/>
      <x:c r="X28" s="191"/>
      <x:c r="Y28" s="191"/>
      <x:c r="Z28" s="191"/>
      <x:c r="AA28" s="191"/>
      <x:c r="AB28" s="191"/>
      <x:c r="AC28" s="191"/>
      <x:c r="AD28" s="191"/>
      <x:c r="AE28" s="191"/>
      <x:c r="AF28" s="191"/>
      <x:c r="AG28" s="191"/>
      <x:c r="AH28" s="191"/>
      <x:c r="AI28" s="191"/>
      <x:c r="AJ28" s="191"/>
      <x:c r="AK28" s="191"/>
    </x:row>
    <x:row r="29" ht="28" customHeight="1">
      <x:c r="A29" s="219" t="str">
        <x:v>ES vector</x:v>
      </x:c>
      <x:c r="B29" s="219"/>
      <x:c r="C29" s="219"/>
      <x:c r="D29" s="192" t="str">
        <x:v>Use one final fully shocked P&amp;L per scenario date — not every intermediate curve-build step</x:v>
      </x:c>
      <x:c r="E29" s="192"/>
      <x:c r="F29" s="192"/>
      <x:c r="G29" s="192"/>
      <x:c r="H29" s="192"/>
      <x:c r="I29" s="192"/>
      <x:c r="J29" s="192"/>
      <x:c r="K29" s="192"/>
      <x:c r="L29" s="192"/>
      <x:c r="M29" s="191"/>
      <x:c r="N29" s="191"/>
      <x:c r="O29" s="191"/>
      <x:c r="P29" s="191"/>
      <x:c r="Q29" s="191"/>
      <x:c r="R29" s="191"/>
      <x:c r="S29" s="191"/>
      <x:c r="T29" s="191"/>
      <x:c r="U29" s="191"/>
      <x:c r="V29" s="191"/>
      <x:c r="W29" s="191"/>
      <x:c r="X29" s="191"/>
      <x:c r="Y29" s="191"/>
      <x:c r="Z29" s="191"/>
      <x:c r="AA29" s="191"/>
      <x:c r="AB29" s="191"/>
      <x:c r="AC29" s="191"/>
      <x:c r="AD29" s="191"/>
      <x:c r="AE29" s="191"/>
      <x:c r="AF29" s="191"/>
      <x:c r="AG29" s="191"/>
      <x:c r="AH29" s="191"/>
      <x:c r="AI29" s="191"/>
      <x:c r="AJ29" s="191"/>
      <x:c r="AK29" s="191"/>
    </x:row>
    <x:row r="30">
      <x:c r="A30" s="191"/>
      <x:c r="B30" s="191"/>
      <x:c r="C30" s="191"/>
      <x:c r="D30" s="191"/>
      <x:c r="E30" s="191"/>
      <x:c r="F30" s="191"/>
      <x:c r="G30" s="191"/>
      <x:c r="H30" s="191"/>
      <x:c r="I30" s="191"/>
      <x:c r="J30" s="191"/>
      <x:c r="K30" s="191"/>
      <x:c r="L30" s="191"/>
      <x:c r="M30" s="191"/>
      <x:c r="N30" s="191"/>
      <x:c r="O30" s="191"/>
      <x:c r="P30" s="191"/>
      <x:c r="Q30" s="191"/>
      <x:c r="R30" s="191"/>
      <x:c r="S30" s="191"/>
      <x:c r="T30" s="191"/>
      <x:c r="U30" s="191"/>
      <x:c r="V30" s="191"/>
      <x:c r="W30" s="191"/>
      <x:c r="X30" s="191"/>
      <x:c r="Y30" s="191"/>
      <x:c r="Z30" s="191"/>
      <x:c r="AA30" s="191"/>
      <x:c r="AB30" s="191"/>
      <x:c r="AC30" s="191"/>
      <x:c r="AD30" s="191"/>
      <x:c r="AE30" s="191"/>
      <x:c r="AF30" s="191"/>
      <x:c r="AG30" s="191"/>
      <x:c r="AH30" s="191"/>
      <x:c r="AI30" s="191"/>
      <x:c r="AJ30" s="191"/>
      <x:c r="AK30" s="191"/>
    </x:row>
    <x:row r="31">
      <x:c r="A31" s="191"/>
      <x:c r="B31" s="191"/>
      <x:c r="C31" s="191"/>
      <x:c r="D31" s="191"/>
      <x:c r="E31" s="191"/>
      <x:c r="F31" s="191"/>
      <x:c r="G31" s="191"/>
      <x:c r="H31" s="191"/>
      <x:c r="I31" s="191"/>
      <x:c r="J31" s="191"/>
      <x:c r="K31" s="191"/>
      <x:c r="L31" s="191"/>
      <x:c r="M31" s="191"/>
      <x:c r="N31" s="191"/>
      <x:c r="O31" s="191"/>
      <x:c r="P31" s="191"/>
      <x:c r="Q31" s="191"/>
      <x:c r="R31" s="191"/>
      <x:c r="S31" s="191"/>
      <x:c r="T31" s="191"/>
      <x:c r="U31" s="191"/>
      <x:c r="V31" s="191"/>
      <x:c r="W31" s="191"/>
      <x:c r="X31" s="191"/>
      <x:c r="Y31" s="191"/>
      <x:c r="Z31" s="191"/>
      <x:c r="AA31" s="191"/>
      <x:c r="AB31" s="191"/>
      <x:c r="AC31" s="191"/>
      <x:c r="AD31" s="191"/>
      <x:c r="AE31" s="191"/>
      <x:c r="AF31" s="191"/>
      <x:c r="AG31" s="191"/>
      <x:c r="AH31" s="191"/>
      <x:c r="AI31" s="191"/>
      <x:c r="AJ31" s="191"/>
      <x:c r="AK31" s="191"/>
    </x:row>
    <x:row r="32">
      <x:c r="A32" s="191"/>
      <x:c r="B32" s="191"/>
      <x:c r="C32" s="191"/>
      <x:c r="D32" s="191"/>
      <x:c r="E32" s="191"/>
      <x:c r="F32" s="191"/>
      <x:c r="G32" s="191"/>
      <x:c r="H32" s="191"/>
      <x:c r="I32" s="191"/>
      <x:c r="J32" s="191"/>
      <x:c r="K32" s="191"/>
      <x:c r="L32" s="191"/>
      <x:c r="M32" s="191"/>
      <x:c r="N32" s="191"/>
      <x:c r="O32" s="191"/>
      <x:c r="P32" s="191"/>
      <x:c r="Q32" s="191"/>
      <x:c r="R32" s="191"/>
      <x:c r="S32" s="191"/>
      <x:c r="T32" s="191"/>
      <x:c r="U32" s="191"/>
      <x:c r="V32" s="191"/>
      <x:c r="W32" s="191"/>
      <x:c r="X32" s="191"/>
      <x:c r="Y32" s="191"/>
      <x:c r="Z32" s="191"/>
      <x:c r="AA32" s="191"/>
      <x:c r="AB32" s="191"/>
      <x:c r="AC32" s="191"/>
      <x:c r="AD32" s="191"/>
      <x:c r="AE32" s="191"/>
      <x:c r="AF32" s="191"/>
      <x:c r="AG32" s="191"/>
      <x:c r="AH32" s="191"/>
      <x:c r="AI32" s="191"/>
      <x:c r="AJ32" s="191"/>
      <x:c r="AK32" s="191"/>
    </x:row>
    <x:row r="33">
      <x:c r="A33" s="191"/>
      <x:c r="B33" s="191"/>
      <x:c r="C33" s="191"/>
      <x:c r="D33" s="191"/>
      <x:c r="E33" s="191"/>
      <x:c r="F33" s="191"/>
      <x:c r="G33" s="191"/>
      <x:c r="H33" s="191"/>
      <x:c r="I33" s="191"/>
      <x:c r="J33" s="191"/>
      <x:c r="K33" s="191"/>
      <x:c r="L33" s="191"/>
      <x:c r="M33" s="191"/>
      <x:c r="N33" s="191"/>
      <x:c r="O33" s="191"/>
      <x:c r="P33" s="191"/>
      <x:c r="Q33" s="191"/>
      <x:c r="R33" s="191"/>
      <x:c r="S33" s="191"/>
      <x:c r="T33" s="191"/>
      <x:c r="U33" s="191"/>
      <x:c r="V33" s="191"/>
      <x:c r="W33" s="191"/>
      <x:c r="X33" s="191"/>
      <x:c r="Y33" s="191"/>
      <x:c r="Z33" s="191"/>
      <x:c r="AA33" s="191"/>
      <x:c r="AB33" s="191"/>
      <x:c r="AC33" s="191"/>
      <x:c r="AD33" s="191"/>
      <x:c r="AE33" s="191"/>
      <x:c r="AF33" s="191"/>
      <x:c r="AG33" s="191"/>
      <x:c r="AH33" s="191"/>
      <x:c r="AI33" s="191"/>
      <x:c r="AJ33" s="191"/>
      <x:c r="AK33" s="191"/>
    </x:row>
    <x:row r="34">
      <x:c r="A34" s="191"/>
      <x:c r="B34" s="191"/>
      <x:c r="C34" s="191"/>
      <x:c r="D34" s="191"/>
      <x:c r="E34" s="191"/>
      <x:c r="F34" s="191"/>
      <x:c r="G34" s="191"/>
      <x:c r="H34" s="191"/>
      <x:c r="I34" s="191"/>
      <x:c r="J34" s="191"/>
      <x:c r="K34" s="191"/>
      <x:c r="L34" s="191"/>
      <x:c r="M34" s="191"/>
      <x:c r="N34" s="191"/>
      <x:c r="O34" s="191"/>
      <x:c r="P34" s="191"/>
      <x:c r="Q34" s="191"/>
      <x:c r="R34" s="191"/>
      <x:c r="S34" s="191"/>
      <x:c r="T34" s="191"/>
      <x:c r="U34" s="191"/>
      <x:c r="V34" s="191"/>
      <x:c r="W34" s="191"/>
      <x:c r="X34" s="191"/>
      <x:c r="Y34" s="191"/>
      <x:c r="Z34" s="191"/>
      <x:c r="AA34" s="191"/>
      <x:c r="AB34" s="191"/>
      <x:c r="AC34" s="191"/>
      <x:c r="AD34" s="191"/>
      <x:c r="AE34" s="191"/>
      <x:c r="AF34" s="191"/>
      <x:c r="AG34" s="191"/>
      <x:c r="AH34" s="191"/>
      <x:c r="AI34" s="191"/>
      <x:c r="AJ34" s="191"/>
      <x:c r="AK34" s="191"/>
    </x:row>
    <x:row r="35">
      <x:c r="A35" s="191"/>
      <x:c r="B35" s="191"/>
      <x:c r="C35" s="191"/>
      <x:c r="D35" s="191"/>
      <x:c r="E35" s="191"/>
      <x:c r="F35" s="191"/>
      <x:c r="G35" s="191"/>
      <x:c r="H35" s="191"/>
      <x:c r="I35" s="191"/>
      <x:c r="J35" s="191"/>
      <x:c r="K35" s="191"/>
      <x:c r="L35" s="191"/>
      <x:c r="M35" s="191"/>
      <x:c r="N35" s="191"/>
      <x:c r="O35" s="191"/>
      <x:c r="P35" s="191"/>
      <x:c r="Q35" s="191"/>
      <x:c r="R35" s="191"/>
      <x:c r="S35" s="191"/>
      <x:c r="T35" s="191"/>
      <x:c r="U35" s="191"/>
      <x:c r="V35" s="191"/>
      <x:c r="W35" s="191"/>
      <x:c r="X35" s="191"/>
      <x:c r="Y35" s="191"/>
      <x:c r="Z35" s="191"/>
      <x:c r="AA35" s="191"/>
      <x:c r="AB35" s="191"/>
      <x:c r="AC35" s="191"/>
      <x:c r="AD35" s="191"/>
      <x:c r="AE35" s="191"/>
      <x:c r="AF35" s="191"/>
      <x:c r="AG35" s="191"/>
      <x:c r="AH35" s="191"/>
      <x:c r="AI35" s="191"/>
      <x:c r="AJ35" s="191"/>
      <x:c r="AK35" s="191"/>
    </x:row>
    <x:row r="36">
      <x:c r="A36" s="191"/>
      <x:c r="B36" s="191"/>
      <x:c r="C36" s="191"/>
      <x:c r="D36" s="191"/>
      <x:c r="E36" s="191"/>
      <x:c r="F36" s="191"/>
      <x:c r="G36" s="191"/>
      <x:c r="H36" s="191"/>
      <x:c r="I36" s="191"/>
      <x:c r="J36" s="191"/>
      <x:c r="K36" s="191"/>
      <x:c r="L36" s="191"/>
      <x:c r="M36" s="191"/>
      <x:c r="N36" s="191"/>
      <x:c r="O36" s="191"/>
      <x:c r="P36" s="191"/>
      <x:c r="Q36" s="191"/>
      <x:c r="R36" s="191"/>
      <x:c r="S36" s="191"/>
      <x:c r="T36" s="191"/>
      <x:c r="U36" s="191"/>
      <x:c r="V36" s="191"/>
      <x:c r="W36" s="191"/>
      <x:c r="X36" s="191"/>
      <x:c r="Y36" s="191"/>
      <x:c r="Z36" s="191"/>
      <x:c r="AA36" s="191"/>
      <x:c r="AB36" s="191"/>
      <x:c r="AC36" s="191"/>
      <x:c r="AD36" s="191"/>
      <x:c r="AE36" s="191"/>
      <x:c r="AF36" s="191"/>
      <x:c r="AG36" s="191"/>
      <x:c r="AH36" s="191"/>
      <x:c r="AI36" s="191"/>
      <x:c r="AJ36" s="191"/>
      <x:c r="AK36" s="191"/>
    </x:row>
    <x:row r="37">
      <x:c r="A37" s="191"/>
      <x:c r="B37" s="191"/>
      <x:c r="C37" s="191"/>
      <x:c r="D37" s="191"/>
      <x:c r="E37" s="191"/>
      <x:c r="F37" s="191"/>
      <x:c r="G37" s="191"/>
      <x:c r="H37" s="191"/>
      <x:c r="I37" s="191"/>
      <x:c r="J37" s="191"/>
      <x:c r="K37" s="191"/>
      <x:c r="L37" s="191"/>
      <x:c r="M37" s="191"/>
      <x:c r="N37" s="191"/>
      <x:c r="O37" s="191"/>
      <x:c r="P37" s="191"/>
      <x:c r="Q37" s="191"/>
      <x:c r="R37" s="191"/>
      <x:c r="S37" s="191"/>
      <x:c r="T37" s="191"/>
      <x:c r="U37" s="191"/>
      <x:c r="V37" s="191"/>
      <x:c r="W37" s="191"/>
      <x:c r="X37" s="191"/>
      <x:c r="Y37" s="191"/>
      <x:c r="Z37" s="191"/>
      <x:c r="AA37" s="191"/>
      <x:c r="AB37" s="191"/>
      <x:c r="AC37" s="191"/>
      <x:c r="AD37" s="191"/>
      <x:c r="AE37" s="191"/>
      <x:c r="AF37" s="191"/>
      <x:c r="AG37" s="191"/>
      <x:c r="AH37" s="191"/>
      <x:c r="AI37" s="191"/>
      <x:c r="AJ37" s="191"/>
      <x:c r="AK37" s="191"/>
    </x:row>
    <x:row r="38">
      <x:c r="A38" s="191"/>
      <x:c r="B38" s="191"/>
      <x:c r="C38" s="191"/>
      <x:c r="D38" s="191"/>
      <x:c r="E38" s="191"/>
      <x:c r="F38" s="191"/>
      <x:c r="G38" s="191"/>
      <x:c r="H38" s="191"/>
      <x:c r="I38" s="191"/>
      <x:c r="J38" s="191"/>
      <x:c r="K38" s="191"/>
      <x:c r="L38" s="191"/>
      <x:c r="M38" s="191"/>
      <x:c r="N38" s="191"/>
      <x:c r="O38" s="191"/>
      <x:c r="P38" s="191"/>
      <x:c r="Q38" s="191"/>
      <x:c r="R38" s="191"/>
      <x:c r="S38" s="191"/>
      <x:c r="T38" s="191"/>
      <x:c r="U38" s="191"/>
      <x:c r="V38" s="191"/>
      <x:c r="W38" s="191"/>
      <x:c r="X38" s="191"/>
      <x:c r="Y38" s="191"/>
      <x:c r="Z38" s="191"/>
      <x:c r="AA38" s="191"/>
      <x:c r="AB38" s="191"/>
      <x:c r="AC38" s="191"/>
      <x:c r="AD38" s="191"/>
      <x:c r="AE38" s="191"/>
      <x:c r="AF38" s="191"/>
      <x:c r="AG38" s="191"/>
      <x:c r="AH38" s="191"/>
      <x:c r="AI38" s="191"/>
      <x:c r="AJ38" s="191"/>
      <x:c r="AK38" s="191"/>
    </x:row>
    <x:row r="39">
      <x:c r="A39" s="191"/>
      <x:c r="B39" s="191"/>
      <x:c r="C39" s="191"/>
      <x:c r="D39" s="191"/>
      <x:c r="E39" s="191"/>
      <x:c r="F39" s="191"/>
      <x:c r="G39" s="191"/>
      <x:c r="H39" s="191"/>
      <x:c r="I39" s="191"/>
      <x:c r="J39" s="191"/>
      <x:c r="K39" s="191"/>
      <x:c r="L39" s="191"/>
      <x:c r="M39" s="191"/>
      <x:c r="N39" s="191"/>
      <x:c r="O39" s="191"/>
      <x:c r="P39" s="191"/>
      <x:c r="Q39" s="191"/>
      <x:c r="R39" s="191"/>
      <x:c r="S39" s="191"/>
      <x:c r="T39" s="191"/>
      <x:c r="U39" s="191"/>
      <x:c r="V39" s="191"/>
      <x:c r="W39" s="191"/>
      <x:c r="X39" s="191"/>
      <x:c r="Y39" s="191"/>
      <x:c r="Z39" s="191"/>
      <x:c r="AA39" s="191"/>
      <x:c r="AB39" s="191"/>
      <x:c r="AC39" s="191"/>
      <x:c r="AD39" s="191"/>
      <x:c r="AE39" s="191"/>
      <x:c r="AF39" s="191"/>
      <x:c r="AG39" s="191"/>
      <x:c r="AH39" s="191"/>
      <x:c r="AI39" s="191"/>
      <x:c r="AJ39" s="191"/>
      <x:c r="AK39" s="191"/>
    </x:row>
    <x:row r="40">
      <x:c r="A40" s="191"/>
      <x:c r="B40" s="191"/>
      <x:c r="C40" s="191"/>
      <x:c r="D40" s="191"/>
      <x:c r="E40" s="191"/>
      <x:c r="F40" s="191"/>
      <x:c r="G40" s="191"/>
      <x:c r="H40" s="191"/>
      <x:c r="I40" s="191"/>
      <x:c r="J40" s="191"/>
      <x:c r="K40" s="191"/>
      <x:c r="L40" s="191"/>
      <x:c r="M40" s="191"/>
      <x:c r="N40" s="191"/>
      <x:c r="O40" s="191"/>
      <x:c r="P40" s="191"/>
      <x:c r="Q40" s="191"/>
      <x:c r="R40" s="191"/>
      <x:c r="S40" s="191"/>
      <x:c r="T40" s="191"/>
      <x:c r="U40" s="191"/>
      <x:c r="V40" s="191"/>
      <x:c r="W40" s="191"/>
      <x:c r="X40" s="191"/>
      <x:c r="Y40" s="191"/>
      <x:c r="Z40" s="191"/>
      <x:c r="AA40" s="191"/>
      <x:c r="AB40" s="191"/>
      <x:c r="AC40" s="191"/>
      <x:c r="AD40" s="191"/>
      <x:c r="AE40" s="191"/>
      <x:c r="AF40" s="191"/>
      <x:c r="AG40" s="191"/>
      <x:c r="AH40" s="191"/>
      <x:c r="AI40" s="191"/>
      <x:c r="AJ40" s="191"/>
      <x:c r="AK40" s="191"/>
    </x:row>
    <x:row r="41">
      <x:c r="A41" s="191"/>
      <x:c r="B41" s="191"/>
      <x:c r="C41" s="191"/>
      <x:c r="D41" s="191"/>
      <x:c r="E41" s="191"/>
      <x:c r="F41" s="191"/>
      <x:c r="G41" s="191"/>
      <x:c r="H41" s="191"/>
      <x:c r="I41" s="191"/>
      <x:c r="J41" s="191"/>
      <x:c r="K41" s="191"/>
      <x:c r="L41" s="191"/>
      <x:c r="M41" s="191"/>
      <x:c r="N41" s="191"/>
      <x:c r="O41" s="191"/>
      <x:c r="P41" s="191"/>
      <x:c r="Q41" s="191"/>
      <x:c r="R41" s="191"/>
      <x:c r="S41" s="191"/>
      <x:c r="T41" s="191"/>
      <x:c r="U41" s="191"/>
      <x:c r="V41" s="191"/>
      <x:c r="W41" s="191"/>
      <x:c r="X41" s="191"/>
      <x:c r="Y41" s="191"/>
      <x:c r="Z41" s="191"/>
      <x:c r="AA41" s="191"/>
      <x:c r="AB41" s="191"/>
      <x:c r="AC41" s="191"/>
      <x:c r="AD41" s="191"/>
      <x:c r="AE41" s="191"/>
      <x:c r="AF41" s="191"/>
      <x:c r="AG41" s="191"/>
      <x:c r="AH41" s="191"/>
      <x:c r="AI41" s="191"/>
      <x:c r="AJ41" s="191"/>
      <x:c r="AK41" s="191"/>
    </x:row>
    <x:row r="42">
      <x:c r="A42" s="191"/>
      <x:c r="B42" s="191"/>
      <x:c r="C42" s="191"/>
      <x:c r="D42" s="191"/>
      <x:c r="E42" s="191"/>
      <x:c r="F42" s="191"/>
      <x:c r="G42" s="191"/>
      <x:c r="H42" s="191"/>
      <x:c r="I42" s="191"/>
      <x:c r="J42" s="191"/>
      <x:c r="K42" s="191"/>
      <x:c r="L42" s="191"/>
      <x:c r="M42" s="191"/>
      <x:c r="N42" s="191"/>
      <x:c r="O42" s="191"/>
      <x:c r="P42" s="191"/>
      <x:c r="Q42" s="191"/>
      <x:c r="R42" s="191"/>
      <x:c r="S42" s="191"/>
      <x:c r="T42" s="191"/>
      <x:c r="U42" s="191"/>
      <x:c r="V42" s="191"/>
      <x:c r="W42" s="191"/>
      <x:c r="X42" s="191"/>
      <x:c r="Y42" s="191"/>
      <x:c r="Z42" s="191"/>
      <x:c r="AA42" s="191"/>
      <x:c r="AB42" s="191"/>
      <x:c r="AC42" s="191"/>
      <x:c r="AD42" s="191"/>
      <x:c r="AE42" s="191"/>
      <x:c r="AF42" s="191"/>
      <x:c r="AG42" s="191"/>
      <x:c r="AH42" s="191"/>
      <x:c r="AI42" s="191"/>
      <x:c r="AJ42" s="191"/>
      <x:c r="AK42" s="191"/>
    </x:row>
    <x:row r="43">
      <x:c r="A43" s="191"/>
      <x:c r="B43" s="191"/>
      <x:c r="C43" s="191"/>
      <x:c r="D43" s="191"/>
      <x:c r="E43" s="191"/>
      <x:c r="F43" s="191"/>
      <x:c r="G43" s="191"/>
      <x:c r="H43" s="191"/>
      <x:c r="I43" s="191"/>
      <x:c r="J43" s="191"/>
      <x:c r="K43" s="191"/>
      <x:c r="L43" s="191"/>
      <x:c r="M43" s="191"/>
      <x:c r="N43" s="191"/>
      <x:c r="O43" s="191"/>
      <x:c r="P43" s="191"/>
      <x:c r="Q43" s="191"/>
      <x:c r="R43" s="191"/>
      <x:c r="S43" s="191"/>
      <x:c r="T43" s="191"/>
      <x:c r="U43" s="191"/>
      <x:c r="V43" s="191"/>
      <x:c r="W43" s="191"/>
      <x:c r="X43" s="191"/>
      <x:c r="Y43" s="191"/>
      <x:c r="Z43" s="191"/>
      <x:c r="AA43" s="191"/>
      <x:c r="AB43" s="191"/>
      <x:c r="AC43" s="191"/>
      <x:c r="AD43" s="191"/>
      <x:c r="AE43" s="191"/>
      <x:c r="AF43" s="191"/>
      <x:c r="AG43" s="191"/>
      <x:c r="AH43" s="191"/>
      <x:c r="AI43" s="191"/>
      <x:c r="AJ43" s="191"/>
      <x:c r="AK43" s="191"/>
    </x:row>
    <x:row r="44">
      <x:c r="A44" s="191"/>
      <x:c r="B44" s="191"/>
      <x:c r="C44" s="191"/>
      <x:c r="D44" s="191"/>
      <x:c r="E44" s="191"/>
      <x:c r="F44" s="191"/>
      <x:c r="G44" s="191"/>
      <x:c r="H44" s="191"/>
      <x:c r="I44" s="191"/>
      <x:c r="J44" s="191"/>
      <x:c r="K44" s="191"/>
      <x:c r="L44" s="191"/>
      <x:c r="M44" s="191"/>
      <x:c r="N44" s="191"/>
      <x:c r="O44" s="191"/>
      <x:c r="P44" s="191"/>
      <x:c r="Q44" s="191"/>
      <x:c r="R44" s="191"/>
      <x:c r="S44" s="191"/>
      <x:c r="T44" s="191"/>
      <x:c r="U44" s="191"/>
      <x:c r="V44" s="191"/>
      <x:c r="W44" s="191"/>
      <x:c r="X44" s="191"/>
      <x:c r="Y44" s="191"/>
      <x:c r="Z44" s="191"/>
      <x:c r="AA44" s="191"/>
      <x:c r="AB44" s="191"/>
      <x:c r="AC44" s="191"/>
      <x:c r="AD44" s="191"/>
      <x:c r="AE44" s="191"/>
      <x:c r="AF44" s="191"/>
      <x:c r="AG44" s="191"/>
      <x:c r="AH44" s="191"/>
      <x:c r="AI44" s="191"/>
      <x:c r="AJ44" s="191"/>
      <x:c r="AK44" s="191"/>
    </x:row>
    <x:row r="45">
      <x:c r="A45" s="191"/>
      <x:c r="B45" s="191"/>
      <x:c r="C45" s="191"/>
      <x:c r="D45" s="191"/>
      <x:c r="E45" s="191"/>
      <x:c r="F45" s="191"/>
      <x:c r="G45" s="191"/>
      <x:c r="H45" s="191"/>
      <x:c r="I45" s="191"/>
      <x:c r="J45" s="191"/>
      <x:c r="K45" s="191"/>
      <x:c r="L45" s="191"/>
      <x:c r="M45" s="191"/>
      <x:c r="N45" s="191"/>
      <x:c r="O45" s="191"/>
      <x:c r="P45" s="191"/>
      <x:c r="Q45" s="191"/>
      <x:c r="R45" s="191"/>
      <x:c r="S45" s="191"/>
      <x:c r="T45" s="191"/>
      <x:c r="U45" s="191"/>
      <x:c r="V45" s="191"/>
      <x:c r="W45" s="191"/>
      <x:c r="X45" s="191"/>
      <x:c r="Y45" s="191"/>
      <x:c r="Z45" s="191"/>
      <x:c r="AA45" s="191"/>
      <x:c r="AB45" s="191"/>
      <x:c r="AC45" s="191"/>
      <x:c r="AD45" s="191"/>
      <x:c r="AE45" s="191"/>
      <x:c r="AF45" s="191"/>
      <x:c r="AG45" s="191"/>
      <x:c r="AH45" s="191"/>
      <x:c r="AI45" s="191"/>
      <x:c r="AJ45" s="191"/>
      <x:c r="AK45" s="191"/>
    </x:row>
    <x:row r="46">
      <x:c r="A46" s="191"/>
      <x:c r="B46" s="191"/>
      <x:c r="C46" s="191"/>
      <x:c r="D46" s="191"/>
      <x:c r="E46" s="191"/>
      <x:c r="F46" s="191"/>
      <x:c r="G46" s="191"/>
      <x:c r="H46" s="191"/>
      <x:c r="I46" s="191"/>
      <x:c r="J46" s="191"/>
      <x:c r="K46" s="191"/>
      <x:c r="L46" s="191"/>
      <x:c r="M46" s="191"/>
      <x:c r="N46" s="191"/>
      <x:c r="O46" s="191"/>
      <x:c r="P46" s="191"/>
      <x:c r="Q46" s="191"/>
      <x:c r="R46" s="191"/>
      <x:c r="S46" s="191"/>
      <x:c r="T46" s="191"/>
      <x:c r="U46" s="191"/>
      <x:c r="V46" s="191"/>
      <x:c r="W46" s="191"/>
      <x:c r="X46" s="191"/>
      <x:c r="Y46" s="191"/>
      <x:c r="Z46" s="191"/>
      <x:c r="AA46" s="191"/>
      <x:c r="AB46" s="191"/>
      <x:c r="AC46" s="191"/>
      <x:c r="AD46" s="191"/>
      <x:c r="AE46" s="191"/>
      <x:c r="AF46" s="191"/>
      <x:c r="AG46" s="191"/>
      <x:c r="AH46" s="191"/>
      <x:c r="AI46" s="191"/>
      <x:c r="AJ46" s="191"/>
      <x:c r="AK46" s="191"/>
    </x:row>
    <x:row r="47">
      <x:c r="A47" s="191"/>
      <x:c r="B47" s="191"/>
      <x:c r="C47" s="191"/>
      <x:c r="D47" s="191"/>
      <x:c r="E47" s="191"/>
      <x:c r="F47" s="191"/>
      <x:c r="G47" s="191"/>
      <x:c r="H47" s="191"/>
      <x:c r="I47" s="191"/>
      <x:c r="J47" s="191"/>
      <x:c r="K47" s="191"/>
      <x:c r="L47" s="191"/>
      <x:c r="M47" s="191"/>
      <x:c r="N47" s="191"/>
      <x:c r="O47" s="191"/>
      <x:c r="P47" s="191"/>
      <x:c r="Q47" s="191"/>
      <x:c r="R47" s="191"/>
      <x:c r="S47" s="191"/>
      <x:c r="T47" s="191"/>
      <x:c r="U47" s="191"/>
      <x:c r="V47" s="191"/>
      <x:c r="W47" s="191"/>
      <x:c r="X47" s="191"/>
      <x:c r="Y47" s="191"/>
      <x:c r="Z47" s="191"/>
      <x:c r="AA47" s="191"/>
      <x:c r="AB47" s="191"/>
      <x:c r="AC47" s="191"/>
      <x:c r="AD47" s="191"/>
      <x:c r="AE47" s="191"/>
      <x:c r="AF47" s="191"/>
      <x:c r="AG47" s="191"/>
      <x:c r="AH47" s="191"/>
      <x:c r="AI47" s="191"/>
      <x:c r="AJ47" s="191"/>
      <x:c r="AK47" s="191"/>
    </x:row>
    <x:row r="48">
      <x:c r="A48" s="191"/>
      <x:c r="B48" s="191"/>
      <x:c r="C48" s="191"/>
      <x:c r="D48" s="191"/>
      <x:c r="E48" s="191"/>
      <x:c r="F48" s="191"/>
      <x:c r="G48" s="191"/>
      <x:c r="H48" s="191"/>
      <x:c r="I48" s="191"/>
      <x:c r="J48" s="191"/>
      <x:c r="K48" s="191"/>
      <x:c r="L48" s="191"/>
      <x:c r="M48" s="191"/>
      <x:c r="N48" s="191"/>
      <x:c r="O48" s="191"/>
      <x:c r="P48" s="191"/>
      <x:c r="Q48" s="191"/>
      <x:c r="R48" s="191"/>
      <x:c r="S48" s="191"/>
      <x:c r="T48" s="191"/>
      <x:c r="U48" s="191"/>
      <x:c r="V48" s="191"/>
      <x:c r="W48" s="191"/>
      <x:c r="X48" s="191"/>
      <x:c r="Y48" s="191"/>
      <x:c r="Z48" s="191"/>
      <x:c r="AA48" s="191"/>
      <x:c r="AB48" s="191"/>
      <x:c r="AC48" s="191"/>
      <x:c r="AD48" s="191"/>
      <x:c r="AE48" s="191"/>
      <x:c r="AF48" s="191"/>
      <x:c r="AG48" s="191"/>
      <x:c r="AH48" s="191"/>
      <x:c r="AI48" s="191"/>
      <x:c r="AJ48" s="191"/>
      <x:c r="AK48" s="191"/>
    </x:row>
    <x:row r="49">
      <x:c r="A49" s="191"/>
      <x:c r="B49" s="191"/>
      <x:c r="C49" s="191"/>
      <x:c r="D49" s="191"/>
      <x:c r="E49" s="191"/>
      <x:c r="F49" s="191"/>
      <x:c r="G49" s="191"/>
      <x:c r="H49" s="191"/>
      <x:c r="I49" s="191"/>
      <x:c r="J49" s="191"/>
      <x:c r="K49" s="191"/>
      <x:c r="L49" s="191"/>
      <x:c r="M49" s="191"/>
      <x:c r="N49" s="191"/>
      <x:c r="O49" s="191"/>
      <x:c r="P49" s="191"/>
      <x:c r="Q49" s="191"/>
      <x:c r="R49" s="191"/>
      <x:c r="S49" s="191"/>
      <x:c r="T49" s="191"/>
      <x:c r="U49" s="191"/>
      <x:c r="V49" s="191"/>
      <x:c r="W49" s="191"/>
      <x:c r="X49" s="191"/>
      <x:c r="Y49" s="191"/>
      <x:c r="Z49" s="191"/>
      <x:c r="AA49" s="191"/>
      <x:c r="AB49" s="191"/>
      <x:c r="AC49" s="191"/>
      <x:c r="AD49" s="191"/>
      <x:c r="AE49" s="191"/>
      <x:c r="AF49" s="191"/>
      <x:c r="AG49" s="191"/>
      <x:c r="AH49" s="191"/>
      <x:c r="AI49" s="191"/>
      <x:c r="AJ49" s="191"/>
      <x:c r="AK49" s="191"/>
    </x:row>
    <x:row r="50">
      <x:c r="A50" s="191"/>
      <x:c r="B50" s="191"/>
      <x:c r="C50" s="191"/>
      <x:c r="D50" s="191"/>
      <x:c r="E50" s="191"/>
      <x:c r="F50" s="191"/>
      <x:c r="G50" s="191"/>
      <x:c r="H50" s="191"/>
      <x:c r="I50" s="191"/>
      <x:c r="J50" s="191"/>
      <x:c r="K50" s="191"/>
      <x:c r="L50" s="191"/>
      <x:c r="M50" s="191"/>
      <x:c r="N50" s="191"/>
      <x:c r="O50" s="191"/>
      <x:c r="P50" s="191"/>
      <x:c r="Q50" s="191"/>
      <x:c r="R50" s="191"/>
      <x:c r="S50" s="191"/>
      <x:c r="T50" s="191"/>
      <x:c r="U50" s="191"/>
      <x:c r="V50" s="191"/>
      <x:c r="W50" s="191"/>
      <x:c r="X50" s="191"/>
      <x:c r="Y50" s="191"/>
      <x:c r="Z50" s="191"/>
      <x:c r="AA50" s="191"/>
      <x:c r="AB50" s="191"/>
      <x:c r="AC50" s="191"/>
      <x:c r="AD50" s="191"/>
      <x:c r="AE50" s="191"/>
      <x:c r="AF50" s="191"/>
      <x:c r="AG50" s="191"/>
      <x:c r="AH50" s="191"/>
      <x:c r="AI50" s="191"/>
      <x:c r="AJ50" s="191"/>
      <x:c r="AK50" s="191"/>
    </x:row>
    <x:row r="51">
      <x:c r="A51" s="191"/>
      <x:c r="B51" s="191"/>
      <x:c r="C51" s="191"/>
      <x:c r="D51" s="191"/>
      <x:c r="E51" s="191"/>
      <x:c r="F51" s="191"/>
      <x:c r="G51" s="191"/>
      <x:c r="H51" s="191"/>
      <x:c r="I51" s="191"/>
      <x:c r="J51" s="191"/>
      <x:c r="K51" s="191"/>
      <x:c r="L51" s="191"/>
      <x:c r="M51" s="191"/>
      <x:c r="N51" s="191"/>
      <x:c r="O51" s="191"/>
      <x:c r="P51" s="191"/>
      <x:c r="Q51" s="191"/>
      <x:c r="R51" s="191"/>
      <x:c r="S51" s="191"/>
      <x:c r="T51" s="191"/>
      <x:c r="U51" s="191"/>
      <x:c r="V51" s="191"/>
      <x:c r="W51" s="191"/>
      <x:c r="X51" s="191"/>
      <x:c r="Y51" s="191"/>
      <x:c r="Z51" s="191"/>
      <x:c r="AA51" s="191"/>
      <x:c r="AB51" s="191"/>
      <x:c r="AC51" s="191"/>
      <x:c r="AD51" s="191"/>
      <x:c r="AE51" s="191"/>
      <x:c r="AF51" s="191"/>
      <x:c r="AG51" s="191"/>
      <x:c r="AH51" s="191"/>
      <x:c r="AI51" s="191"/>
      <x:c r="AJ51" s="191"/>
      <x:c r="AK51" s="191"/>
    </x:row>
    <x:row r="52">
      <x:c r="A52" s="191"/>
      <x:c r="B52" s="191"/>
      <x:c r="C52" s="191"/>
      <x:c r="D52" s="191"/>
      <x:c r="E52" s="191"/>
      <x:c r="F52" s="191"/>
      <x:c r="G52" s="191"/>
      <x:c r="H52" s="191"/>
      <x:c r="I52" s="191"/>
      <x:c r="J52" s="191"/>
      <x:c r="K52" s="191"/>
      <x:c r="L52" s="191"/>
      <x:c r="M52" s="191"/>
      <x:c r="N52" s="191"/>
      <x:c r="O52" s="191"/>
      <x:c r="P52" s="191"/>
      <x:c r="Q52" s="191"/>
      <x:c r="R52" s="191"/>
      <x:c r="S52" s="191"/>
      <x:c r="T52" s="191"/>
      <x:c r="U52" s="191"/>
      <x:c r="V52" s="191"/>
      <x:c r="W52" s="191"/>
      <x:c r="X52" s="191"/>
      <x:c r="Y52" s="191"/>
      <x:c r="Z52" s="191"/>
      <x:c r="AA52" s="191"/>
      <x:c r="AB52" s="191"/>
      <x:c r="AC52" s="191"/>
      <x:c r="AD52" s="191"/>
      <x:c r="AE52" s="191"/>
      <x:c r="AF52" s="191"/>
      <x:c r="AG52" s="191"/>
      <x:c r="AH52" s="191"/>
      <x:c r="AI52" s="191"/>
      <x:c r="AJ52" s="191"/>
      <x:c r="AK52" s="191"/>
    </x:row>
    <x:row r="53">
      <x:c r="A53" s="191"/>
      <x:c r="B53" s="191"/>
      <x:c r="C53" s="191"/>
      <x:c r="D53" s="191"/>
      <x:c r="E53" s="191"/>
      <x:c r="F53" s="191"/>
      <x:c r="G53" s="191"/>
      <x:c r="H53" s="191"/>
      <x:c r="I53" s="191"/>
      <x:c r="J53" s="191"/>
      <x:c r="K53" s="191"/>
      <x:c r="L53" s="191"/>
      <x:c r="M53" s="191"/>
      <x:c r="N53" s="191"/>
      <x:c r="O53" s="191"/>
      <x:c r="P53" s="191"/>
      <x:c r="Q53" s="191"/>
      <x:c r="R53" s="191"/>
      <x:c r="S53" s="191"/>
      <x:c r="T53" s="191"/>
      <x:c r="U53" s="191"/>
      <x:c r="V53" s="191"/>
      <x:c r="W53" s="191"/>
      <x:c r="X53" s="191"/>
      <x:c r="Y53" s="191"/>
      <x:c r="Z53" s="191"/>
      <x:c r="AA53" s="191"/>
      <x:c r="AB53" s="191"/>
      <x:c r="AC53" s="191"/>
      <x:c r="AD53" s="191"/>
      <x:c r="AE53" s="191"/>
      <x:c r="AF53" s="191"/>
      <x:c r="AG53" s="191"/>
      <x:c r="AH53" s="191"/>
      <x:c r="AI53" s="191"/>
      <x:c r="AJ53" s="191"/>
      <x:c r="AK53" s="191"/>
    </x:row>
    <x:row r="54">
      <x:c r="A54" s="191"/>
      <x:c r="B54" s="191"/>
      <x:c r="C54" s="191"/>
      <x:c r="D54" s="191"/>
      <x:c r="E54" s="191"/>
      <x:c r="F54" s="191"/>
      <x:c r="G54" s="191"/>
      <x:c r="H54" s="191"/>
      <x:c r="I54" s="191"/>
      <x:c r="J54" s="191"/>
      <x:c r="K54" s="191"/>
      <x:c r="L54" s="191"/>
      <x:c r="M54" s="191"/>
      <x:c r="N54" s="191"/>
      <x:c r="O54" s="191"/>
      <x:c r="P54" s="191"/>
      <x:c r="Q54" s="191"/>
      <x:c r="R54" s="191"/>
      <x:c r="S54" s="191"/>
      <x:c r="T54" s="191"/>
      <x:c r="U54" s="191"/>
      <x:c r="V54" s="191"/>
      <x:c r="W54" s="191"/>
      <x:c r="X54" s="191"/>
      <x:c r="Y54" s="191"/>
      <x:c r="Z54" s="191"/>
      <x:c r="AA54" s="191"/>
      <x:c r="AB54" s="191"/>
      <x:c r="AC54" s="191"/>
      <x:c r="AD54" s="191"/>
      <x:c r="AE54" s="191"/>
      <x:c r="AF54" s="191"/>
      <x:c r="AG54" s="191"/>
      <x:c r="AH54" s="191"/>
      <x:c r="AI54" s="191"/>
      <x:c r="AJ54" s="191"/>
      <x:c r="AK54" s="191"/>
    </x:row>
    <x:row r="55">
      <x:c r="A55" s="191"/>
      <x:c r="B55" s="191"/>
      <x:c r="C55" s="191"/>
      <x:c r="D55" s="191"/>
      <x:c r="E55" s="191"/>
      <x:c r="F55" s="191"/>
      <x:c r="G55" s="191"/>
      <x:c r="H55" s="191"/>
      <x:c r="I55" s="191"/>
      <x:c r="J55" s="191"/>
      <x:c r="K55" s="191"/>
      <x:c r="L55" s="191"/>
      <x:c r="M55" s="191"/>
      <x:c r="N55" s="191"/>
      <x:c r="O55" s="191"/>
      <x:c r="P55" s="191"/>
      <x:c r="Q55" s="191"/>
      <x:c r="R55" s="191"/>
      <x:c r="S55" s="191"/>
      <x:c r="T55" s="191"/>
      <x:c r="U55" s="191"/>
      <x:c r="V55" s="191"/>
      <x:c r="W55" s="191"/>
      <x:c r="X55" s="191"/>
      <x:c r="Y55" s="191"/>
      <x:c r="Z55" s="191"/>
      <x:c r="AA55" s="191"/>
      <x:c r="AB55" s="191"/>
      <x:c r="AC55" s="191"/>
      <x:c r="AD55" s="191"/>
      <x:c r="AE55" s="191"/>
      <x:c r="AF55" s="191"/>
      <x:c r="AG55" s="191"/>
      <x:c r="AH55" s="191"/>
      <x:c r="AI55" s="191"/>
      <x:c r="AJ55" s="191"/>
      <x:c r="AK55" s="191"/>
    </x:row>
    <x:row r="56">
      <x:c r="A56" s="191"/>
      <x:c r="B56" s="191"/>
      <x:c r="C56" s="191"/>
      <x:c r="D56" s="191"/>
      <x:c r="E56" s="191"/>
      <x:c r="F56" s="191"/>
      <x:c r="G56" s="191"/>
      <x:c r="H56" s="191"/>
      <x:c r="I56" s="191"/>
      <x:c r="J56" s="191"/>
      <x:c r="K56" s="191"/>
      <x:c r="L56" s="191"/>
      <x:c r="M56" s="191"/>
      <x:c r="N56" s="191"/>
      <x:c r="O56" s="191"/>
      <x:c r="P56" s="191"/>
      <x:c r="Q56" s="191"/>
      <x:c r="R56" s="191"/>
      <x:c r="S56" s="191"/>
      <x:c r="T56" s="191"/>
      <x:c r="U56" s="191"/>
      <x:c r="V56" s="191"/>
      <x:c r="W56" s="191"/>
      <x:c r="X56" s="191"/>
      <x:c r="Y56" s="191"/>
      <x:c r="Z56" s="191"/>
      <x:c r="AA56" s="191"/>
      <x:c r="AB56" s="191"/>
      <x:c r="AC56" s="191"/>
      <x:c r="AD56" s="191"/>
      <x:c r="AE56" s="191"/>
      <x:c r="AF56" s="191"/>
      <x:c r="AG56" s="191"/>
      <x:c r="AH56" s="191"/>
      <x:c r="AI56" s="191"/>
      <x:c r="AJ56" s="191"/>
      <x:c r="AK56" s="191"/>
    </x:row>
    <x:row r="57">
      <x:c r="A57" s="191"/>
      <x:c r="B57" s="191"/>
      <x:c r="C57" s="191"/>
      <x:c r="D57" s="191"/>
      <x:c r="E57" s="191"/>
      <x:c r="F57" s="191"/>
      <x:c r="G57" s="191"/>
      <x:c r="H57" s="191"/>
      <x:c r="I57" s="191"/>
      <x:c r="J57" s="191"/>
      <x:c r="K57" s="191"/>
      <x:c r="L57" s="191"/>
      <x:c r="M57" s="191"/>
      <x:c r="N57" s="191"/>
      <x:c r="O57" s="191"/>
      <x:c r="P57" s="191"/>
      <x:c r="Q57" s="191"/>
      <x:c r="R57" s="191"/>
      <x:c r="S57" s="191"/>
      <x:c r="T57" s="191"/>
      <x:c r="U57" s="191"/>
      <x:c r="V57" s="191"/>
      <x:c r="W57" s="191"/>
      <x:c r="X57" s="191"/>
      <x:c r="Y57" s="191"/>
      <x:c r="Z57" s="191"/>
      <x:c r="AA57" s="191"/>
      <x:c r="AB57" s="191"/>
      <x:c r="AC57" s="191"/>
      <x:c r="AD57" s="191"/>
      <x:c r="AE57" s="191"/>
      <x:c r="AF57" s="191"/>
      <x:c r="AG57" s="191"/>
      <x:c r="AH57" s="191"/>
      <x:c r="AI57" s="191"/>
      <x:c r="AJ57" s="191"/>
      <x:c r="AK57" s="191"/>
    </x:row>
    <x:row r="58">
      <x:c r="A58" s="191"/>
      <x:c r="B58" s="191"/>
      <x:c r="C58" s="191"/>
      <x:c r="D58" s="191"/>
      <x:c r="E58" s="191"/>
      <x:c r="F58" s="191"/>
      <x:c r="G58" s="191"/>
      <x:c r="H58" s="191"/>
      <x:c r="I58" s="191"/>
      <x:c r="J58" s="191"/>
      <x:c r="K58" s="191"/>
      <x:c r="L58" s="191"/>
      <x:c r="M58" s="191"/>
      <x:c r="N58" s="191"/>
      <x:c r="O58" s="191"/>
      <x:c r="P58" s="191"/>
      <x:c r="Q58" s="191"/>
      <x:c r="R58" s="191"/>
      <x:c r="S58" s="191"/>
      <x:c r="T58" s="191"/>
      <x:c r="U58" s="191"/>
      <x:c r="V58" s="191"/>
      <x:c r="W58" s="191"/>
      <x:c r="X58" s="191"/>
      <x:c r="Y58" s="191"/>
      <x:c r="Z58" s="191"/>
      <x:c r="AA58" s="191"/>
      <x:c r="AB58" s="191"/>
      <x:c r="AC58" s="191"/>
      <x:c r="AD58" s="191"/>
      <x:c r="AE58" s="191"/>
      <x:c r="AF58" s="191"/>
      <x:c r="AG58" s="191"/>
      <x:c r="AH58" s="191"/>
      <x:c r="AI58" s="191"/>
      <x:c r="AJ58" s="191"/>
      <x:c r="AK58" s="191"/>
    </x:row>
    <x:row r="59">
      <x:c r="A59" s="191"/>
      <x:c r="B59" s="191"/>
      <x:c r="C59" s="191"/>
      <x:c r="D59" s="191"/>
      <x:c r="E59" s="191"/>
      <x:c r="F59" s="191"/>
      <x:c r="G59" s="191"/>
      <x:c r="H59" s="191"/>
      <x:c r="I59" s="191"/>
      <x:c r="J59" s="191"/>
      <x:c r="K59" s="191"/>
      <x:c r="L59" s="191"/>
      <x:c r="M59" s="191"/>
      <x:c r="N59" s="191"/>
      <x:c r="O59" s="191"/>
      <x:c r="P59" s="191"/>
      <x:c r="Q59" s="191"/>
      <x:c r="R59" s="191"/>
      <x:c r="S59" s="191"/>
      <x:c r="T59" s="191"/>
      <x:c r="U59" s="191"/>
      <x:c r="V59" s="191"/>
      <x:c r="W59" s="191"/>
      <x:c r="X59" s="191"/>
      <x:c r="Y59" s="191"/>
      <x:c r="Z59" s="191"/>
      <x:c r="AA59" s="191"/>
      <x:c r="AB59" s="191"/>
      <x:c r="AC59" s="191"/>
      <x:c r="AD59" s="191"/>
      <x:c r="AE59" s="191"/>
      <x:c r="AF59" s="191"/>
      <x:c r="AG59" s="191"/>
      <x:c r="AH59" s="191"/>
      <x:c r="AI59" s="191"/>
      <x:c r="AJ59" s="191"/>
      <x:c r="AK59" s="191"/>
    </x:row>
    <x:row r="60">
      <x:c r="A60" s="191"/>
      <x:c r="B60" s="191"/>
      <x:c r="C60" s="191"/>
      <x:c r="D60" s="191"/>
      <x:c r="E60" s="191"/>
      <x:c r="F60" s="191"/>
      <x:c r="G60" s="191"/>
      <x:c r="H60" s="191"/>
      <x:c r="I60" s="191"/>
      <x:c r="J60" s="191"/>
      <x:c r="K60" s="191"/>
      <x:c r="L60" s="191"/>
      <x:c r="M60" s="191"/>
      <x:c r="N60" s="191"/>
      <x:c r="O60" s="191"/>
      <x:c r="P60" s="191"/>
      <x:c r="Q60" s="191"/>
      <x:c r="R60" s="191"/>
      <x:c r="S60" s="191"/>
      <x:c r="T60" s="191"/>
      <x:c r="U60" s="191"/>
      <x:c r="V60" s="191"/>
      <x:c r="W60" s="191"/>
      <x:c r="X60" s="191"/>
      <x:c r="Y60" s="191"/>
      <x:c r="Z60" s="191"/>
      <x:c r="AA60" s="191"/>
      <x:c r="AB60" s="191"/>
      <x:c r="AC60" s="191"/>
      <x:c r="AD60" s="191"/>
      <x:c r="AE60" s="191"/>
      <x:c r="AF60" s="191"/>
      <x:c r="AG60" s="191"/>
      <x:c r="AH60" s="191"/>
      <x:c r="AI60" s="191"/>
      <x:c r="AJ60" s="191"/>
      <x:c r="AK60" s="191"/>
    </x:row>
    <x:row r="61">
      <x:c r="A61" s="191"/>
      <x:c r="B61" s="191"/>
      <x:c r="C61" s="191"/>
      <x:c r="D61" s="191"/>
      <x:c r="E61" s="191"/>
      <x:c r="F61" s="191"/>
      <x:c r="G61" s="191"/>
      <x:c r="H61" s="191"/>
      <x:c r="I61" s="191"/>
      <x:c r="J61" s="191"/>
      <x:c r="K61" s="191"/>
      <x:c r="L61" s="191"/>
      <x:c r="M61" s="191"/>
      <x:c r="N61" s="191"/>
      <x:c r="O61" s="191"/>
      <x:c r="P61" s="191"/>
      <x:c r="Q61" s="191"/>
      <x:c r="R61" s="191"/>
      <x:c r="S61" s="191"/>
      <x:c r="T61" s="191"/>
      <x:c r="U61" s="191"/>
      <x:c r="V61" s="191"/>
      <x:c r="W61" s="191"/>
      <x:c r="X61" s="191"/>
      <x:c r="Y61" s="191"/>
      <x:c r="Z61" s="191"/>
      <x:c r="AA61" s="191"/>
      <x:c r="AB61" s="191"/>
      <x:c r="AC61" s="191"/>
      <x:c r="AD61" s="191"/>
      <x:c r="AE61" s="191"/>
      <x:c r="AF61" s="191"/>
      <x:c r="AG61" s="191"/>
      <x:c r="AH61" s="191"/>
      <x:c r="AI61" s="191"/>
      <x:c r="AJ61" s="191"/>
      <x:c r="AK61" s="191"/>
    </x:row>
    <x:row r="62">
      <x:c r="A62" s="191"/>
      <x:c r="B62" s="191"/>
      <x:c r="C62" s="191"/>
      <x:c r="D62" s="191"/>
      <x:c r="E62" s="191"/>
      <x:c r="F62" s="191"/>
      <x:c r="G62" s="191"/>
      <x:c r="H62" s="191"/>
      <x:c r="I62" s="191"/>
      <x:c r="J62" s="191"/>
      <x:c r="K62" s="191"/>
      <x:c r="L62" s="191"/>
      <x:c r="M62" s="191"/>
      <x:c r="N62" s="191"/>
      <x:c r="O62" s="191"/>
      <x:c r="P62" s="191"/>
      <x:c r="Q62" s="191"/>
      <x:c r="R62" s="191"/>
      <x:c r="S62" s="191"/>
      <x:c r="T62" s="191"/>
      <x:c r="U62" s="191"/>
      <x:c r="V62" s="191"/>
      <x:c r="W62" s="191"/>
      <x:c r="X62" s="191"/>
      <x:c r="Y62" s="191"/>
      <x:c r="Z62" s="191"/>
      <x:c r="AA62" s="191"/>
      <x:c r="AB62" s="191"/>
      <x:c r="AC62" s="191"/>
      <x:c r="AD62" s="191"/>
      <x:c r="AE62" s="191"/>
      <x:c r="AF62" s="191"/>
      <x:c r="AG62" s="191"/>
      <x:c r="AH62" s="191"/>
      <x:c r="AI62" s="191"/>
      <x:c r="AJ62" s="191"/>
      <x:c r="AK62" s="191"/>
    </x:row>
    <x:row r="63">
      <x:c r="A63" s="191"/>
      <x:c r="B63" s="191"/>
      <x:c r="C63" s="191"/>
      <x:c r="D63" s="191"/>
      <x:c r="E63" s="191"/>
      <x:c r="F63" s="191"/>
      <x:c r="G63" s="191"/>
      <x:c r="H63" s="191"/>
      <x:c r="I63" s="191"/>
      <x:c r="J63" s="191"/>
      <x:c r="K63" s="191"/>
      <x:c r="L63" s="191"/>
      <x:c r="M63" s="191"/>
      <x:c r="N63" s="191"/>
      <x:c r="O63" s="191"/>
      <x:c r="P63" s="191"/>
      <x:c r="Q63" s="191"/>
      <x:c r="R63" s="191"/>
      <x:c r="S63" s="191"/>
      <x:c r="T63" s="191"/>
      <x:c r="U63" s="191"/>
      <x:c r="V63" s="191"/>
      <x:c r="W63" s="191"/>
      <x:c r="X63" s="191"/>
      <x:c r="Y63" s="191"/>
      <x:c r="Z63" s="191"/>
      <x:c r="AA63" s="191"/>
      <x:c r="AB63" s="191"/>
      <x:c r="AC63" s="191"/>
      <x:c r="AD63" s="191"/>
      <x:c r="AE63" s="191"/>
      <x:c r="AF63" s="191"/>
      <x:c r="AG63" s="191"/>
      <x:c r="AH63" s="191"/>
      <x:c r="AI63" s="191"/>
      <x:c r="AJ63" s="191"/>
      <x:c r="AK63" s="191"/>
    </x:row>
    <x:row r="64">
      <x:c r="A64" s="191"/>
      <x:c r="B64" s="191"/>
      <x:c r="C64" s="191"/>
      <x:c r="D64" s="191"/>
      <x:c r="E64" s="191"/>
      <x:c r="F64" s="191"/>
      <x:c r="G64" s="191"/>
      <x:c r="H64" s="191"/>
      <x:c r="I64" s="191"/>
      <x:c r="J64" s="191"/>
      <x:c r="K64" s="191"/>
      <x:c r="L64" s="191"/>
      <x:c r="M64" s="191"/>
      <x:c r="N64" s="191"/>
      <x:c r="O64" s="191"/>
      <x:c r="P64" s="191"/>
      <x:c r="Q64" s="191"/>
      <x:c r="R64" s="191"/>
      <x:c r="S64" s="191"/>
      <x:c r="T64" s="191"/>
      <x:c r="U64" s="191"/>
      <x:c r="V64" s="191"/>
      <x:c r="W64" s="191"/>
      <x:c r="X64" s="191"/>
      <x:c r="Y64" s="191"/>
      <x:c r="Z64" s="191"/>
      <x:c r="AA64" s="191"/>
      <x:c r="AB64" s="191"/>
      <x:c r="AC64" s="191"/>
      <x:c r="AD64" s="191"/>
      <x:c r="AE64" s="191"/>
      <x:c r="AF64" s="191"/>
      <x:c r="AG64" s="191"/>
      <x:c r="AH64" s="191"/>
      <x:c r="AI64" s="191"/>
      <x:c r="AJ64" s="191"/>
      <x:c r="AK64" s="191"/>
    </x:row>
    <x:row r="65">
      <x:c r="A65" s="191"/>
      <x:c r="B65" s="191"/>
      <x:c r="C65" s="191"/>
      <x:c r="D65" s="191"/>
      <x:c r="E65" s="191"/>
      <x:c r="F65" s="191"/>
      <x:c r="G65" s="191"/>
      <x:c r="H65" s="191"/>
      <x:c r="I65" s="191"/>
      <x:c r="J65" s="191"/>
      <x:c r="K65" s="191"/>
      <x:c r="L65" s="191"/>
      <x:c r="M65" s="191"/>
      <x:c r="N65" s="191"/>
      <x:c r="O65" s="191"/>
      <x:c r="P65" s="191"/>
      <x:c r="Q65" s="191"/>
      <x:c r="R65" s="191"/>
      <x:c r="S65" s="191"/>
      <x:c r="T65" s="191"/>
      <x:c r="U65" s="191"/>
      <x:c r="V65" s="191"/>
      <x:c r="W65" s="191"/>
      <x:c r="X65" s="191"/>
      <x:c r="Y65" s="191"/>
      <x:c r="Z65" s="191"/>
      <x:c r="AA65" s="191"/>
      <x:c r="AB65" s="191"/>
      <x:c r="AC65" s="191"/>
      <x:c r="AD65" s="191"/>
      <x:c r="AE65" s="191"/>
      <x:c r="AF65" s="191"/>
      <x:c r="AG65" s="191"/>
      <x:c r="AH65" s="191"/>
      <x:c r="AI65" s="191"/>
      <x:c r="AJ65" s="191"/>
      <x:c r="AK65" s="191"/>
    </x:row>
    <x:row r="66">
      <x:c r="A66" s="191"/>
      <x:c r="B66" s="191"/>
      <x:c r="C66" s="191"/>
      <x:c r="D66" s="191"/>
      <x:c r="E66" s="191"/>
      <x:c r="F66" s="191"/>
      <x:c r="G66" s="191"/>
      <x:c r="H66" s="191"/>
      <x:c r="I66" s="191"/>
      <x:c r="J66" s="191"/>
      <x:c r="K66" s="191"/>
      <x:c r="L66" s="191"/>
      <x:c r="M66" s="191"/>
      <x:c r="N66" s="191"/>
      <x:c r="O66" s="191"/>
      <x:c r="P66" s="191"/>
      <x:c r="Q66" s="191"/>
      <x:c r="R66" s="191"/>
      <x:c r="S66" s="191"/>
      <x:c r="T66" s="191"/>
      <x:c r="U66" s="191"/>
      <x:c r="V66" s="191"/>
      <x:c r="W66" s="191"/>
      <x:c r="X66" s="191"/>
      <x:c r="Y66" s="191"/>
      <x:c r="Z66" s="191"/>
      <x:c r="AA66" s="191"/>
      <x:c r="AB66" s="191"/>
      <x:c r="AC66" s="191"/>
      <x:c r="AD66" s="191"/>
      <x:c r="AE66" s="191"/>
      <x:c r="AF66" s="191"/>
      <x:c r="AG66" s="191"/>
      <x:c r="AH66" s="191"/>
      <x:c r="AI66" s="191"/>
      <x:c r="AJ66" s="191"/>
      <x:c r="AK66" s="191"/>
    </x:row>
    <x:row r="67">
      <x:c r="A67" s="191"/>
      <x:c r="B67" s="191"/>
      <x:c r="C67" s="191"/>
      <x:c r="D67" s="191"/>
      <x:c r="E67" s="191"/>
      <x:c r="F67" s="191"/>
      <x:c r="G67" s="191"/>
      <x:c r="H67" s="191"/>
      <x:c r="I67" s="191"/>
      <x:c r="J67" s="191"/>
      <x:c r="K67" s="191"/>
      <x:c r="L67" s="191"/>
      <x:c r="M67" s="191"/>
      <x:c r="N67" s="191"/>
      <x:c r="O67" s="191"/>
      <x:c r="P67" s="191"/>
      <x:c r="Q67" s="191"/>
      <x:c r="R67" s="191"/>
      <x:c r="S67" s="191"/>
      <x:c r="T67" s="191"/>
      <x:c r="U67" s="191"/>
      <x:c r="V67" s="191"/>
      <x:c r="W67" s="191"/>
      <x:c r="X67" s="191"/>
      <x:c r="Y67" s="191"/>
      <x:c r="Z67" s="191"/>
      <x:c r="AA67" s="191"/>
      <x:c r="AB67" s="191"/>
      <x:c r="AC67" s="191"/>
      <x:c r="AD67" s="191"/>
      <x:c r="AE67" s="191"/>
      <x:c r="AF67" s="191"/>
      <x:c r="AG67" s="191"/>
      <x:c r="AH67" s="191"/>
      <x:c r="AI67" s="191"/>
      <x:c r="AJ67" s="191"/>
      <x:c r="AK67" s="191"/>
    </x:row>
    <x:row r="68">
      <x:c r="A68" s="191"/>
      <x:c r="B68" s="191"/>
      <x:c r="C68" s="191"/>
      <x:c r="D68" s="191"/>
      <x:c r="E68" s="191"/>
      <x:c r="F68" s="191"/>
      <x:c r="G68" s="191"/>
      <x:c r="H68" s="191"/>
      <x:c r="I68" s="191"/>
      <x:c r="J68" s="191"/>
      <x:c r="K68" s="191"/>
      <x:c r="L68" s="191"/>
      <x:c r="M68" s="191"/>
      <x:c r="N68" s="191"/>
      <x:c r="O68" s="191"/>
      <x:c r="P68" s="191"/>
      <x:c r="Q68" s="191"/>
      <x:c r="R68" s="191"/>
      <x:c r="S68" s="191"/>
      <x:c r="T68" s="191"/>
      <x:c r="U68" s="191"/>
      <x:c r="V68" s="191"/>
      <x:c r="W68" s="191"/>
      <x:c r="X68" s="191"/>
      <x:c r="Y68" s="191"/>
      <x:c r="Z68" s="191"/>
      <x:c r="AA68" s="191"/>
      <x:c r="AB68" s="191"/>
      <x:c r="AC68" s="191"/>
      <x:c r="AD68" s="191"/>
      <x:c r="AE68" s="191"/>
      <x:c r="AF68" s="191"/>
      <x:c r="AG68" s="191"/>
      <x:c r="AH68" s="191"/>
      <x:c r="AI68" s="191"/>
      <x:c r="AJ68" s="191"/>
      <x:c r="AK68" s="191"/>
    </x:row>
    <x:row r="69">
      <x:c r="A69" s="191"/>
      <x:c r="B69" s="191"/>
      <x:c r="C69" s="191"/>
      <x:c r="D69" s="191"/>
      <x:c r="E69" s="191"/>
      <x:c r="F69" s="191"/>
      <x:c r="G69" s="191"/>
      <x:c r="H69" s="191"/>
      <x:c r="I69" s="191"/>
      <x:c r="J69" s="191"/>
      <x:c r="K69" s="191"/>
      <x:c r="L69" s="191"/>
      <x:c r="M69" s="191"/>
      <x:c r="N69" s="191"/>
      <x:c r="O69" s="191"/>
      <x:c r="P69" s="191"/>
      <x:c r="Q69" s="191"/>
      <x:c r="R69" s="191"/>
      <x:c r="S69" s="191"/>
      <x:c r="T69" s="191"/>
      <x:c r="U69" s="191"/>
      <x:c r="V69" s="191"/>
      <x:c r="W69" s="191"/>
      <x:c r="X69" s="191"/>
      <x:c r="Y69" s="191"/>
      <x:c r="Z69" s="191"/>
      <x:c r="AA69" s="191"/>
      <x:c r="AB69" s="191"/>
      <x:c r="AC69" s="191"/>
      <x:c r="AD69" s="191"/>
      <x:c r="AE69" s="191"/>
      <x:c r="AF69" s="191"/>
      <x:c r="AG69" s="191"/>
      <x:c r="AH69" s="191"/>
      <x:c r="AI69" s="191"/>
      <x:c r="AJ69" s="191"/>
      <x:c r="AK69" s="191"/>
    </x:row>
    <x:row r="70">
      <x:c r="A70" s="191"/>
      <x:c r="B70" s="191"/>
      <x:c r="C70" s="191"/>
      <x:c r="D70" s="191"/>
      <x:c r="E70" s="191"/>
      <x:c r="F70" s="191"/>
      <x:c r="G70" s="191"/>
      <x:c r="H70" s="191"/>
      <x:c r="I70" s="191"/>
      <x:c r="J70" s="191"/>
      <x:c r="K70" s="191"/>
      <x:c r="L70" s="191"/>
      <x:c r="M70" s="191"/>
      <x:c r="N70" s="191"/>
      <x:c r="O70" s="191"/>
      <x:c r="P70" s="191"/>
      <x:c r="Q70" s="191"/>
      <x:c r="R70" s="191"/>
      <x:c r="S70" s="191"/>
      <x:c r="T70" s="191"/>
      <x:c r="U70" s="191"/>
      <x:c r="V70" s="191"/>
      <x:c r="W70" s="191"/>
      <x:c r="X70" s="191"/>
      <x:c r="Y70" s="191"/>
      <x:c r="Z70" s="191"/>
      <x:c r="AA70" s="191"/>
      <x:c r="AB70" s="191"/>
      <x:c r="AC70" s="191"/>
      <x:c r="AD70" s="191"/>
      <x:c r="AE70" s="191"/>
      <x:c r="AF70" s="191"/>
      <x:c r="AG70" s="191"/>
      <x:c r="AH70" s="191"/>
      <x:c r="AI70" s="191"/>
      <x:c r="AJ70" s="191"/>
      <x:c r="AK70" s="191"/>
    </x:row>
    <x:row r="71">
      <x:c r="A71" s="191"/>
      <x:c r="B71" s="191"/>
      <x:c r="C71" s="191"/>
      <x:c r="D71" s="191"/>
      <x:c r="E71" s="191"/>
      <x:c r="F71" s="191"/>
      <x:c r="G71" s="191"/>
      <x:c r="H71" s="191"/>
      <x:c r="I71" s="191"/>
      <x:c r="J71" s="191"/>
      <x:c r="K71" s="191"/>
      <x:c r="L71" s="191"/>
      <x:c r="M71" s="191"/>
      <x:c r="N71" s="191"/>
      <x:c r="O71" s="191"/>
      <x:c r="P71" s="191"/>
      <x:c r="Q71" s="191"/>
      <x:c r="R71" s="191"/>
      <x:c r="S71" s="191"/>
      <x:c r="T71" s="191"/>
      <x:c r="U71" s="191"/>
      <x:c r="V71" s="191"/>
      <x:c r="W71" s="191"/>
      <x:c r="X71" s="191"/>
      <x:c r="Y71" s="191"/>
      <x:c r="Z71" s="191"/>
      <x:c r="AA71" s="191"/>
      <x:c r="AB71" s="191"/>
      <x:c r="AC71" s="191"/>
      <x:c r="AD71" s="191"/>
      <x:c r="AE71" s="191"/>
      <x:c r="AF71" s="191"/>
      <x:c r="AG71" s="191"/>
      <x:c r="AH71" s="191"/>
      <x:c r="AI71" s="191"/>
      <x:c r="AJ71" s="191"/>
      <x:c r="AK71" s="191"/>
    </x:row>
    <x:row r="72">
      <x:c r="A72" s="191"/>
      <x:c r="B72" s="191"/>
      <x:c r="C72" s="191"/>
      <x:c r="D72" s="191"/>
      <x:c r="E72" s="191"/>
      <x:c r="F72" s="191"/>
      <x:c r="G72" s="191"/>
      <x:c r="H72" s="191"/>
      <x:c r="I72" s="191"/>
      <x:c r="J72" s="191"/>
      <x:c r="K72" s="191"/>
      <x:c r="L72" s="191"/>
      <x:c r="M72" s="191"/>
      <x:c r="N72" s="191"/>
      <x:c r="O72" s="191"/>
      <x:c r="P72" s="191"/>
      <x:c r="Q72" s="191"/>
      <x:c r="R72" s="191"/>
      <x:c r="S72" s="191"/>
      <x:c r="T72" s="191"/>
      <x:c r="U72" s="191"/>
      <x:c r="V72" s="191"/>
      <x:c r="W72" s="191"/>
      <x:c r="X72" s="191"/>
      <x:c r="Y72" s="191"/>
      <x:c r="Z72" s="191"/>
      <x:c r="AA72" s="191"/>
      <x:c r="AB72" s="191"/>
      <x:c r="AC72" s="191"/>
      <x:c r="AD72" s="191"/>
      <x:c r="AE72" s="191"/>
      <x:c r="AF72" s="191"/>
      <x:c r="AG72" s="191"/>
      <x:c r="AH72" s="191"/>
      <x:c r="AI72" s="191"/>
      <x:c r="AJ72" s="191"/>
      <x:c r="AK72" s="191"/>
    </x:row>
    <x:row r="73">
      <x:c r="A73" s="191"/>
      <x:c r="B73" s="191"/>
      <x:c r="C73" s="191"/>
      <x:c r="D73" s="191"/>
      <x:c r="E73" s="191"/>
      <x:c r="F73" s="191"/>
      <x:c r="G73" s="191"/>
      <x:c r="H73" s="191"/>
      <x:c r="I73" s="191"/>
      <x:c r="J73" s="191"/>
      <x:c r="K73" s="191"/>
      <x:c r="L73" s="191"/>
      <x:c r="M73" s="191"/>
      <x:c r="N73" s="191"/>
      <x:c r="O73" s="191"/>
      <x:c r="P73" s="191"/>
      <x:c r="Q73" s="191"/>
      <x:c r="R73" s="191"/>
      <x:c r="S73" s="191"/>
      <x:c r="T73" s="191"/>
      <x:c r="U73" s="191"/>
      <x:c r="V73" s="191"/>
      <x:c r="W73" s="191"/>
      <x:c r="X73" s="191"/>
      <x:c r="Y73" s="191"/>
      <x:c r="Z73" s="191"/>
      <x:c r="AA73" s="191"/>
      <x:c r="AB73" s="191"/>
      <x:c r="AC73" s="191"/>
      <x:c r="AD73" s="191"/>
      <x:c r="AE73" s="191"/>
      <x:c r="AF73" s="191"/>
      <x:c r="AG73" s="191"/>
      <x:c r="AH73" s="191"/>
      <x:c r="AI73" s="191"/>
      <x:c r="AJ73" s="191"/>
      <x:c r="AK73" s="191"/>
    </x:row>
    <x:row r="74">
      <x:c r="A74" s="191"/>
      <x:c r="B74" s="191"/>
      <x:c r="C74" s="191"/>
      <x:c r="D74" s="191"/>
      <x:c r="E74" s="191"/>
      <x:c r="F74" s="191"/>
      <x:c r="G74" s="191"/>
      <x:c r="H74" s="191"/>
      <x:c r="I74" s="191"/>
      <x:c r="J74" s="191"/>
      <x:c r="K74" s="191"/>
      <x:c r="L74" s="191"/>
      <x:c r="M74" s="191"/>
      <x:c r="N74" s="191"/>
      <x:c r="O74" s="191"/>
      <x:c r="P74" s="191"/>
      <x:c r="Q74" s="191"/>
      <x:c r="R74" s="191"/>
      <x:c r="S74" s="191"/>
      <x:c r="T74" s="191"/>
      <x:c r="U74" s="191"/>
      <x:c r="V74" s="191"/>
      <x:c r="W74" s="191"/>
      <x:c r="X74" s="191"/>
      <x:c r="Y74" s="191"/>
      <x:c r="Z74" s="191"/>
      <x:c r="AA74" s="191"/>
      <x:c r="AB74" s="191"/>
      <x:c r="AC74" s="191"/>
      <x:c r="AD74" s="191"/>
      <x:c r="AE74" s="191"/>
      <x:c r="AF74" s="191"/>
      <x:c r="AG74" s="191"/>
      <x:c r="AH74" s="191"/>
      <x:c r="AI74" s="191"/>
      <x:c r="AJ74" s="191"/>
      <x:c r="AK74" s="191"/>
    </x:row>
    <x:row r="75">
      <x:c r="A75" s="191"/>
      <x:c r="B75" s="191"/>
      <x:c r="C75" s="191"/>
      <x:c r="D75" s="191"/>
      <x:c r="E75" s="191"/>
      <x:c r="F75" s="191"/>
      <x:c r="G75" s="191"/>
      <x:c r="H75" s="191"/>
      <x:c r="I75" s="191"/>
      <x:c r="J75" s="191"/>
      <x:c r="K75" s="191"/>
      <x:c r="L75" s="191"/>
      <x:c r="M75" s="191"/>
      <x:c r="N75" s="191"/>
      <x:c r="O75" s="191"/>
      <x:c r="P75" s="191"/>
      <x:c r="Q75" s="191"/>
      <x:c r="R75" s="191"/>
      <x:c r="S75" s="191"/>
      <x:c r="T75" s="191"/>
      <x:c r="U75" s="191"/>
      <x:c r="V75" s="191"/>
      <x:c r="W75" s="191"/>
      <x:c r="X75" s="191"/>
      <x:c r="Y75" s="191"/>
      <x:c r="Z75" s="191"/>
      <x:c r="AA75" s="191"/>
      <x:c r="AB75" s="191"/>
      <x:c r="AC75" s="191"/>
      <x:c r="AD75" s="191"/>
      <x:c r="AE75" s="191"/>
      <x:c r="AF75" s="191"/>
      <x:c r="AG75" s="191"/>
      <x:c r="AH75" s="191"/>
      <x:c r="AI75" s="191"/>
      <x:c r="AJ75" s="191"/>
      <x:c r="AK75" s="191"/>
    </x:row>
    <x:row r="76">
      <x:c r="A76" s="191"/>
      <x:c r="B76" s="191"/>
      <x:c r="C76" s="191"/>
      <x:c r="D76" s="191"/>
      <x:c r="E76" s="191"/>
      <x:c r="F76" s="191"/>
      <x:c r="G76" s="191"/>
      <x:c r="H76" s="191"/>
      <x:c r="I76" s="191"/>
      <x:c r="J76" s="191"/>
      <x:c r="K76" s="191"/>
      <x:c r="L76" s="191"/>
      <x:c r="M76" s="191"/>
      <x:c r="N76" s="191"/>
      <x:c r="O76" s="191"/>
      <x:c r="P76" s="191"/>
      <x:c r="Q76" s="191"/>
      <x:c r="R76" s="191"/>
      <x:c r="S76" s="191"/>
      <x:c r="T76" s="191"/>
      <x:c r="U76" s="191"/>
      <x:c r="V76" s="191"/>
      <x:c r="W76" s="191"/>
      <x:c r="X76" s="191"/>
      <x:c r="Y76" s="191"/>
      <x:c r="Z76" s="191"/>
      <x:c r="AA76" s="191"/>
      <x:c r="AB76" s="191"/>
      <x:c r="AC76" s="191"/>
      <x:c r="AD76" s="191"/>
      <x:c r="AE76" s="191"/>
      <x:c r="AF76" s="191"/>
      <x:c r="AG76" s="191"/>
      <x:c r="AH76" s="191"/>
      <x:c r="AI76" s="191"/>
      <x:c r="AJ76" s="191"/>
      <x:c r="AK76" s="191"/>
    </x:row>
    <x:row r="77">
      <x:c r="A77" s="191"/>
      <x:c r="B77" s="191"/>
      <x:c r="C77" s="191"/>
      <x:c r="D77" s="191"/>
      <x:c r="E77" s="191"/>
      <x:c r="F77" s="191"/>
      <x:c r="G77" s="191"/>
      <x:c r="H77" s="191"/>
      <x:c r="I77" s="191"/>
      <x:c r="J77" s="191"/>
      <x:c r="K77" s="191"/>
      <x:c r="L77" s="191"/>
      <x:c r="M77" s="191"/>
      <x:c r="N77" s="191"/>
      <x:c r="O77" s="191"/>
      <x:c r="P77" s="191"/>
      <x:c r="Q77" s="191"/>
      <x:c r="R77" s="191"/>
      <x:c r="S77" s="191"/>
      <x:c r="T77" s="191"/>
      <x:c r="U77" s="191"/>
      <x:c r="V77" s="191"/>
      <x:c r="W77" s="191"/>
      <x:c r="X77" s="191"/>
      <x:c r="Y77" s="191"/>
      <x:c r="Z77" s="191"/>
      <x:c r="AA77" s="191"/>
      <x:c r="AB77" s="191"/>
      <x:c r="AC77" s="191"/>
      <x:c r="AD77" s="191"/>
      <x:c r="AE77" s="191"/>
      <x:c r="AF77" s="191"/>
      <x:c r="AG77" s="191"/>
      <x:c r="AH77" s="191"/>
      <x:c r="AI77" s="191"/>
      <x:c r="AJ77" s="191"/>
      <x:c r="AK77" s="191"/>
    </x:row>
    <x:row r="78">
      <x:c r="A78" s="191"/>
      <x:c r="B78" s="191"/>
      <x:c r="C78" s="191"/>
      <x:c r="D78" s="191"/>
      <x:c r="E78" s="191"/>
      <x:c r="F78" s="191"/>
      <x:c r="G78" s="191"/>
      <x:c r="H78" s="191"/>
      <x:c r="I78" s="191"/>
      <x:c r="J78" s="191"/>
      <x:c r="K78" s="191"/>
      <x:c r="L78" s="191"/>
      <x:c r="M78" s="191"/>
      <x:c r="N78" s="191"/>
      <x:c r="O78" s="191"/>
      <x:c r="P78" s="191"/>
      <x:c r="Q78" s="191"/>
      <x:c r="R78" s="191"/>
      <x:c r="S78" s="191"/>
      <x:c r="T78" s="191"/>
      <x:c r="U78" s="191"/>
      <x:c r="V78" s="191"/>
      <x:c r="W78" s="191"/>
      <x:c r="X78" s="191"/>
      <x:c r="Y78" s="191"/>
      <x:c r="Z78" s="191"/>
      <x:c r="AA78" s="191"/>
      <x:c r="AB78" s="191"/>
      <x:c r="AC78" s="191"/>
      <x:c r="AD78" s="191"/>
      <x:c r="AE78" s="191"/>
      <x:c r="AF78" s="191"/>
      <x:c r="AG78" s="191"/>
      <x:c r="AH78" s="191"/>
      <x:c r="AI78" s="191"/>
      <x:c r="AJ78" s="191"/>
      <x:c r="AK78" s="191"/>
    </x:row>
    <x:row r="79">
      <x:c r="A79" s="191"/>
      <x:c r="B79" s="191"/>
      <x:c r="C79" s="191"/>
      <x:c r="D79" s="191"/>
      <x:c r="E79" s="191"/>
      <x:c r="F79" s="191"/>
      <x:c r="G79" s="191"/>
      <x:c r="H79" s="191"/>
      <x:c r="I79" s="191"/>
      <x:c r="J79" s="191"/>
      <x:c r="K79" s="191"/>
      <x:c r="L79" s="191"/>
      <x:c r="M79" s="191"/>
      <x:c r="N79" s="191"/>
      <x:c r="O79" s="191"/>
      <x:c r="P79" s="191"/>
      <x:c r="Q79" s="191"/>
      <x:c r="R79" s="191"/>
      <x:c r="S79" s="191"/>
      <x:c r="T79" s="191"/>
      <x:c r="U79" s="191"/>
      <x:c r="V79" s="191"/>
      <x:c r="W79" s="191"/>
      <x:c r="X79" s="191"/>
      <x:c r="Y79" s="191"/>
      <x:c r="Z79" s="191"/>
      <x:c r="AA79" s="191"/>
      <x:c r="AB79" s="191"/>
      <x:c r="AC79" s="191"/>
      <x:c r="AD79" s="191"/>
      <x:c r="AE79" s="191"/>
      <x:c r="AF79" s="191"/>
      <x:c r="AG79" s="191"/>
      <x:c r="AH79" s="191"/>
      <x:c r="AI79" s="191"/>
      <x:c r="AJ79" s="191"/>
      <x:c r="AK79" s="191"/>
    </x:row>
    <x:row r="80">
      <x:c r="A80" s="191"/>
      <x:c r="B80" s="191"/>
      <x:c r="C80" s="191"/>
      <x:c r="D80" s="191"/>
      <x:c r="E80" s="191"/>
      <x:c r="F80" s="191"/>
      <x:c r="G80" s="191"/>
      <x:c r="H80" s="191"/>
      <x:c r="I80" s="191"/>
      <x:c r="J80" s="191"/>
      <x:c r="K80" s="191"/>
      <x:c r="L80" s="191"/>
      <x:c r="M80" s="191"/>
      <x:c r="N80" s="191"/>
      <x:c r="O80" s="191"/>
      <x:c r="P80" s="191"/>
      <x:c r="Q80" s="191"/>
      <x:c r="R80" s="191"/>
      <x:c r="S80" s="191"/>
      <x:c r="T80" s="191"/>
      <x:c r="U80" s="191"/>
      <x:c r="V80" s="191"/>
      <x:c r="W80" s="191"/>
      <x:c r="X80" s="191"/>
      <x:c r="Y80" s="191"/>
      <x:c r="Z80" s="191"/>
      <x:c r="AA80" s="191"/>
      <x:c r="AB80" s="191"/>
      <x:c r="AC80" s="191"/>
      <x:c r="AD80" s="191"/>
      <x:c r="AE80" s="191"/>
      <x:c r="AF80" s="191"/>
      <x:c r="AG80" s="191"/>
      <x:c r="AH80" s="191"/>
      <x:c r="AI80" s="191"/>
      <x:c r="AJ80" s="191"/>
      <x:c r="AK80" s="191"/>
    </x:row>
    <x:row r="81">
      <x:c r="A81" s="191"/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  <x:c r="S81" s="191"/>
      <x:c r="T81" s="191"/>
      <x:c r="U81" s="191"/>
      <x:c r="V81" s="191"/>
      <x:c r="W81" s="191"/>
      <x:c r="X81" s="191"/>
      <x:c r="Y81" s="191"/>
      <x:c r="Z81" s="191"/>
      <x:c r="AA81" s="191"/>
      <x:c r="AB81" s="191"/>
      <x:c r="AC81" s="191"/>
      <x:c r="AD81" s="191"/>
      <x:c r="AE81" s="191"/>
      <x:c r="AF81" s="191"/>
      <x:c r="AG81" s="191"/>
      <x:c r="AH81" s="191"/>
      <x:c r="AI81" s="191"/>
      <x:c r="AJ81" s="191"/>
      <x:c r="AK81" s="191"/>
    </x:row>
    <x:row r="82">
      <x:c r="A82" s="191"/>
      <x:c r="B82" s="191"/>
      <x:c r="C82" s="191"/>
      <x:c r="D82" s="191"/>
      <x:c r="E82" s="191"/>
      <x:c r="F82" s="191"/>
      <x:c r="G82" s="191"/>
      <x:c r="H82" s="191"/>
      <x:c r="I82" s="191"/>
      <x:c r="J82" s="191"/>
      <x:c r="K82" s="191"/>
      <x:c r="L82" s="191"/>
      <x:c r="M82" s="191"/>
      <x:c r="N82" s="191"/>
      <x:c r="O82" s="191"/>
      <x:c r="P82" s="191"/>
      <x:c r="Q82" s="191"/>
      <x:c r="R82" s="191"/>
      <x:c r="S82" s="191"/>
      <x:c r="T82" s="191"/>
      <x:c r="U82" s="191"/>
      <x:c r="V82" s="191"/>
      <x:c r="W82" s="191"/>
      <x:c r="X82" s="191"/>
      <x:c r="Y82" s="191"/>
      <x:c r="Z82" s="191"/>
      <x:c r="AA82" s="191"/>
      <x:c r="AB82" s="191"/>
      <x:c r="AC82" s="191"/>
      <x:c r="AD82" s="191"/>
      <x:c r="AE82" s="191"/>
      <x:c r="AF82" s="191"/>
      <x:c r="AG82" s="191"/>
      <x:c r="AH82" s="191"/>
      <x:c r="AI82" s="191"/>
      <x:c r="AJ82" s="191"/>
      <x:c r="AK82" s="191"/>
    </x:row>
    <x:row r="83">
      <x:c r="A83" s="191"/>
      <x:c r="B83" s="191"/>
      <x:c r="C83" s="191"/>
      <x:c r="D83" s="191"/>
      <x:c r="E83" s="191"/>
      <x:c r="F83" s="191"/>
      <x:c r="G83" s="191"/>
      <x:c r="H83" s="191"/>
      <x:c r="I83" s="191"/>
      <x:c r="J83" s="191"/>
      <x:c r="K83" s="191"/>
      <x:c r="L83" s="191"/>
      <x:c r="M83" s="191"/>
      <x:c r="N83" s="191"/>
      <x:c r="O83" s="191"/>
      <x:c r="P83" s="191"/>
      <x:c r="Q83" s="191"/>
      <x:c r="R83" s="191"/>
      <x:c r="S83" s="191"/>
      <x:c r="T83" s="191"/>
      <x:c r="U83" s="191"/>
      <x:c r="V83" s="191"/>
      <x:c r="W83" s="191"/>
      <x:c r="X83" s="191"/>
      <x:c r="Y83" s="191"/>
      <x:c r="Z83" s="191"/>
      <x:c r="AA83" s="191"/>
      <x:c r="AB83" s="191"/>
      <x:c r="AC83" s="191"/>
      <x:c r="AD83" s="191"/>
      <x:c r="AE83" s="191"/>
      <x:c r="AF83" s="191"/>
      <x:c r="AG83" s="191"/>
      <x:c r="AH83" s="191"/>
      <x:c r="AI83" s="191"/>
      <x:c r="AJ83" s="191"/>
      <x:c r="AK83" s="191"/>
    </x:row>
    <x:row r="84">
      <x:c r="A84" s="191"/>
      <x:c r="B84" s="191"/>
      <x:c r="C84" s="191"/>
      <x:c r="D84" s="191"/>
      <x:c r="E84" s="191"/>
      <x:c r="F84" s="191"/>
      <x:c r="G84" s="191"/>
      <x:c r="H84" s="191"/>
      <x:c r="I84" s="191"/>
      <x:c r="J84" s="191"/>
      <x:c r="K84" s="191"/>
      <x:c r="L84" s="191"/>
      <x:c r="M84" s="191"/>
      <x:c r="N84" s="191"/>
      <x:c r="O84" s="191"/>
      <x:c r="P84" s="191"/>
      <x:c r="Q84" s="191"/>
      <x:c r="R84" s="191"/>
      <x:c r="S84" s="191"/>
      <x:c r="T84" s="191"/>
      <x:c r="U84" s="191"/>
      <x:c r="V84" s="191"/>
      <x:c r="W84" s="191"/>
      <x:c r="X84" s="191"/>
      <x:c r="Y84" s="191"/>
      <x:c r="Z84" s="191"/>
      <x:c r="AA84" s="191"/>
      <x:c r="AB84" s="191"/>
      <x:c r="AC84" s="191"/>
      <x:c r="AD84" s="191"/>
      <x:c r="AE84" s="191"/>
      <x:c r="AF84" s="191"/>
      <x:c r="AG84" s="191"/>
      <x:c r="AH84" s="191"/>
      <x:c r="AI84" s="191"/>
      <x:c r="AJ84" s="191"/>
      <x:c r="AK84" s="191"/>
    </x:row>
    <x:row r="85">
      <x:c r="A85" s="191"/>
      <x:c r="B85" s="191"/>
      <x:c r="C85" s="191"/>
      <x:c r="D85" s="191"/>
      <x:c r="E85" s="191"/>
      <x:c r="F85" s="191"/>
      <x:c r="G85" s="191"/>
      <x:c r="H85" s="191"/>
      <x:c r="I85" s="191"/>
      <x:c r="J85" s="191"/>
      <x:c r="K85" s="191"/>
      <x:c r="L85" s="191"/>
      <x:c r="M85" s="191"/>
      <x:c r="N85" s="191"/>
      <x:c r="O85" s="191"/>
      <x:c r="P85" s="191"/>
      <x:c r="Q85" s="191"/>
      <x:c r="R85" s="191"/>
      <x:c r="S85" s="191"/>
      <x:c r="T85" s="191"/>
      <x:c r="U85" s="191"/>
      <x:c r="V85" s="191"/>
      <x:c r="W85" s="191"/>
      <x:c r="X85" s="191"/>
      <x:c r="Y85" s="191"/>
      <x:c r="Z85" s="191"/>
      <x:c r="AA85" s="191"/>
      <x:c r="AB85" s="191"/>
      <x:c r="AC85" s="191"/>
      <x:c r="AD85" s="191"/>
      <x:c r="AE85" s="191"/>
      <x:c r="AF85" s="191"/>
      <x:c r="AG85" s="191"/>
      <x:c r="AH85" s="191"/>
      <x:c r="AI85" s="191"/>
      <x:c r="AJ85" s="191"/>
      <x:c r="AK85" s="191"/>
    </x:row>
    <x:row r="86">
      <x:c r="A86" s="191"/>
      <x:c r="B86" s="191"/>
      <x:c r="C86" s="191"/>
      <x:c r="D86" s="191"/>
      <x:c r="E86" s="191"/>
      <x:c r="F86" s="191"/>
      <x:c r="G86" s="191"/>
      <x:c r="H86" s="191"/>
      <x:c r="I86" s="191"/>
      <x:c r="J86" s="191"/>
      <x:c r="K86" s="191"/>
      <x:c r="L86" s="191"/>
      <x:c r="M86" s="191"/>
      <x:c r="N86" s="191"/>
      <x:c r="O86" s="191"/>
      <x:c r="P86" s="191"/>
      <x:c r="Q86" s="191"/>
      <x:c r="R86" s="191"/>
      <x:c r="S86" s="191"/>
      <x:c r="T86" s="191"/>
      <x:c r="U86" s="191"/>
      <x:c r="V86" s="191"/>
      <x:c r="W86" s="191"/>
      <x:c r="X86" s="191"/>
      <x:c r="Y86" s="191"/>
      <x:c r="Z86" s="191"/>
      <x:c r="AA86" s="191"/>
      <x:c r="AB86" s="191"/>
      <x:c r="AC86" s="191"/>
      <x:c r="AD86" s="191"/>
      <x:c r="AE86" s="191"/>
      <x:c r="AF86" s="191"/>
      <x:c r="AG86" s="191"/>
      <x:c r="AH86" s="191"/>
      <x:c r="AI86" s="191"/>
      <x:c r="AJ86" s="191"/>
      <x:c r="AK86" s="191"/>
    </x:row>
    <x:row r="87">
      <x:c r="A87" s="191"/>
      <x:c r="B87" s="191"/>
      <x:c r="C87" s="191"/>
      <x:c r="D87" s="191"/>
      <x:c r="E87" s="191"/>
      <x:c r="F87" s="191"/>
      <x:c r="G87" s="191"/>
      <x:c r="H87" s="191"/>
      <x:c r="I87" s="191"/>
      <x:c r="J87" s="191"/>
      <x:c r="K87" s="191"/>
      <x:c r="L87" s="191"/>
      <x:c r="M87" s="191"/>
      <x:c r="N87" s="191"/>
      <x:c r="O87" s="191"/>
      <x:c r="P87" s="191"/>
      <x:c r="Q87" s="191"/>
      <x:c r="R87" s="191"/>
      <x:c r="S87" s="191"/>
      <x:c r="T87" s="191"/>
      <x:c r="U87" s="191"/>
      <x:c r="V87" s="191"/>
      <x:c r="W87" s="191"/>
      <x:c r="X87" s="191"/>
      <x:c r="Y87" s="191"/>
      <x:c r="Z87" s="191"/>
      <x:c r="AA87" s="191"/>
      <x:c r="AB87" s="191"/>
      <x:c r="AC87" s="191"/>
      <x:c r="AD87" s="191"/>
      <x:c r="AE87" s="191"/>
      <x:c r="AF87" s="191"/>
      <x:c r="AG87" s="191"/>
      <x:c r="AH87" s="191"/>
      <x:c r="AI87" s="191"/>
      <x:c r="AJ87" s="191"/>
      <x:c r="AK87" s="191"/>
    </x:row>
    <x:row r="88">
      <x:c r="A88" s="191"/>
      <x:c r="B88" s="191"/>
      <x:c r="C88" s="191"/>
      <x:c r="D88" s="191"/>
      <x:c r="E88" s="191"/>
      <x:c r="F88" s="191"/>
      <x:c r="G88" s="191"/>
      <x:c r="H88" s="191"/>
      <x:c r="I88" s="191"/>
      <x:c r="J88" s="191"/>
      <x:c r="K88" s="191"/>
      <x:c r="L88" s="191"/>
      <x:c r="M88" s="191"/>
      <x:c r="N88" s="191"/>
      <x:c r="O88" s="191"/>
      <x:c r="P88" s="191"/>
      <x:c r="Q88" s="191"/>
      <x:c r="R88" s="191"/>
      <x:c r="S88" s="191"/>
      <x:c r="T88" s="191"/>
      <x:c r="U88" s="191"/>
      <x:c r="V88" s="191"/>
      <x:c r="W88" s="191"/>
      <x:c r="X88" s="191"/>
      <x:c r="Y88" s="191"/>
      <x:c r="Z88" s="191"/>
      <x:c r="AA88" s="191"/>
      <x:c r="AB88" s="191"/>
      <x:c r="AC88" s="191"/>
      <x:c r="AD88" s="191"/>
      <x:c r="AE88" s="191"/>
      <x:c r="AF88" s="191"/>
      <x:c r="AG88" s="191"/>
      <x:c r="AH88" s="191"/>
      <x:c r="AI88" s="191"/>
      <x:c r="AJ88" s="191"/>
      <x:c r="AK88" s="191"/>
    </x:row>
    <x:row r="89">
      <x:c r="A89" s="191"/>
      <x:c r="B89" s="191"/>
      <x:c r="C89" s="191"/>
      <x:c r="D89" s="191"/>
      <x:c r="E89" s="191"/>
      <x:c r="F89" s="191"/>
      <x:c r="G89" s="191"/>
      <x:c r="H89" s="191"/>
      <x:c r="I89" s="191"/>
      <x:c r="J89" s="191"/>
      <x:c r="K89" s="191"/>
      <x:c r="L89" s="191"/>
      <x:c r="M89" s="191"/>
      <x:c r="N89" s="191"/>
      <x:c r="O89" s="191"/>
      <x:c r="P89" s="191"/>
      <x:c r="Q89" s="191"/>
      <x:c r="R89" s="191"/>
      <x:c r="S89" s="191"/>
      <x:c r="T89" s="191"/>
      <x:c r="U89" s="191"/>
      <x:c r="V89" s="191"/>
      <x:c r="W89" s="191"/>
      <x:c r="X89" s="191"/>
      <x:c r="Y89" s="191"/>
      <x:c r="Z89" s="191"/>
      <x:c r="AA89" s="191"/>
      <x:c r="AB89" s="191"/>
      <x:c r="AC89" s="191"/>
      <x:c r="AD89" s="191"/>
      <x:c r="AE89" s="191"/>
      <x:c r="AF89" s="191"/>
      <x:c r="AG89" s="191"/>
      <x:c r="AH89" s="191"/>
      <x:c r="AI89" s="191"/>
      <x:c r="AJ89" s="191"/>
      <x:c r="AK89" s="191"/>
    </x:row>
    <x:row r="90">
      <x:c r="A90" s="191"/>
      <x:c r="B90" s="191"/>
      <x:c r="C90" s="191"/>
      <x:c r="D90" s="191"/>
      <x:c r="E90" s="191"/>
      <x:c r="F90" s="191"/>
      <x:c r="G90" s="191"/>
      <x:c r="H90" s="191"/>
      <x:c r="I90" s="191"/>
      <x:c r="J90" s="191"/>
      <x:c r="K90" s="191"/>
      <x:c r="L90" s="191"/>
      <x:c r="M90" s="191"/>
      <x:c r="N90" s="191"/>
      <x:c r="O90" s="191"/>
      <x:c r="P90" s="191"/>
      <x:c r="Q90" s="191"/>
      <x:c r="R90" s="191"/>
      <x:c r="S90" s="191"/>
      <x:c r="T90" s="191"/>
      <x:c r="U90" s="191"/>
      <x:c r="V90" s="191"/>
      <x:c r="W90" s="191"/>
      <x:c r="X90" s="191"/>
      <x:c r="Y90" s="191"/>
      <x:c r="Z90" s="191"/>
      <x:c r="AA90" s="191"/>
      <x:c r="AB90" s="191"/>
      <x:c r="AC90" s="191"/>
      <x:c r="AD90" s="191"/>
      <x:c r="AE90" s="191"/>
      <x:c r="AF90" s="191"/>
      <x:c r="AG90" s="191"/>
      <x:c r="AH90" s="191"/>
      <x:c r="AI90" s="191"/>
      <x:c r="AJ90" s="191"/>
      <x:c r="AK90" s="191"/>
    </x:row>
    <x:row r="91">
      <x:c r="A91" s="191"/>
      <x:c r="B91" s="191"/>
      <x:c r="C91" s="191"/>
      <x:c r="D91" s="191"/>
      <x:c r="E91" s="191"/>
      <x:c r="F91" s="191"/>
      <x:c r="G91" s="191"/>
      <x:c r="H91" s="191"/>
      <x:c r="I91" s="191"/>
      <x:c r="J91" s="191"/>
      <x:c r="K91" s="191"/>
      <x:c r="L91" s="191"/>
      <x:c r="M91" s="191"/>
      <x:c r="N91" s="191"/>
      <x:c r="O91" s="191"/>
      <x:c r="P91" s="191"/>
      <x:c r="Q91" s="191"/>
      <x:c r="R91" s="191"/>
      <x:c r="S91" s="191"/>
      <x:c r="T91" s="191"/>
      <x:c r="U91" s="191"/>
      <x:c r="V91" s="191"/>
      <x:c r="W91" s="191"/>
      <x:c r="X91" s="191"/>
      <x:c r="Y91" s="191"/>
      <x:c r="Z91" s="191"/>
      <x:c r="AA91" s="191"/>
      <x:c r="AB91" s="191"/>
      <x:c r="AC91" s="191"/>
      <x:c r="AD91" s="191"/>
      <x:c r="AE91" s="191"/>
      <x:c r="AF91" s="191"/>
      <x:c r="AG91" s="191"/>
      <x:c r="AH91" s="191"/>
      <x:c r="AI91" s="191"/>
      <x:c r="AJ91" s="191"/>
      <x:c r="AK91" s="191"/>
    </x:row>
    <x:row r="92">
      <x:c r="A92" s="191"/>
      <x:c r="B92" s="191"/>
      <x:c r="C92" s="191"/>
      <x:c r="D92" s="191"/>
      <x:c r="E92" s="191"/>
      <x:c r="F92" s="191"/>
      <x:c r="G92" s="191"/>
      <x:c r="H92" s="191"/>
      <x:c r="I92" s="191"/>
      <x:c r="J92" s="191"/>
      <x:c r="K92" s="191"/>
      <x:c r="L92" s="191"/>
      <x:c r="M92" s="191"/>
      <x:c r="N92" s="191"/>
      <x:c r="O92" s="191"/>
      <x:c r="P92" s="191"/>
      <x:c r="Q92" s="191"/>
      <x:c r="R92" s="191"/>
      <x:c r="S92" s="191"/>
      <x:c r="T92" s="191"/>
      <x:c r="U92" s="191"/>
      <x:c r="V92" s="191"/>
      <x:c r="W92" s="191"/>
      <x:c r="X92" s="191"/>
      <x:c r="Y92" s="191"/>
      <x:c r="Z92" s="191"/>
      <x:c r="AA92" s="191"/>
      <x:c r="AB92" s="191"/>
      <x:c r="AC92" s="191"/>
      <x:c r="AD92" s="191"/>
      <x:c r="AE92" s="191"/>
      <x:c r="AF92" s="191"/>
      <x:c r="AG92" s="191"/>
      <x:c r="AH92" s="191"/>
      <x:c r="AI92" s="191"/>
      <x:c r="AJ92" s="191"/>
      <x:c r="AK92" s="191"/>
    </x:row>
    <x:row r="93">
      <x:c r="A93" s="191"/>
      <x:c r="B93" s="191"/>
      <x:c r="C93" s="191"/>
      <x:c r="D93" s="191"/>
      <x:c r="E93" s="191"/>
      <x:c r="F93" s="191"/>
      <x:c r="G93" s="191"/>
      <x:c r="H93" s="191"/>
      <x:c r="I93" s="191"/>
      <x:c r="J93" s="191"/>
      <x:c r="K93" s="191"/>
      <x:c r="L93" s="191"/>
      <x:c r="M93" s="191"/>
      <x:c r="N93" s="191"/>
      <x:c r="O93" s="191"/>
      <x:c r="P93" s="191"/>
      <x:c r="Q93" s="191"/>
      <x:c r="R93" s="191"/>
      <x:c r="S93" s="191"/>
      <x:c r="T93" s="191"/>
      <x:c r="U93" s="191"/>
      <x:c r="V93" s="191"/>
      <x:c r="W93" s="191"/>
      <x:c r="X93" s="191"/>
      <x:c r="Y93" s="191"/>
      <x:c r="Z93" s="191"/>
      <x:c r="AA93" s="191"/>
      <x:c r="AB93" s="191"/>
      <x:c r="AC93" s="191"/>
      <x:c r="AD93" s="191"/>
      <x:c r="AE93" s="191"/>
      <x:c r="AF93" s="191"/>
      <x:c r="AG93" s="191"/>
      <x:c r="AH93" s="191"/>
      <x:c r="AI93" s="191"/>
      <x:c r="AJ93" s="191"/>
      <x:c r="AK93" s="191"/>
    </x:row>
    <x:row r="94">
      <x:c r="A94" s="191"/>
      <x:c r="B94" s="191"/>
      <x:c r="C94" s="191"/>
      <x:c r="D94" s="191"/>
      <x:c r="E94" s="191"/>
      <x:c r="F94" s="191"/>
      <x:c r="G94" s="191"/>
      <x:c r="H94" s="191"/>
      <x:c r="I94" s="191"/>
      <x:c r="J94" s="191"/>
      <x:c r="K94" s="191"/>
      <x:c r="L94" s="191"/>
      <x:c r="M94" s="191"/>
      <x:c r="N94" s="191"/>
      <x:c r="O94" s="191"/>
      <x:c r="P94" s="191"/>
      <x:c r="Q94" s="191"/>
      <x:c r="R94" s="191"/>
      <x:c r="S94" s="191"/>
      <x:c r="T94" s="191"/>
      <x:c r="U94" s="191"/>
      <x:c r="V94" s="191"/>
      <x:c r="W94" s="191"/>
      <x:c r="X94" s="191"/>
      <x:c r="Y94" s="191"/>
      <x:c r="Z94" s="191"/>
      <x:c r="AA94" s="191"/>
      <x:c r="AB94" s="191"/>
      <x:c r="AC94" s="191"/>
      <x:c r="AD94" s="191"/>
      <x:c r="AE94" s="191"/>
      <x:c r="AF94" s="191"/>
      <x:c r="AG94" s="191"/>
      <x:c r="AH94" s="191"/>
      <x:c r="AI94" s="191"/>
      <x:c r="AJ94" s="191"/>
      <x:c r="AK94" s="191"/>
    </x:row>
    <x:row r="95">
      <x:c r="A95" s="191"/>
      <x:c r="B95" s="191"/>
      <x:c r="C95" s="191"/>
      <x:c r="D95" s="191"/>
      <x:c r="E95" s="191"/>
      <x:c r="F95" s="191"/>
      <x:c r="G95" s="191"/>
      <x:c r="H95" s="191"/>
      <x:c r="I95" s="191"/>
      <x:c r="J95" s="191"/>
      <x:c r="K95" s="191"/>
      <x:c r="L95" s="191"/>
      <x:c r="M95" s="191"/>
      <x:c r="N95" s="191"/>
      <x:c r="O95" s="191"/>
      <x:c r="P95" s="191"/>
      <x:c r="Q95" s="191"/>
      <x:c r="R95" s="191"/>
      <x:c r="S95" s="191"/>
      <x:c r="T95" s="191"/>
      <x:c r="U95" s="191"/>
      <x:c r="V95" s="191"/>
      <x:c r="W95" s="191"/>
      <x:c r="X95" s="191"/>
      <x:c r="Y95" s="191"/>
      <x:c r="Z95" s="191"/>
      <x:c r="AA95" s="191"/>
      <x:c r="AB95" s="191"/>
      <x:c r="AC95" s="191"/>
      <x:c r="AD95" s="191"/>
      <x:c r="AE95" s="191"/>
      <x:c r="AF95" s="191"/>
      <x:c r="AG95" s="191"/>
      <x:c r="AH95" s="191"/>
      <x:c r="AI95" s="191"/>
      <x:c r="AJ95" s="191"/>
      <x:c r="AK95" s="191"/>
    </x:row>
    <x:row r="96">
      <x:c r="A96" s="191"/>
      <x:c r="B96" s="191"/>
      <x:c r="C96" s="191"/>
      <x:c r="D96" s="191"/>
      <x:c r="E96" s="191"/>
      <x:c r="F96" s="191"/>
      <x:c r="G96" s="191"/>
      <x:c r="H96" s="191"/>
      <x:c r="I96" s="191"/>
      <x:c r="J96" s="191"/>
      <x:c r="K96" s="191"/>
      <x:c r="L96" s="191"/>
      <x:c r="M96" s="191"/>
      <x:c r="N96" s="191"/>
      <x:c r="O96" s="191"/>
      <x:c r="P96" s="191"/>
      <x:c r="Q96" s="191"/>
      <x:c r="R96" s="191"/>
      <x:c r="S96" s="191"/>
      <x:c r="T96" s="191"/>
      <x:c r="U96" s="191"/>
      <x:c r="V96" s="191"/>
      <x:c r="W96" s="191"/>
      <x:c r="X96" s="191"/>
      <x:c r="Y96" s="191"/>
      <x:c r="Z96" s="191"/>
      <x:c r="AA96" s="191"/>
      <x:c r="AB96" s="191"/>
      <x:c r="AC96" s="191"/>
      <x:c r="AD96" s="191"/>
      <x:c r="AE96" s="191"/>
      <x:c r="AF96" s="191"/>
      <x:c r="AG96" s="191"/>
      <x:c r="AH96" s="191"/>
      <x:c r="AI96" s="191"/>
      <x:c r="AJ96" s="191"/>
      <x:c r="AK96" s="191"/>
    </x:row>
    <x:row r="97">
      <x:c r="A97" s="191"/>
      <x:c r="B97" s="191"/>
      <x:c r="C97" s="191"/>
      <x:c r="D97" s="191"/>
      <x:c r="E97" s="191"/>
      <x:c r="F97" s="191"/>
      <x:c r="G97" s="191"/>
      <x:c r="H97" s="191"/>
      <x:c r="I97" s="191"/>
      <x:c r="J97" s="191"/>
      <x:c r="K97" s="191"/>
      <x:c r="L97" s="191"/>
      <x:c r="M97" s="191"/>
      <x:c r="N97" s="191"/>
      <x:c r="O97" s="191"/>
      <x:c r="P97" s="191"/>
      <x:c r="Q97" s="191"/>
      <x:c r="R97" s="191"/>
      <x:c r="S97" s="191"/>
      <x:c r="T97" s="191"/>
      <x:c r="U97" s="191"/>
      <x:c r="V97" s="191"/>
      <x:c r="W97" s="191"/>
      <x:c r="X97" s="191"/>
      <x:c r="Y97" s="191"/>
      <x:c r="Z97" s="191"/>
      <x:c r="AA97" s="191"/>
      <x:c r="AB97" s="191"/>
      <x:c r="AC97" s="191"/>
      <x:c r="AD97" s="191"/>
      <x:c r="AE97" s="191"/>
      <x:c r="AF97" s="191"/>
      <x:c r="AG97" s="191"/>
      <x:c r="AH97" s="191"/>
      <x:c r="AI97" s="191"/>
      <x:c r="AJ97" s="191"/>
      <x:c r="AK97" s="191"/>
    </x:row>
    <x:row r="98">
      <x:c r="A98" s="191"/>
      <x:c r="B98" s="191"/>
      <x:c r="C98" s="191"/>
      <x:c r="D98" s="191"/>
      <x:c r="E98" s="191"/>
      <x:c r="F98" s="191"/>
      <x:c r="G98" s="191"/>
      <x:c r="H98" s="191"/>
      <x:c r="I98" s="191"/>
      <x:c r="J98" s="191"/>
      <x:c r="K98" s="191"/>
      <x:c r="L98" s="191"/>
      <x:c r="M98" s="191"/>
      <x:c r="N98" s="191"/>
      <x:c r="O98" s="191"/>
      <x:c r="P98" s="191"/>
      <x:c r="Q98" s="191"/>
      <x:c r="R98" s="191"/>
      <x:c r="S98" s="191"/>
      <x:c r="T98" s="191"/>
      <x:c r="U98" s="191"/>
      <x:c r="V98" s="191"/>
      <x:c r="W98" s="191"/>
      <x:c r="X98" s="191"/>
      <x:c r="Y98" s="191"/>
      <x:c r="Z98" s="191"/>
      <x:c r="AA98" s="191"/>
      <x:c r="AB98" s="191"/>
      <x:c r="AC98" s="191"/>
      <x:c r="AD98" s="191"/>
      <x:c r="AE98" s="191"/>
      <x:c r="AF98" s="191"/>
      <x:c r="AG98" s="191"/>
      <x:c r="AH98" s="191"/>
      <x:c r="AI98" s="191"/>
      <x:c r="AJ98" s="191"/>
      <x:c r="AK98" s="191"/>
    </x:row>
    <x:row r="99">
      <x:c r="A99" s="191"/>
      <x:c r="B99" s="191"/>
      <x:c r="C99" s="191"/>
      <x:c r="D99" s="191"/>
      <x:c r="E99" s="191"/>
      <x:c r="F99" s="191"/>
      <x:c r="G99" s="191"/>
      <x:c r="H99" s="191"/>
      <x:c r="I99" s="191"/>
      <x:c r="J99" s="191"/>
      <x:c r="K99" s="191"/>
      <x:c r="L99" s="191"/>
      <x:c r="M99" s="191"/>
      <x:c r="N99" s="191"/>
      <x:c r="O99" s="191"/>
      <x:c r="P99" s="191"/>
      <x:c r="Q99" s="191"/>
      <x:c r="R99" s="191"/>
      <x:c r="S99" s="191"/>
      <x:c r="T99" s="191"/>
      <x:c r="U99" s="191"/>
      <x:c r="V99" s="191"/>
      <x:c r="W99" s="191"/>
      <x:c r="X99" s="191"/>
      <x:c r="Y99" s="191"/>
      <x:c r="Z99" s="191"/>
      <x:c r="AA99" s="191"/>
      <x:c r="AB99" s="191"/>
      <x:c r="AC99" s="191"/>
      <x:c r="AD99" s="191"/>
      <x:c r="AE99" s="191"/>
      <x:c r="AF99" s="191"/>
      <x:c r="AG99" s="191"/>
      <x:c r="AH99" s="191"/>
      <x:c r="AI99" s="191"/>
      <x:c r="AJ99" s="191"/>
      <x:c r="AK99" s="191"/>
    </x:row>
    <x:row r="100">
      <x:c r="A100" s="191"/>
      <x:c r="B100" s="191"/>
      <x:c r="C100" s="191"/>
      <x:c r="D100" s="191"/>
      <x:c r="E100" s="191"/>
      <x:c r="F100" s="191"/>
      <x:c r="G100" s="191"/>
      <x:c r="H100" s="191"/>
      <x:c r="I100" s="191"/>
      <x:c r="J100" s="191"/>
      <x:c r="K100" s="191"/>
      <x:c r="L100" s="191"/>
      <x:c r="M100" s="191"/>
      <x:c r="N100" s="191"/>
      <x:c r="O100" s="191"/>
      <x:c r="P100" s="191"/>
      <x:c r="Q100" s="191"/>
      <x:c r="R100" s="191"/>
      <x:c r="S100" s="191"/>
      <x:c r="T100" s="191"/>
      <x:c r="U100" s="191"/>
      <x:c r="V100" s="191"/>
      <x:c r="W100" s="191"/>
      <x:c r="X100" s="191"/>
      <x:c r="Y100" s="191"/>
      <x:c r="Z100" s="191"/>
      <x:c r="AA100" s="191"/>
      <x:c r="AB100" s="191"/>
      <x:c r="AC100" s="191"/>
      <x:c r="AD100" s="191"/>
      <x:c r="AE100" s="191"/>
      <x:c r="AF100" s="191"/>
      <x:c r="AG100" s="191"/>
      <x:c r="AH100" s="191"/>
      <x:c r="AI100" s="191"/>
      <x:c r="AJ100" s="191"/>
      <x:c r="AK100" s="191"/>
    </x:row>
    <x:row r="101">
      <x:c r="A101" s="191"/>
      <x:c r="B101" s="191"/>
      <x:c r="C101" s="191"/>
      <x:c r="D101" s="191"/>
      <x:c r="E101" s="191"/>
      <x:c r="F101" s="191"/>
      <x:c r="G101" s="191"/>
      <x:c r="H101" s="191"/>
      <x:c r="I101" s="191"/>
      <x:c r="J101" s="191"/>
      <x:c r="K101" s="191"/>
      <x:c r="L101" s="191"/>
      <x:c r="M101" s="191"/>
      <x:c r="N101" s="191"/>
      <x:c r="O101" s="191"/>
      <x:c r="P101" s="191"/>
      <x:c r="Q101" s="191"/>
      <x:c r="R101" s="191"/>
      <x:c r="S101" s="191"/>
      <x:c r="T101" s="191"/>
      <x:c r="U101" s="191"/>
      <x:c r="V101" s="191"/>
      <x:c r="W101" s="191"/>
      <x:c r="X101" s="191"/>
      <x:c r="Y101" s="191"/>
      <x:c r="Z101" s="191"/>
      <x:c r="AA101" s="191"/>
      <x:c r="AB101" s="191"/>
      <x:c r="AC101" s="191"/>
      <x:c r="AD101" s="191"/>
      <x:c r="AE101" s="191"/>
      <x:c r="AF101" s="191"/>
      <x:c r="AG101" s="191"/>
      <x:c r="AH101" s="191"/>
      <x:c r="AI101" s="191"/>
      <x:c r="AJ101" s="191"/>
      <x:c r="AK101" s="191"/>
    </x:row>
    <x:row r="102">
      <x:c r="A102" s="191"/>
      <x:c r="B102" s="191"/>
      <x:c r="C102" s="191"/>
      <x:c r="D102" s="191"/>
      <x:c r="E102" s="191"/>
      <x:c r="F102" s="191"/>
      <x:c r="G102" s="191"/>
      <x:c r="H102" s="191"/>
      <x:c r="I102" s="191"/>
      <x:c r="J102" s="191"/>
      <x:c r="K102" s="191"/>
      <x:c r="L102" s="191"/>
      <x:c r="M102" s="191"/>
      <x:c r="N102" s="191"/>
      <x:c r="O102" s="191"/>
      <x:c r="P102" s="191"/>
      <x:c r="Q102" s="191"/>
      <x:c r="R102" s="191"/>
      <x:c r="S102" s="191"/>
      <x:c r="T102" s="191"/>
      <x:c r="U102" s="191"/>
      <x:c r="V102" s="191"/>
      <x:c r="W102" s="191"/>
      <x:c r="X102" s="191"/>
      <x:c r="Y102" s="191"/>
      <x:c r="Z102" s="191"/>
      <x:c r="AA102" s="191"/>
      <x:c r="AB102" s="191"/>
      <x:c r="AC102" s="191"/>
      <x:c r="AD102" s="191"/>
      <x:c r="AE102" s="191"/>
      <x:c r="AF102" s="191"/>
      <x:c r="AG102" s="191"/>
      <x:c r="AH102" s="191"/>
      <x:c r="AI102" s="191"/>
      <x:c r="AJ102" s="191"/>
      <x:c r="AK102" s="191"/>
    </x:row>
    <x:row r="103">
      <x:c r="A103" s="191"/>
      <x:c r="B103" s="191"/>
      <x:c r="C103" s="191"/>
      <x:c r="D103" s="191"/>
      <x:c r="E103" s="191"/>
      <x:c r="F103" s="191"/>
      <x:c r="G103" s="191"/>
      <x:c r="H103" s="191"/>
      <x:c r="I103" s="191"/>
      <x:c r="J103" s="191"/>
      <x:c r="K103" s="191"/>
      <x:c r="L103" s="191"/>
      <x:c r="M103" s="191"/>
      <x:c r="N103" s="191"/>
      <x:c r="O103" s="191"/>
      <x:c r="P103" s="191"/>
      <x:c r="Q103" s="191"/>
      <x:c r="R103" s="191"/>
      <x:c r="S103" s="191"/>
      <x:c r="T103" s="191"/>
      <x:c r="U103" s="191"/>
      <x:c r="V103" s="191"/>
      <x:c r="W103" s="191"/>
      <x:c r="X103" s="191"/>
      <x:c r="Y103" s="191"/>
      <x:c r="Z103" s="191"/>
      <x:c r="AA103" s="191"/>
      <x:c r="AB103" s="191"/>
      <x:c r="AC103" s="191"/>
      <x:c r="AD103" s="191"/>
      <x:c r="AE103" s="191"/>
      <x:c r="AF103" s="191"/>
      <x:c r="AG103" s="191"/>
      <x:c r="AH103" s="191"/>
      <x:c r="AI103" s="191"/>
      <x:c r="AJ103" s="191"/>
      <x:c r="AK103" s="191"/>
    </x:row>
    <x:row r="104">
      <x:c r="A104" s="191"/>
      <x:c r="B104" s="191"/>
      <x:c r="C104" s="191"/>
      <x:c r="D104" s="191"/>
      <x:c r="E104" s="191"/>
      <x:c r="F104" s="191"/>
      <x:c r="G104" s="191"/>
      <x:c r="H104" s="191"/>
      <x:c r="I104" s="191"/>
      <x:c r="J104" s="191"/>
      <x:c r="K104" s="191"/>
      <x:c r="L104" s="191"/>
      <x:c r="M104" s="191"/>
      <x:c r="N104" s="191"/>
      <x:c r="O104" s="191"/>
      <x:c r="P104" s="191"/>
      <x:c r="Q104" s="191"/>
      <x:c r="R104" s="191"/>
      <x:c r="S104" s="191"/>
      <x:c r="T104" s="191"/>
      <x:c r="U104" s="191"/>
      <x:c r="V104" s="191"/>
      <x:c r="W104" s="191"/>
      <x:c r="X104" s="191"/>
      <x:c r="Y104" s="191"/>
      <x:c r="Z104" s="191"/>
      <x:c r="AA104" s="191"/>
      <x:c r="AB104" s="191"/>
      <x:c r="AC104" s="191"/>
      <x:c r="AD104" s="191"/>
      <x:c r="AE104" s="191"/>
      <x:c r="AF104" s="191"/>
      <x:c r="AG104" s="191"/>
      <x:c r="AH104" s="191"/>
      <x:c r="AI104" s="191"/>
      <x:c r="AJ104" s="191"/>
      <x:c r="AK104" s="191"/>
    </x:row>
    <x:row r="105">
      <x:c r="A105" s="191"/>
      <x:c r="B105" s="191"/>
      <x:c r="C105" s="191"/>
      <x:c r="D105" s="191"/>
      <x:c r="E105" s="191"/>
      <x:c r="F105" s="191"/>
      <x:c r="G105" s="191"/>
      <x:c r="H105" s="191"/>
      <x:c r="I105" s="191"/>
      <x:c r="J105" s="191"/>
      <x:c r="K105" s="191"/>
      <x:c r="L105" s="191"/>
      <x:c r="M105" s="191"/>
      <x:c r="N105" s="191"/>
      <x:c r="O105" s="191"/>
      <x:c r="P105" s="191"/>
      <x:c r="Q105" s="191"/>
      <x:c r="R105" s="191"/>
      <x:c r="S105" s="191"/>
      <x:c r="T105" s="191"/>
      <x:c r="U105" s="191"/>
      <x:c r="V105" s="191"/>
      <x:c r="W105" s="191"/>
      <x:c r="X105" s="191"/>
      <x:c r="Y105" s="191"/>
      <x:c r="Z105" s="191"/>
      <x:c r="AA105" s="191"/>
      <x:c r="AB105" s="191"/>
      <x:c r="AC105" s="191"/>
      <x:c r="AD105" s="191"/>
      <x:c r="AE105" s="191"/>
      <x:c r="AF105" s="191"/>
      <x:c r="AG105" s="191"/>
      <x:c r="AH105" s="191"/>
      <x:c r="AI105" s="191"/>
      <x:c r="AJ105" s="191"/>
      <x:c r="AK105" s="191"/>
    </x:row>
    <x:row r="106">
      <x:c r="A106" s="191"/>
      <x:c r="B106" s="191"/>
      <x:c r="C106" s="191"/>
      <x:c r="D106" s="191"/>
      <x:c r="E106" s="191"/>
      <x:c r="F106" s="191"/>
      <x:c r="G106" s="191"/>
      <x:c r="H106" s="191"/>
      <x:c r="I106" s="191"/>
      <x:c r="J106" s="191"/>
      <x:c r="K106" s="191"/>
      <x:c r="L106" s="191"/>
      <x:c r="M106" s="191"/>
      <x:c r="N106" s="191"/>
      <x:c r="O106" s="191"/>
      <x:c r="P106" s="191"/>
      <x:c r="Q106" s="191"/>
      <x:c r="R106" s="191"/>
      <x:c r="S106" s="191"/>
      <x:c r="T106" s="191"/>
      <x:c r="U106" s="191"/>
      <x:c r="V106" s="191"/>
      <x:c r="W106" s="191"/>
      <x:c r="X106" s="191"/>
      <x:c r="Y106" s="191"/>
      <x:c r="Z106" s="191"/>
      <x:c r="AA106" s="191"/>
      <x:c r="AB106" s="191"/>
      <x:c r="AC106" s="191"/>
      <x:c r="AD106" s="191"/>
      <x:c r="AE106" s="191"/>
      <x:c r="AF106" s="191"/>
      <x:c r="AG106" s="191"/>
      <x:c r="AH106" s="191"/>
      <x:c r="AI106" s="191"/>
      <x:c r="AJ106" s="191"/>
      <x:c r="AK106" s="191"/>
    </x:row>
    <x:row r="107">
      <x:c r="A107" s="191"/>
      <x:c r="B107" s="191"/>
      <x:c r="C107" s="191"/>
      <x:c r="D107" s="191"/>
      <x:c r="E107" s="191"/>
      <x:c r="F107" s="191"/>
      <x:c r="G107" s="191"/>
      <x:c r="H107" s="191"/>
      <x:c r="I107" s="191"/>
      <x:c r="J107" s="191"/>
      <x:c r="K107" s="191"/>
      <x:c r="L107" s="191"/>
      <x:c r="M107" s="191"/>
      <x:c r="N107" s="191"/>
      <x:c r="O107" s="191"/>
      <x:c r="P107" s="191"/>
      <x:c r="Q107" s="191"/>
      <x:c r="R107" s="191"/>
      <x:c r="S107" s="191"/>
      <x:c r="T107" s="191"/>
      <x:c r="U107" s="191"/>
      <x:c r="V107" s="191"/>
      <x:c r="W107" s="191"/>
      <x:c r="X107" s="191"/>
      <x:c r="Y107" s="191"/>
      <x:c r="Z107" s="191"/>
      <x:c r="AA107" s="191"/>
      <x:c r="AB107" s="191"/>
      <x:c r="AC107" s="191"/>
      <x:c r="AD107" s="191"/>
      <x:c r="AE107" s="191"/>
      <x:c r="AF107" s="191"/>
      <x:c r="AG107" s="191"/>
      <x:c r="AH107" s="191"/>
      <x:c r="AI107" s="191"/>
      <x:c r="AJ107" s="191"/>
      <x:c r="AK107" s="191"/>
    </x:row>
    <x:row r="108">
      <x:c r="A108" s="191"/>
      <x:c r="B108" s="191"/>
      <x:c r="C108" s="191"/>
      <x:c r="D108" s="191"/>
      <x:c r="E108" s="191"/>
      <x:c r="F108" s="191"/>
      <x:c r="G108" s="191"/>
      <x:c r="H108" s="191"/>
      <x:c r="I108" s="191"/>
      <x:c r="J108" s="191"/>
      <x:c r="K108" s="191"/>
      <x:c r="L108" s="191"/>
      <x:c r="M108" s="191"/>
      <x:c r="N108" s="191"/>
      <x:c r="O108" s="191"/>
      <x:c r="P108" s="191"/>
      <x:c r="Q108" s="191"/>
      <x:c r="R108" s="191"/>
      <x:c r="S108" s="191"/>
      <x:c r="T108" s="191"/>
      <x:c r="U108" s="191"/>
      <x:c r="V108" s="191"/>
      <x:c r="W108" s="191"/>
      <x:c r="X108" s="191"/>
      <x:c r="Y108" s="191"/>
      <x:c r="Z108" s="191"/>
      <x:c r="AA108" s="191"/>
      <x:c r="AB108" s="191"/>
      <x:c r="AC108" s="191"/>
      <x:c r="AD108" s="191"/>
      <x:c r="AE108" s="191"/>
      <x:c r="AF108" s="191"/>
      <x:c r="AG108" s="191"/>
      <x:c r="AH108" s="191"/>
      <x:c r="AI108" s="191"/>
      <x:c r="AJ108" s="191"/>
      <x:c r="AK108" s="191"/>
    </x:row>
    <x:row r="109">
      <x:c r="A109" s="191"/>
      <x:c r="B109" s="191"/>
      <x:c r="C109" s="191"/>
      <x:c r="D109" s="191"/>
      <x:c r="E109" s="191"/>
      <x:c r="F109" s="191"/>
      <x:c r="G109" s="191"/>
      <x:c r="H109" s="191"/>
      <x:c r="I109" s="191"/>
      <x:c r="J109" s="191"/>
      <x:c r="K109" s="191"/>
      <x:c r="L109" s="191"/>
      <x:c r="M109" s="191"/>
      <x:c r="N109" s="191"/>
      <x:c r="O109" s="191"/>
      <x:c r="P109" s="191"/>
      <x:c r="Q109" s="191"/>
      <x:c r="R109" s="191"/>
      <x:c r="S109" s="191"/>
      <x:c r="T109" s="191"/>
      <x:c r="U109" s="191"/>
      <x:c r="V109" s="191"/>
      <x:c r="W109" s="191"/>
      <x:c r="X109" s="191"/>
      <x:c r="Y109" s="191"/>
      <x:c r="Z109" s="191"/>
      <x:c r="AA109" s="191"/>
      <x:c r="AB109" s="191"/>
      <x:c r="AC109" s="191"/>
      <x:c r="AD109" s="191"/>
      <x:c r="AE109" s="191"/>
      <x:c r="AF109" s="191"/>
      <x:c r="AG109" s="191"/>
      <x:c r="AH109" s="191"/>
      <x:c r="AI109" s="191"/>
      <x:c r="AJ109" s="191"/>
      <x:c r="AK109" s="191"/>
    </x:row>
    <x:row r="110">
      <x:c r="A110" s="191"/>
      <x:c r="B110" s="191"/>
      <x:c r="C110" s="191"/>
      <x:c r="D110" s="191"/>
      <x:c r="E110" s="191"/>
      <x:c r="F110" s="191"/>
      <x:c r="G110" s="191"/>
      <x:c r="H110" s="191"/>
      <x:c r="I110" s="191"/>
      <x:c r="J110" s="191"/>
      <x:c r="K110" s="191"/>
      <x:c r="L110" s="191"/>
      <x:c r="M110" s="191"/>
      <x:c r="N110" s="191"/>
      <x:c r="O110" s="191"/>
      <x:c r="P110" s="191"/>
      <x:c r="Q110" s="191"/>
      <x:c r="R110" s="191"/>
      <x:c r="S110" s="191"/>
      <x:c r="T110" s="191"/>
      <x:c r="U110" s="191"/>
      <x:c r="V110" s="191"/>
      <x:c r="W110" s="191"/>
      <x:c r="X110" s="191"/>
      <x:c r="Y110" s="191"/>
      <x:c r="Z110" s="191"/>
      <x:c r="AA110" s="191"/>
      <x:c r="AB110" s="191"/>
      <x:c r="AC110" s="191"/>
      <x:c r="AD110" s="191"/>
      <x:c r="AE110" s="191"/>
      <x:c r="AF110" s="191"/>
      <x:c r="AG110" s="191"/>
      <x:c r="AH110" s="191"/>
      <x:c r="AI110" s="191"/>
      <x:c r="AJ110" s="191"/>
      <x:c r="AK110" s="191"/>
    </x:row>
    <x:row r="111">
      <x:c r="A111" s="191"/>
      <x:c r="B111" s="191"/>
      <x:c r="C111" s="191"/>
      <x:c r="D111" s="191"/>
      <x:c r="E111" s="191"/>
      <x:c r="F111" s="191"/>
      <x:c r="G111" s="191"/>
      <x:c r="H111" s="191"/>
      <x:c r="I111" s="191"/>
      <x:c r="J111" s="191"/>
      <x:c r="K111" s="191"/>
      <x:c r="L111" s="191"/>
      <x:c r="M111" s="191"/>
      <x:c r="N111" s="191"/>
      <x:c r="O111" s="191"/>
      <x:c r="P111" s="191"/>
      <x:c r="Q111" s="191"/>
      <x:c r="R111" s="191"/>
      <x:c r="S111" s="191"/>
      <x:c r="T111" s="191"/>
      <x:c r="U111" s="191"/>
      <x:c r="V111" s="191"/>
      <x:c r="W111" s="191"/>
      <x:c r="X111" s="191"/>
      <x:c r="Y111" s="191"/>
      <x:c r="Z111" s="191"/>
      <x:c r="AA111" s="191"/>
      <x:c r="AB111" s="191"/>
      <x:c r="AC111" s="191"/>
      <x:c r="AD111" s="191"/>
      <x:c r="AE111" s="191"/>
      <x:c r="AF111" s="191"/>
      <x:c r="AG111" s="191"/>
      <x:c r="AH111" s="191"/>
      <x:c r="AI111" s="191"/>
      <x:c r="AJ111" s="191"/>
      <x:c r="AK111" s="191"/>
    </x:row>
    <x:row r="112">
      <x:c r="A112" s="191"/>
      <x:c r="B112" s="191"/>
      <x:c r="C112" s="191"/>
      <x:c r="D112" s="191"/>
      <x:c r="E112" s="191"/>
      <x:c r="F112" s="191"/>
      <x:c r="G112" s="191"/>
      <x:c r="H112" s="191"/>
      <x:c r="I112" s="191"/>
      <x:c r="J112" s="191"/>
      <x:c r="K112" s="191"/>
      <x:c r="L112" s="191"/>
      <x:c r="M112" s="191"/>
      <x:c r="N112" s="191"/>
      <x:c r="O112" s="191"/>
      <x:c r="P112" s="191"/>
      <x:c r="Q112" s="191"/>
      <x:c r="R112" s="191"/>
      <x:c r="S112" s="191"/>
      <x:c r="T112" s="191"/>
      <x:c r="U112" s="191"/>
      <x:c r="V112" s="191"/>
      <x:c r="W112" s="191"/>
      <x:c r="X112" s="191"/>
      <x:c r="Y112" s="191"/>
      <x:c r="Z112" s="191"/>
      <x:c r="AA112" s="191"/>
      <x:c r="AB112" s="191"/>
      <x:c r="AC112" s="191"/>
      <x:c r="AD112" s="191"/>
      <x:c r="AE112" s="191"/>
      <x:c r="AF112" s="191"/>
      <x:c r="AG112" s="191"/>
      <x:c r="AH112" s="191"/>
      <x:c r="AI112" s="191"/>
      <x:c r="AJ112" s="191"/>
      <x:c r="AK112" s="191"/>
    </x:row>
    <x:row r="113">
      <x:c r="A113" s="191"/>
      <x:c r="B113" s="191"/>
      <x:c r="C113" s="191"/>
      <x:c r="D113" s="191"/>
      <x:c r="E113" s="191"/>
      <x:c r="F113" s="191"/>
      <x:c r="G113" s="191"/>
      <x:c r="H113" s="191"/>
      <x:c r="I113" s="191"/>
      <x:c r="J113" s="191"/>
      <x:c r="K113" s="191"/>
      <x:c r="L113" s="191"/>
      <x:c r="M113" s="191"/>
      <x:c r="N113" s="191"/>
      <x:c r="O113" s="191"/>
      <x:c r="P113" s="191"/>
      <x:c r="Q113" s="191"/>
      <x:c r="R113" s="191"/>
      <x:c r="S113" s="191"/>
      <x:c r="T113" s="191"/>
      <x:c r="U113" s="191"/>
      <x:c r="V113" s="191"/>
      <x:c r="W113" s="191"/>
      <x:c r="X113" s="191"/>
      <x:c r="Y113" s="191"/>
      <x:c r="Z113" s="191"/>
      <x:c r="AA113" s="191"/>
      <x:c r="AB113" s="191"/>
      <x:c r="AC113" s="191"/>
      <x:c r="AD113" s="191"/>
      <x:c r="AE113" s="191"/>
      <x:c r="AF113" s="191"/>
      <x:c r="AG113" s="191"/>
      <x:c r="AH113" s="191"/>
      <x:c r="AI113" s="191"/>
      <x:c r="AJ113" s="191"/>
      <x:c r="AK113" s="191"/>
    </x:row>
    <x:row r="114">
      <x:c r="A114" s="191"/>
      <x:c r="B114" s="191"/>
      <x:c r="C114" s="191"/>
      <x:c r="D114" s="191"/>
      <x:c r="E114" s="191"/>
      <x:c r="F114" s="191"/>
      <x:c r="G114" s="191"/>
      <x:c r="H114" s="191"/>
      <x:c r="I114" s="191"/>
      <x:c r="J114" s="191"/>
      <x:c r="K114" s="191"/>
      <x:c r="L114" s="191"/>
      <x:c r="M114" s="191"/>
      <x:c r="N114" s="191"/>
      <x:c r="O114" s="191"/>
      <x:c r="P114" s="191"/>
      <x:c r="Q114" s="191"/>
      <x:c r="R114" s="191"/>
      <x:c r="S114" s="191"/>
      <x:c r="T114" s="191"/>
      <x:c r="U114" s="191"/>
      <x:c r="V114" s="191"/>
      <x:c r="W114" s="191"/>
      <x:c r="X114" s="191"/>
      <x:c r="Y114" s="191"/>
      <x:c r="Z114" s="191"/>
      <x:c r="AA114" s="191"/>
      <x:c r="AB114" s="191"/>
      <x:c r="AC114" s="191"/>
      <x:c r="AD114" s="191"/>
      <x:c r="AE114" s="191"/>
      <x:c r="AF114" s="191"/>
      <x:c r="AG114" s="191"/>
      <x:c r="AH114" s="191"/>
      <x:c r="AI114" s="191"/>
      <x:c r="AJ114" s="191"/>
      <x:c r="AK114" s="191"/>
    </x:row>
    <x:row r="115">
      <x:c r="A115" s="191"/>
      <x:c r="B115" s="191"/>
      <x:c r="C115" s="191"/>
      <x:c r="D115" s="191"/>
      <x:c r="E115" s="191"/>
      <x:c r="F115" s="191"/>
      <x:c r="G115" s="191"/>
      <x:c r="H115" s="191"/>
      <x:c r="I115" s="191"/>
      <x:c r="J115" s="191"/>
      <x:c r="K115" s="191"/>
      <x:c r="L115" s="191"/>
      <x:c r="M115" s="191"/>
      <x:c r="N115" s="191"/>
      <x:c r="O115" s="191"/>
      <x:c r="P115" s="191"/>
      <x:c r="Q115" s="191"/>
      <x:c r="R115" s="191"/>
      <x:c r="S115" s="191"/>
      <x:c r="T115" s="191"/>
      <x:c r="U115" s="191"/>
      <x:c r="V115" s="191"/>
      <x:c r="W115" s="191"/>
      <x:c r="X115" s="191"/>
      <x:c r="Y115" s="191"/>
      <x:c r="Z115" s="191"/>
      <x:c r="AA115" s="191"/>
      <x:c r="AB115" s="191"/>
      <x:c r="AC115" s="191"/>
      <x:c r="AD115" s="191"/>
      <x:c r="AE115" s="191"/>
      <x:c r="AF115" s="191"/>
      <x:c r="AG115" s="191"/>
      <x:c r="AH115" s="191"/>
      <x:c r="AI115" s="191"/>
      <x:c r="AJ115" s="191"/>
      <x:c r="AK115" s="191"/>
    </x:row>
    <x:row r="116">
      <x:c r="A116" s="191"/>
      <x:c r="B116" s="191"/>
      <x:c r="C116" s="191"/>
      <x:c r="D116" s="191"/>
      <x:c r="E116" s="191"/>
      <x:c r="F116" s="191"/>
      <x:c r="G116" s="191"/>
      <x:c r="H116" s="191"/>
      <x:c r="I116" s="191"/>
      <x:c r="J116" s="191"/>
      <x:c r="K116" s="191"/>
      <x:c r="L116" s="191"/>
      <x:c r="M116" s="191"/>
      <x:c r="N116" s="191"/>
      <x:c r="O116" s="191"/>
      <x:c r="P116" s="191"/>
      <x:c r="Q116" s="191"/>
      <x:c r="R116" s="191"/>
      <x:c r="S116" s="191"/>
      <x:c r="T116" s="191"/>
      <x:c r="U116" s="191"/>
      <x:c r="V116" s="191"/>
      <x:c r="W116" s="191"/>
      <x:c r="X116" s="191"/>
      <x:c r="Y116" s="191"/>
      <x:c r="Z116" s="191"/>
      <x:c r="AA116" s="191"/>
      <x:c r="AB116" s="191"/>
      <x:c r="AC116" s="191"/>
      <x:c r="AD116" s="191"/>
      <x:c r="AE116" s="191"/>
      <x:c r="AF116" s="191"/>
      <x:c r="AG116" s="191"/>
      <x:c r="AH116" s="191"/>
      <x:c r="AI116" s="191"/>
      <x:c r="AJ116" s="191"/>
      <x:c r="AK116" s="191"/>
    </x:row>
    <x:row r="117">
      <x:c r="A117" s="191"/>
      <x:c r="B117" s="191"/>
      <x:c r="C117" s="191"/>
      <x:c r="D117" s="191"/>
      <x:c r="E117" s="191"/>
      <x:c r="F117" s="191"/>
      <x:c r="G117" s="191"/>
      <x:c r="H117" s="191"/>
      <x:c r="I117" s="191"/>
      <x:c r="J117" s="191"/>
      <x:c r="K117" s="191"/>
      <x:c r="L117" s="191"/>
      <x:c r="M117" s="191"/>
      <x:c r="N117" s="191"/>
      <x:c r="O117" s="191"/>
      <x:c r="P117" s="191"/>
      <x:c r="Q117" s="191"/>
      <x:c r="R117" s="191"/>
      <x:c r="S117" s="191"/>
      <x:c r="T117" s="191"/>
      <x:c r="U117" s="191"/>
      <x:c r="V117" s="191"/>
      <x:c r="W117" s="191"/>
      <x:c r="X117" s="191"/>
      <x:c r="Y117" s="191"/>
      <x:c r="Z117" s="191"/>
      <x:c r="AA117" s="191"/>
      <x:c r="AB117" s="191"/>
      <x:c r="AC117" s="191"/>
      <x:c r="AD117" s="191"/>
      <x:c r="AE117" s="191"/>
      <x:c r="AF117" s="191"/>
      <x:c r="AG117" s="191"/>
      <x:c r="AH117" s="191"/>
      <x:c r="AI117" s="191"/>
      <x:c r="AJ117" s="191"/>
      <x:c r="AK117" s="191"/>
    </x:row>
    <x:row r="118">
      <x:c r="A118" s="191"/>
      <x:c r="B118" s="191"/>
      <x:c r="C118" s="191"/>
      <x:c r="D118" s="191"/>
      <x:c r="E118" s="191"/>
      <x:c r="F118" s="191"/>
      <x:c r="G118" s="191"/>
      <x:c r="H118" s="191"/>
      <x:c r="I118" s="191"/>
      <x:c r="J118" s="191"/>
      <x:c r="K118" s="191"/>
      <x:c r="L118" s="191"/>
      <x:c r="M118" s="191"/>
      <x:c r="N118" s="191"/>
      <x:c r="O118" s="191"/>
      <x:c r="P118" s="191"/>
      <x:c r="Q118" s="191"/>
      <x:c r="R118" s="191"/>
      <x:c r="S118" s="191"/>
      <x:c r="T118" s="191"/>
      <x:c r="U118" s="191"/>
      <x:c r="V118" s="191"/>
      <x:c r="W118" s="191"/>
      <x:c r="X118" s="191"/>
      <x:c r="Y118" s="191"/>
      <x:c r="Z118" s="191"/>
      <x:c r="AA118" s="191"/>
      <x:c r="AB118" s="191"/>
      <x:c r="AC118" s="191"/>
      <x:c r="AD118" s="191"/>
      <x:c r="AE118" s="191"/>
      <x:c r="AF118" s="191"/>
      <x:c r="AG118" s="191"/>
      <x:c r="AH118" s="191"/>
      <x:c r="AI118" s="191"/>
      <x:c r="AJ118" s="191"/>
      <x:c r="AK118" s="191"/>
    </x:row>
    <x:row r="119">
      <x:c r="A119" s="191"/>
      <x:c r="B119" s="191"/>
      <x:c r="C119" s="191"/>
      <x:c r="D119" s="191"/>
      <x:c r="E119" s="191"/>
      <x:c r="F119" s="191"/>
      <x:c r="G119" s="191"/>
      <x:c r="H119" s="191"/>
      <x:c r="I119" s="191"/>
      <x:c r="J119" s="191"/>
      <x:c r="K119" s="191"/>
      <x:c r="L119" s="191"/>
      <x:c r="M119" s="191"/>
      <x:c r="N119" s="191"/>
      <x:c r="O119" s="191"/>
      <x:c r="P119" s="191"/>
      <x:c r="Q119" s="191"/>
      <x:c r="R119" s="191"/>
      <x:c r="S119" s="191"/>
      <x:c r="T119" s="191"/>
      <x:c r="U119" s="191"/>
      <x:c r="V119" s="191"/>
      <x:c r="W119" s="191"/>
      <x:c r="X119" s="191"/>
      <x:c r="Y119" s="191"/>
      <x:c r="Z119" s="191"/>
      <x:c r="AA119" s="191"/>
      <x:c r="AB119" s="191"/>
      <x:c r="AC119" s="191"/>
      <x:c r="AD119" s="191"/>
      <x:c r="AE119" s="191"/>
      <x:c r="AF119" s="191"/>
      <x:c r="AG119" s="191"/>
      <x:c r="AH119" s="191"/>
      <x:c r="AI119" s="191"/>
      <x:c r="AJ119" s="191"/>
      <x:c r="AK119" s="191"/>
    </x:row>
    <x:row r="120">
      <x:c r="A120" s="191"/>
      <x:c r="B120" s="191"/>
      <x:c r="C120" s="191"/>
      <x:c r="D120" s="191"/>
      <x:c r="E120" s="191"/>
      <x:c r="F120" s="191"/>
      <x:c r="G120" s="191"/>
      <x:c r="H120" s="191"/>
      <x:c r="I120" s="191"/>
      <x:c r="J120" s="191"/>
      <x:c r="K120" s="191"/>
      <x:c r="L120" s="191"/>
      <x:c r="M120" s="191"/>
      <x:c r="N120" s="191"/>
      <x:c r="O120" s="191"/>
      <x:c r="P120" s="191"/>
      <x:c r="Q120" s="191"/>
      <x:c r="R120" s="191"/>
      <x:c r="S120" s="191"/>
      <x:c r="T120" s="191"/>
      <x:c r="U120" s="191"/>
      <x:c r="V120" s="191"/>
      <x:c r="W120" s="191"/>
      <x:c r="X120" s="191"/>
      <x:c r="Y120" s="191"/>
      <x:c r="Z120" s="191"/>
      <x:c r="AA120" s="191"/>
      <x:c r="AB120" s="191"/>
      <x:c r="AC120" s="191"/>
      <x:c r="AD120" s="191"/>
      <x:c r="AE120" s="191"/>
      <x:c r="AF120" s="191"/>
      <x:c r="AG120" s="191"/>
      <x:c r="AH120" s="191"/>
      <x:c r="AI120" s="191"/>
      <x:c r="AJ120" s="191"/>
      <x:c r="AK120" s="191"/>
    </x:row>
    <x:row r="121">
      <x:c r="A121" s="191"/>
      <x:c r="B121" s="191"/>
      <x:c r="C121" s="191"/>
      <x:c r="D121" s="191"/>
      <x:c r="E121" s="191"/>
      <x:c r="F121" s="191"/>
      <x:c r="G121" s="191"/>
      <x:c r="H121" s="191"/>
      <x:c r="I121" s="191"/>
      <x:c r="J121" s="191"/>
      <x:c r="K121" s="191"/>
      <x:c r="L121" s="191"/>
      <x:c r="M121" s="191"/>
      <x:c r="N121" s="191"/>
      <x:c r="O121" s="191"/>
      <x:c r="P121" s="191"/>
      <x:c r="Q121" s="191"/>
      <x:c r="R121" s="191"/>
      <x:c r="S121" s="191"/>
      <x:c r="T121" s="191"/>
      <x:c r="U121" s="191"/>
      <x:c r="V121" s="191"/>
      <x:c r="W121" s="191"/>
      <x:c r="X121" s="191"/>
      <x:c r="Y121" s="191"/>
      <x:c r="Z121" s="191"/>
      <x:c r="AA121" s="191"/>
      <x:c r="AB121" s="191"/>
      <x:c r="AC121" s="191"/>
      <x:c r="AD121" s="191"/>
      <x:c r="AE121" s="191"/>
      <x:c r="AF121" s="191"/>
      <x:c r="AG121" s="191"/>
      <x:c r="AH121" s="191"/>
      <x:c r="AI121" s="191"/>
      <x:c r="AJ121" s="191"/>
      <x:c r="AK121" s="191"/>
    </x:row>
    <x:row r="122">
      <x:c r="A122" s="191"/>
      <x:c r="B122" s="191"/>
      <x:c r="C122" s="191"/>
      <x:c r="D122" s="191"/>
      <x:c r="E122" s="191"/>
      <x:c r="F122" s="191"/>
      <x:c r="G122" s="191"/>
      <x:c r="H122" s="191"/>
      <x:c r="I122" s="191"/>
      <x:c r="J122" s="191"/>
      <x:c r="K122" s="191"/>
      <x:c r="L122" s="191"/>
      <x:c r="M122" s="191"/>
      <x:c r="N122" s="191"/>
      <x:c r="O122" s="191"/>
      <x:c r="P122" s="191"/>
      <x:c r="Q122" s="191"/>
      <x:c r="R122" s="191"/>
      <x:c r="S122" s="191"/>
      <x:c r="T122" s="191"/>
      <x:c r="U122" s="191"/>
      <x:c r="V122" s="191"/>
      <x:c r="W122" s="191"/>
      <x:c r="X122" s="191"/>
      <x:c r="Y122" s="191"/>
      <x:c r="Z122" s="191"/>
      <x:c r="AA122" s="191"/>
      <x:c r="AB122" s="191"/>
      <x:c r="AC122" s="191"/>
      <x:c r="AD122" s="191"/>
      <x:c r="AE122" s="191"/>
      <x:c r="AF122" s="191"/>
      <x:c r="AG122" s="191"/>
      <x:c r="AH122" s="191"/>
      <x:c r="AI122" s="191"/>
      <x:c r="AJ122" s="191"/>
      <x:c r="AK122" s="191"/>
    </x:row>
    <x:row r="123">
      <x:c r="A123" s="191"/>
      <x:c r="B123" s="191"/>
      <x:c r="C123" s="191"/>
      <x:c r="D123" s="191"/>
      <x:c r="E123" s="191"/>
      <x:c r="F123" s="191"/>
      <x:c r="G123" s="191"/>
      <x:c r="H123" s="191"/>
      <x:c r="I123" s="191"/>
      <x:c r="J123" s="191"/>
      <x:c r="K123" s="191"/>
      <x:c r="L123" s="191"/>
      <x:c r="M123" s="191"/>
      <x:c r="N123" s="191"/>
      <x:c r="O123" s="191"/>
      <x:c r="P123" s="191"/>
      <x:c r="Q123" s="191"/>
      <x:c r="R123" s="191"/>
      <x:c r="S123" s="191"/>
      <x:c r="T123" s="191"/>
      <x:c r="U123" s="191"/>
      <x:c r="V123" s="191"/>
      <x:c r="W123" s="191"/>
      <x:c r="X123" s="191"/>
      <x:c r="Y123" s="191"/>
      <x:c r="Z123" s="191"/>
      <x:c r="AA123" s="191"/>
      <x:c r="AB123" s="191"/>
      <x:c r="AC123" s="191"/>
      <x:c r="AD123" s="191"/>
      <x:c r="AE123" s="191"/>
      <x:c r="AF123" s="191"/>
      <x:c r="AG123" s="191"/>
      <x:c r="AH123" s="191"/>
      <x:c r="AI123" s="191"/>
      <x:c r="AJ123" s="191"/>
      <x:c r="AK123" s="191"/>
    </x:row>
    <x:row r="124">
      <x:c r="A124" s="191"/>
      <x:c r="B124" s="191"/>
      <x:c r="C124" s="191"/>
      <x:c r="D124" s="191"/>
      <x:c r="E124" s="191"/>
      <x:c r="F124" s="191"/>
      <x:c r="G124" s="191"/>
      <x:c r="H124" s="191"/>
      <x:c r="I124" s="191"/>
      <x:c r="J124" s="191"/>
      <x:c r="K124" s="191"/>
      <x:c r="L124" s="191"/>
      <x:c r="M124" s="191"/>
      <x:c r="N124" s="191"/>
      <x:c r="O124" s="191"/>
      <x:c r="P124" s="191"/>
      <x:c r="Q124" s="191"/>
      <x:c r="R124" s="191"/>
      <x:c r="S124" s="191"/>
      <x:c r="T124" s="191"/>
      <x:c r="U124" s="191"/>
      <x:c r="V124" s="191"/>
      <x:c r="W124" s="191"/>
      <x:c r="X124" s="191"/>
      <x:c r="Y124" s="191"/>
      <x:c r="Z124" s="191"/>
      <x:c r="AA124" s="191"/>
      <x:c r="AB124" s="191"/>
      <x:c r="AC124" s="191"/>
      <x:c r="AD124" s="191"/>
      <x:c r="AE124" s="191"/>
      <x:c r="AF124" s="191"/>
      <x:c r="AG124" s="191"/>
      <x:c r="AH124" s="191"/>
      <x:c r="AI124" s="191"/>
      <x:c r="AJ124" s="191"/>
      <x:c r="AK124" s="191"/>
    </x:row>
    <x:row r="125">
      <x:c r="A125" s="191"/>
      <x:c r="B125" s="191"/>
      <x:c r="C125" s="191"/>
      <x:c r="D125" s="191"/>
      <x:c r="E125" s="191"/>
      <x:c r="F125" s="191"/>
      <x:c r="G125" s="191"/>
      <x:c r="H125" s="191"/>
      <x:c r="I125" s="191"/>
      <x:c r="J125" s="191"/>
      <x:c r="K125" s="191"/>
      <x:c r="L125" s="191"/>
      <x:c r="M125" s="191"/>
      <x:c r="N125" s="191"/>
      <x:c r="O125" s="191"/>
      <x:c r="P125" s="191"/>
      <x:c r="Q125" s="191"/>
      <x:c r="R125" s="191"/>
      <x:c r="S125" s="191"/>
      <x:c r="T125" s="191"/>
      <x:c r="U125" s="191"/>
      <x:c r="V125" s="191"/>
      <x:c r="W125" s="191"/>
      <x:c r="X125" s="191"/>
      <x:c r="Y125" s="191"/>
      <x:c r="Z125" s="191"/>
      <x:c r="AA125" s="191"/>
      <x:c r="AB125" s="191"/>
      <x:c r="AC125" s="191"/>
      <x:c r="AD125" s="191"/>
      <x:c r="AE125" s="191"/>
      <x:c r="AF125" s="191"/>
      <x:c r="AG125" s="191"/>
      <x:c r="AH125" s="191"/>
      <x:c r="AI125" s="191"/>
      <x:c r="AJ125" s="191"/>
      <x:c r="AK125" s="191"/>
    </x:row>
    <x:row r="126">
      <x:c r="A126" s="191"/>
      <x:c r="B126" s="191"/>
      <x:c r="C126" s="191"/>
      <x:c r="D126" s="191"/>
      <x:c r="E126" s="191"/>
      <x:c r="F126" s="191"/>
      <x:c r="G126" s="191"/>
      <x:c r="H126" s="191"/>
      <x:c r="I126" s="191"/>
      <x:c r="J126" s="191"/>
      <x:c r="K126" s="191"/>
      <x:c r="L126" s="191"/>
      <x:c r="M126" s="191"/>
      <x:c r="N126" s="191"/>
      <x:c r="O126" s="191"/>
      <x:c r="P126" s="191"/>
      <x:c r="Q126" s="191"/>
      <x:c r="R126" s="191"/>
      <x:c r="S126" s="191"/>
      <x:c r="T126" s="191"/>
      <x:c r="U126" s="191"/>
      <x:c r="V126" s="191"/>
      <x:c r="W126" s="191"/>
      <x:c r="X126" s="191"/>
      <x:c r="Y126" s="191"/>
      <x:c r="Z126" s="191"/>
      <x:c r="AA126" s="191"/>
      <x:c r="AB126" s="191"/>
      <x:c r="AC126" s="191"/>
      <x:c r="AD126" s="191"/>
      <x:c r="AE126" s="191"/>
      <x:c r="AF126" s="191"/>
      <x:c r="AG126" s="191"/>
      <x:c r="AH126" s="191"/>
      <x:c r="AI126" s="191"/>
      <x:c r="AJ126" s="191"/>
      <x:c r="AK126" s="191"/>
    </x:row>
    <x:row r="127">
      <x:c r="A127" s="191"/>
      <x:c r="B127" s="191"/>
      <x:c r="C127" s="191"/>
      <x:c r="D127" s="191"/>
      <x:c r="E127" s="191"/>
      <x:c r="F127" s="191"/>
      <x:c r="G127" s="191"/>
      <x:c r="H127" s="191"/>
      <x:c r="I127" s="191"/>
      <x:c r="J127" s="191"/>
      <x:c r="K127" s="191"/>
      <x:c r="L127" s="191"/>
      <x:c r="M127" s="191"/>
      <x:c r="N127" s="191"/>
      <x:c r="O127" s="191"/>
      <x:c r="P127" s="191"/>
      <x:c r="Q127" s="191"/>
      <x:c r="R127" s="191"/>
      <x:c r="S127" s="191"/>
      <x:c r="T127" s="191"/>
      <x:c r="U127" s="191"/>
      <x:c r="V127" s="191"/>
      <x:c r="W127" s="191"/>
      <x:c r="X127" s="191"/>
      <x:c r="Y127" s="191"/>
      <x:c r="Z127" s="191"/>
      <x:c r="AA127" s="191"/>
      <x:c r="AB127" s="191"/>
      <x:c r="AC127" s="191"/>
      <x:c r="AD127" s="191"/>
      <x:c r="AE127" s="191"/>
      <x:c r="AF127" s="191"/>
      <x:c r="AG127" s="191"/>
      <x:c r="AH127" s="191"/>
      <x:c r="AI127" s="191"/>
      <x:c r="AJ127" s="191"/>
      <x:c r="AK127" s="191"/>
    </x:row>
    <x:row r="128">
      <x:c r="A128" s="191"/>
      <x:c r="B128" s="191"/>
      <x:c r="C128" s="191"/>
      <x:c r="D128" s="191"/>
      <x:c r="E128" s="191"/>
      <x:c r="F128" s="191"/>
      <x:c r="G128" s="191"/>
      <x:c r="H128" s="191"/>
      <x:c r="I128" s="191"/>
      <x:c r="J128" s="191"/>
      <x:c r="K128" s="191"/>
      <x:c r="L128" s="191"/>
      <x:c r="M128" s="191"/>
      <x:c r="N128" s="191"/>
      <x:c r="O128" s="191"/>
      <x:c r="P128" s="191"/>
      <x:c r="Q128" s="191"/>
      <x:c r="R128" s="191"/>
      <x:c r="S128" s="191"/>
      <x:c r="T128" s="191"/>
      <x:c r="U128" s="191"/>
      <x:c r="V128" s="191"/>
      <x:c r="W128" s="191"/>
      <x:c r="X128" s="191"/>
      <x:c r="Y128" s="191"/>
      <x:c r="Z128" s="191"/>
      <x:c r="AA128" s="191"/>
      <x:c r="AB128" s="191"/>
      <x:c r="AC128" s="191"/>
      <x:c r="AD128" s="191"/>
      <x:c r="AE128" s="191"/>
      <x:c r="AF128" s="191"/>
      <x:c r="AG128" s="191"/>
      <x:c r="AH128" s="191"/>
      <x:c r="AI128" s="191"/>
      <x:c r="AJ128" s="191"/>
      <x:c r="AK128" s="191"/>
    </x:row>
    <x:row r="129">
      <x:c r="A129" s="191"/>
      <x:c r="B129" s="191"/>
      <x:c r="C129" s="191"/>
      <x:c r="D129" s="191"/>
      <x:c r="E129" s="191"/>
      <x:c r="F129" s="191"/>
      <x:c r="G129" s="191"/>
      <x:c r="H129" s="191"/>
      <x:c r="I129" s="191"/>
      <x:c r="J129" s="191"/>
      <x:c r="K129" s="191"/>
      <x:c r="L129" s="191"/>
      <x:c r="M129" s="191"/>
      <x:c r="N129" s="191"/>
      <x:c r="O129" s="191"/>
      <x:c r="P129" s="191"/>
      <x:c r="Q129" s="191"/>
      <x:c r="R129" s="191"/>
      <x:c r="S129" s="191"/>
      <x:c r="T129" s="191"/>
      <x:c r="U129" s="191"/>
      <x:c r="V129" s="191"/>
      <x:c r="W129" s="191"/>
      <x:c r="X129" s="191"/>
      <x:c r="Y129" s="191"/>
      <x:c r="Z129" s="191"/>
      <x:c r="AA129" s="191"/>
      <x:c r="AB129" s="191"/>
      <x:c r="AC129" s="191"/>
      <x:c r="AD129" s="191"/>
      <x:c r="AE129" s="191"/>
      <x:c r="AF129" s="191"/>
      <x:c r="AG129" s="191"/>
      <x:c r="AH129" s="191"/>
      <x:c r="AI129" s="191"/>
      <x:c r="AJ129" s="191"/>
      <x:c r="AK129" s="191"/>
    </x:row>
    <x:row r="130">
      <x:c r="A130" s="191"/>
      <x:c r="B130" s="191"/>
      <x:c r="C130" s="191"/>
      <x:c r="D130" s="191"/>
      <x:c r="E130" s="191"/>
      <x:c r="F130" s="191"/>
      <x:c r="G130" s="191"/>
      <x:c r="H130" s="191"/>
      <x:c r="I130" s="191"/>
      <x:c r="J130" s="191"/>
      <x:c r="K130" s="191"/>
      <x:c r="L130" s="191"/>
      <x:c r="M130" s="191"/>
      <x:c r="N130" s="191"/>
      <x:c r="O130" s="191"/>
      <x:c r="P130" s="191"/>
      <x:c r="Q130" s="191"/>
      <x:c r="R130" s="191"/>
      <x:c r="S130" s="191"/>
      <x:c r="T130" s="191"/>
      <x:c r="U130" s="191"/>
      <x:c r="V130" s="191"/>
      <x:c r="W130" s="191"/>
      <x:c r="X130" s="191"/>
      <x:c r="Y130" s="191"/>
      <x:c r="Z130" s="191"/>
      <x:c r="AA130" s="191"/>
      <x:c r="AB130" s="191"/>
      <x:c r="AC130" s="191"/>
      <x:c r="AD130" s="191"/>
      <x:c r="AE130" s="191"/>
      <x:c r="AF130" s="191"/>
      <x:c r="AG130" s="191"/>
      <x:c r="AH130" s="191"/>
      <x:c r="AI130" s="191"/>
      <x:c r="AJ130" s="191"/>
      <x:c r="AK130" s="191"/>
    </x:row>
    <x:row r="131">
      <x:c r="A131" s="191"/>
      <x:c r="B131" s="191"/>
      <x:c r="C131" s="191"/>
      <x:c r="D131" s="191"/>
      <x:c r="E131" s="191"/>
      <x:c r="F131" s="191"/>
      <x:c r="G131" s="191"/>
      <x:c r="H131" s="191"/>
      <x:c r="I131" s="191"/>
      <x:c r="J131" s="191"/>
      <x:c r="K131" s="191"/>
      <x:c r="L131" s="191"/>
      <x:c r="M131" s="191"/>
      <x:c r="N131" s="191"/>
      <x:c r="O131" s="191"/>
      <x:c r="P131" s="191"/>
      <x:c r="Q131" s="191"/>
      <x:c r="R131" s="191"/>
      <x:c r="S131" s="191"/>
      <x:c r="T131" s="191"/>
      <x:c r="U131" s="191"/>
      <x:c r="V131" s="191"/>
      <x:c r="W131" s="191"/>
      <x:c r="X131" s="191"/>
      <x:c r="Y131" s="191"/>
      <x:c r="Z131" s="191"/>
      <x:c r="AA131" s="191"/>
      <x:c r="AB131" s="191"/>
      <x:c r="AC131" s="191"/>
      <x:c r="AD131" s="191"/>
      <x:c r="AE131" s="191"/>
      <x:c r="AF131" s="191"/>
      <x:c r="AG131" s="191"/>
      <x:c r="AH131" s="191"/>
      <x:c r="AI131" s="191"/>
      <x:c r="AJ131" s="191"/>
      <x:c r="AK131" s="191"/>
    </x:row>
    <x:row r="132">
      <x:c r="A132" s="191"/>
      <x:c r="B132" s="191"/>
      <x:c r="C132" s="191"/>
      <x:c r="D132" s="191"/>
      <x:c r="E132" s="191"/>
      <x:c r="F132" s="191"/>
      <x:c r="G132" s="191"/>
      <x:c r="H132" s="191"/>
      <x:c r="I132" s="191"/>
      <x:c r="J132" s="191"/>
      <x:c r="K132" s="191"/>
      <x:c r="L132" s="191"/>
      <x:c r="M132" s="191"/>
      <x:c r="N132" s="191"/>
      <x:c r="O132" s="191"/>
      <x:c r="P132" s="191"/>
      <x:c r="Q132" s="191"/>
      <x:c r="R132" s="191"/>
      <x:c r="S132" s="191"/>
      <x:c r="T132" s="191"/>
      <x:c r="U132" s="191"/>
      <x:c r="V132" s="191"/>
      <x:c r="W132" s="191"/>
      <x:c r="X132" s="191"/>
      <x:c r="Y132" s="191"/>
      <x:c r="Z132" s="191"/>
      <x:c r="AA132" s="191"/>
      <x:c r="AB132" s="191"/>
      <x:c r="AC132" s="191"/>
      <x:c r="AD132" s="191"/>
      <x:c r="AE132" s="191"/>
      <x:c r="AF132" s="191"/>
      <x:c r="AG132" s="191"/>
      <x:c r="AH132" s="191"/>
      <x:c r="AI132" s="191"/>
      <x:c r="AJ132" s="191"/>
      <x:c r="AK132" s="191"/>
    </x:row>
    <x:row r="133">
      <x:c r="A133" s="191"/>
      <x:c r="B133" s="191"/>
      <x:c r="C133" s="191"/>
      <x:c r="D133" s="191"/>
      <x:c r="E133" s="191"/>
      <x:c r="F133" s="191"/>
      <x:c r="G133" s="191"/>
      <x:c r="H133" s="191"/>
      <x:c r="I133" s="191"/>
      <x:c r="J133" s="191"/>
      <x:c r="K133" s="191"/>
      <x:c r="L133" s="191"/>
      <x:c r="M133" s="191"/>
      <x:c r="N133" s="191"/>
      <x:c r="O133" s="191"/>
      <x:c r="P133" s="191"/>
      <x:c r="Q133" s="191"/>
      <x:c r="R133" s="191"/>
      <x:c r="S133" s="191"/>
      <x:c r="T133" s="191"/>
      <x:c r="U133" s="191"/>
      <x:c r="V133" s="191"/>
      <x:c r="W133" s="191"/>
      <x:c r="X133" s="191"/>
      <x:c r="Y133" s="191"/>
      <x:c r="Z133" s="191"/>
      <x:c r="AA133" s="191"/>
      <x:c r="AB133" s="191"/>
      <x:c r="AC133" s="191"/>
      <x:c r="AD133" s="191"/>
      <x:c r="AE133" s="191"/>
      <x:c r="AF133" s="191"/>
      <x:c r="AG133" s="191"/>
      <x:c r="AH133" s="191"/>
      <x:c r="AI133" s="191"/>
      <x:c r="AJ133" s="191"/>
      <x:c r="AK133" s="191"/>
    </x:row>
    <x:row r="134">
      <x:c r="A134" s="191"/>
      <x:c r="B134" s="191"/>
      <x:c r="C134" s="191"/>
      <x:c r="D134" s="191"/>
      <x:c r="E134" s="191"/>
      <x:c r="F134" s="191"/>
      <x:c r="G134" s="191"/>
      <x:c r="H134" s="191"/>
      <x:c r="I134" s="191"/>
      <x:c r="J134" s="191"/>
      <x:c r="K134" s="191"/>
      <x:c r="L134" s="191"/>
      <x:c r="M134" s="191"/>
      <x:c r="N134" s="191"/>
      <x:c r="O134" s="191"/>
      <x:c r="P134" s="191"/>
      <x:c r="Q134" s="191"/>
      <x:c r="R134" s="191"/>
      <x:c r="S134" s="191"/>
      <x:c r="T134" s="191"/>
      <x:c r="U134" s="191"/>
      <x:c r="V134" s="191"/>
      <x:c r="W134" s="191"/>
      <x:c r="X134" s="191"/>
      <x:c r="Y134" s="191"/>
      <x:c r="Z134" s="191"/>
      <x:c r="AA134" s="191"/>
      <x:c r="AB134" s="191"/>
      <x:c r="AC134" s="191"/>
      <x:c r="AD134" s="191"/>
      <x:c r="AE134" s="191"/>
      <x:c r="AF134" s="191"/>
      <x:c r="AG134" s="191"/>
      <x:c r="AH134" s="191"/>
      <x:c r="AI134" s="191"/>
      <x:c r="AJ134" s="191"/>
      <x:c r="AK134" s="191"/>
    </x:row>
    <x:row r="135">
      <x:c r="A135" s="191"/>
      <x:c r="B135" s="191"/>
      <x:c r="C135" s="191"/>
      <x:c r="D135" s="191"/>
      <x:c r="E135" s="191"/>
      <x:c r="F135" s="191"/>
      <x:c r="G135" s="191"/>
      <x:c r="H135" s="191"/>
      <x:c r="I135" s="191"/>
      <x:c r="J135" s="191"/>
      <x:c r="K135" s="191"/>
      <x:c r="L135" s="191"/>
      <x:c r="M135" s="191"/>
      <x:c r="N135" s="191"/>
      <x:c r="O135" s="191"/>
      <x:c r="P135" s="191"/>
      <x:c r="Q135" s="191"/>
      <x:c r="R135" s="191"/>
      <x:c r="S135" s="191"/>
      <x:c r="T135" s="191"/>
      <x:c r="U135" s="191"/>
      <x:c r="V135" s="191"/>
      <x:c r="W135" s="191"/>
      <x:c r="X135" s="191"/>
      <x:c r="Y135" s="191"/>
      <x:c r="Z135" s="191"/>
      <x:c r="AA135" s="191"/>
      <x:c r="AB135" s="191"/>
      <x:c r="AC135" s="191"/>
      <x:c r="AD135" s="191"/>
      <x:c r="AE135" s="191"/>
      <x:c r="AF135" s="191"/>
      <x:c r="AG135" s="191"/>
      <x:c r="AH135" s="191"/>
      <x:c r="AI135" s="191"/>
      <x:c r="AJ135" s="191"/>
      <x:c r="AK135" s="191"/>
    </x:row>
    <x:row r="136">
      <x:c r="A136" s="191"/>
      <x:c r="B136" s="191"/>
      <x:c r="C136" s="191"/>
      <x:c r="D136" s="191"/>
      <x:c r="E136" s="191"/>
      <x:c r="F136" s="191"/>
      <x:c r="G136" s="191"/>
      <x:c r="H136" s="191"/>
      <x:c r="I136" s="191"/>
      <x:c r="J136" s="191"/>
      <x:c r="K136" s="191"/>
      <x:c r="L136" s="191"/>
      <x:c r="M136" s="191"/>
      <x:c r="N136" s="191"/>
      <x:c r="O136" s="191"/>
      <x:c r="P136" s="191"/>
      <x:c r="Q136" s="191"/>
      <x:c r="R136" s="191"/>
      <x:c r="S136" s="191"/>
      <x:c r="T136" s="191"/>
      <x:c r="U136" s="191"/>
      <x:c r="V136" s="191"/>
      <x:c r="W136" s="191"/>
      <x:c r="X136" s="191"/>
      <x:c r="Y136" s="191"/>
      <x:c r="Z136" s="191"/>
      <x:c r="AA136" s="191"/>
      <x:c r="AB136" s="191"/>
      <x:c r="AC136" s="191"/>
      <x:c r="AD136" s="191"/>
      <x:c r="AE136" s="191"/>
      <x:c r="AF136" s="191"/>
      <x:c r="AG136" s="191"/>
      <x:c r="AH136" s="191"/>
      <x:c r="AI136" s="191"/>
      <x:c r="AJ136" s="191"/>
      <x:c r="AK136" s="191"/>
    </x:row>
    <x:row r="137">
      <x:c r="A137" s="191"/>
      <x:c r="B137" s="191"/>
      <x:c r="C137" s="191"/>
      <x:c r="D137" s="191"/>
      <x:c r="E137" s="191"/>
      <x:c r="F137" s="191"/>
      <x:c r="G137" s="191"/>
      <x:c r="H137" s="191"/>
      <x:c r="I137" s="191"/>
      <x:c r="J137" s="191"/>
      <x:c r="K137" s="191"/>
      <x:c r="L137" s="191"/>
      <x:c r="M137" s="191"/>
      <x:c r="N137" s="191"/>
      <x:c r="O137" s="191"/>
      <x:c r="P137" s="191"/>
      <x:c r="Q137" s="191"/>
      <x:c r="R137" s="191"/>
      <x:c r="S137" s="191"/>
      <x:c r="T137" s="191"/>
      <x:c r="U137" s="191"/>
      <x:c r="V137" s="191"/>
      <x:c r="W137" s="191"/>
      <x:c r="X137" s="191"/>
      <x:c r="Y137" s="191"/>
      <x:c r="Z137" s="191"/>
      <x:c r="AA137" s="191"/>
      <x:c r="AB137" s="191"/>
      <x:c r="AC137" s="191"/>
      <x:c r="AD137" s="191"/>
      <x:c r="AE137" s="191"/>
      <x:c r="AF137" s="191"/>
      <x:c r="AG137" s="191"/>
      <x:c r="AH137" s="191"/>
      <x:c r="AI137" s="191"/>
      <x:c r="AJ137" s="191"/>
      <x:c r="AK137" s="191"/>
    </x:row>
    <x:row r="138">
      <x:c r="A138" s="191"/>
      <x:c r="B138" s="191"/>
      <x:c r="C138" s="191"/>
      <x:c r="D138" s="191"/>
      <x:c r="E138" s="191"/>
      <x:c r="F138" s="191"/>
      <x:c r="G138" s="191"/>
      <x:c r="H138" s="191"/>
      <x:c r="I138" s="191"/>
      <x:c r="J138" s="191"/>
      <x:c r="K138" s="191"/>
      <x:c r="L138" s="191"/>
      <x:c r="M138" s="191"/>
      <x:c r="N138" s="191"/>
      <x:c r="O138" s="191"/>
      <x:c r="P138" s="191"/>
      <x:c r="Q138" s="191"/>
      <x:c r="R138" s="191"/>
      <x:c r="S138" s="191"/>
      <x:c r="T138" s="191"/>
      <x:c r="U138" s="191"/>
      <x:c r="V138" s="191"/>
      <x:c r="W138" s="191"/>
      <x:c r="X138" s="191"/>
      <x:c r="Y138" s="191"/>
      <x:c r="Z138" s="191"/>
      <x:c r="AA138" s="191"/>
      <x:c r="AB138" s="191"/>
      <x:c r="AC138" s="191"/>
      <x:c r="AD138" s="191"/>
      <x:c r="AE138" s="191"/>
      <x:c r="AF138" s="191"/>
      <x:c r="AG138" s="191"/>
      <x:c r="AH138" s="191"/>
      <x:c r="AI138" s="191"/>
      <x:c r="AJ138" s="191"/>
      <x:c r="AK138" s="191"/>
    </x:row>
    <x:row r="139">
      <x:c r="A139" s="191"/>
      <x:c r="B139" s="191"/>
      <x:c r="C139" s="191"/>
      <x:c r="D139" s="191"/>
      <x:c r="E139" s="191"/>
      <x:c r="F139" s="191"/>
      <x:c r="G139" s="191"/>
      <x:c r="H139" s="191"/>
      <x:c r="I139" s="191"/>
      <x:c r="J139" s="191"/>
      <x:c r="K139" s="191"/>
      <x:c r="L139" s="191"/>
      <x:c r="M139" s="191"/>
      <x:c r="N139" s="191"/>
      <x:c r="O139" s="191"/>
      <x:c r="P139" s="191"/>
      <x:c r="Q139" s="191"/>
      <x:c r="R139" s="191"/>
      <x:c r="S139" s="191"/>
      <x:c r="T139" s="191"/>
      <x:c r="U139" s="191"/>
      <x:c r="V139" s="191"/>
      <x:c r="W139" s="191"/>
      <x:c r="X139" s="191"/>
      <x:c r="Y139" s="191"/>
      <x:c r="Z139" s="191"/>
      <x:c r="AA139" s="191"/>
      <x:c r="AB139" s="191"/>
      <x:c r="AC139" s="191"/>
      <x:c r="AD139" s="191"/>
      <x:c r="AE139" s="191"/>
      <x:c r="AF139" s="191"/>
      <x:c r="AG139" s="191"/>
      <x:c r="AH139" s="191"/>
      <x:c r="AI139" s="191"/>
      <x:c r="AJ139" s="191"/>
      <x:c r="AK139" s="191"/>
    </x:row>
    <x:row r="140">
      <x:c r="A140" s="191"/>
      <x:c r="B140" s="191"/>
      <x:c r="C140" s="191"/>
      <x:c r="D140" s="191"/>
      <x:c r="E140" s="191"/>
      <x:c r="F140" s="191"/>
      <x:c r="G140" s="191"/>
      <x:c r="H140" s="191"/>
      <x:c r="I140" s="191"/>
      <x:c r="J140" s="191"/>
      <x:c r="K140" s="191"/>
      <x:c r="L140" s="191"/>
      <x:c r="M140" s="191"/>
      <x:c r="N140" s="191"/>
      <x:c r="O140" s="191"/>
      <x:c r="P140" s="191"/>
      <x:c r="Q140" s="191"/>
      <x:c r="R140" s="191"/>
      <x:c r="S140" s="191"/>
      <x:c r="T140" s="191"/>
      <x:c r="U140" s="191"/>
      <x:c r="V140" s="191"/>
      <x:c r="W140" s="191"/>
      <x:c r="X140" s="191"/>
      <x:c r="Y140" s="191"/>
      <x:c r="Z140" s="191"/>
      <x:c r="AA140" s="191"/>
      <x:c r="AB140" s="191"/>
      <x:c r="AC140" s="191"/>
      <x:c r="AD140" s="191"/>
      <x:c r="AE140" s="191"/>
      <x:c r="AF140" s="191"/>
      <x:c r="AG140" s="191"/>
      <x:c r="AH140" s="191"/>
      <x:c r="AI140" s="191"/>
      <x:c r="AJ140" s="191"/>
      <x:c r="AK140" s="191"/>
    </x:row>
    <x:row r="141">
      <x:c r="A141" s="191"/>
      <x:c r="B141" s="191"/>
      <x:c r="C141" s="191"/>
      <x:c r="D141" s="191"/>
      <x:c r="E141" s="191"/>
      <x:c r="F141" s="191"/>
      <x:c r="G141" s="191"/>
      <x:c r="H141" s="191"/>
      <x:c r="I141" s="191"/>
      <x:c r="J141" s="191"/>
      <x:c r="K141" s="191"/>
      <x:c r="L141" s="191"/>
      <x:c r="M141" s="191"/>
      <x:c r="N141" s="191"/>
      <x:c r="O141" s="191"/>
      <x:c r="P141" s="191"/>
      <x:c r="Q141" s="191"/>
      <x:c r="R141" s="191"/>
      <x:c r="S141" s="191"/>
      <x:c r="T141" s="191"/>
      <x:c r="U141" s="191"/>
      <x:c r="V141" s="191"/>
      <x:c r="W141" s="191"/>
      <x:c r="X141" s="191"/>
      <x:c r="Y141" s="191"/>
      <x:c r="Z141" s="191"/>
      <x:c r="AA141" s="191"/>
      <x:c r="AB141" s="191"/>
      <x:c r="AC141" s="191"/>
      <x:c r="AD141" s="191"/>
      <x:c r="AE141" s="191"/>
      <x:c r="AF141" s="191"/>
      <x:c r="AG141" s="191"/>
      <x:c r="AH141" s="191"/>
      <x:c r="AI141" s="191"/>
      <x:c r="AJ141" s="191"/>
      <x:c r="AK141" s="191"/>
    </x:row>
    <x:row r="142">
      <x:c r="A142" s="191"/>
      <x:c r="B142" s="191"/>
      <x:c r="C142" s="191"/>
      <x:c r="D142" s="191"/>
      <x:c r="E142" s="191"/>
      <x:c r="F142" s="191"/>
      <x:c r="G142" s="191"/>
      <x:c r="H142" s="191"/>
      <x:c r="I142" s="191"/>
      <x:c r="J142" s="191"/>
      <x:c r="K142" s="191"/>
      <x:c r="L142" s="191"/>
      <x:c r="M142" s="191"/>
      <x:c r="N142" s="191"/>
      <x:c r="O142" s="191"/>
      <x:c r="P142" s="191"/>
      <x:c r="Q142" s="191"/>
      <x:c r="R142" s="191"/>
      <x:c r="S142" s="191"/>
      <x:c r="T142" s="191"/>
      <x:c r="U142" s="191"/>
      <x:c r="V142" s="191"/>
      <x:c r="W142" s="191"/>
      <x:c r="X142" s="191"/>
      <x:c r="Y142" s="191"/>
      <x:c r="Z142" s="191"/>
      <x:c r="AA142" s="191"/>
      <x:c r="AB142" s="191"/>
      <x:c r="AC142" s="191"/>
      <x:c r="AD142" s="191"/>
      <x:c r="AE142" s="191"/>
      <x:c r="AF142" s="191"/>
      <x:c r="AG142" s="191"/>
      <x:c r="AH142" s="191"/>
      <x:c r="AI142" s="191"/>
      <x:c r="AJ142" s="191"/>
      <x:c r="AK142" s="191"/>
    </x:row>
    <x:row r="143">
      <x:c r="A143" s="191"/>
      <x:c r="B143" s="191"/>
      <x:c r="C143" s="191"/>
      <x:c r="D143" s="191"/>
      <x:c r="E143" s="191"/>
      <x:c r="F143" s="191"/>
      <x:c r="G143" s="191"/>
      <x:c r="H143" s="191"/>
      <x:c r="I143" s="191"/>
      <x:c r="J143" s="191"/>
      <x:c r="K143" s="191"/>
      <x:c r="L143" s="191"/>
      <x:c r="M143" s="191"/>
      <x:c r="N143" s="191"/>
      <x:c r="O143" s="191"/>
      <x:c r="P143" s="191"/>
      <x:c r="Q143" s="191"/>
      <x:c r="R143" s="191"/>
      <x:c r="S143" s="191"/>
      <x:c r="T143" s="191"/>
      <x:c r="U143" s="191"/>
      <x:c r="V143" s="191"/>
      <x:c r="W143" s="191"/>
      <x:c r="X143" s="191"/>
      <x:c r="Y143" s="191"/>
      <x:c r="Z143" s="191"/>
      <x:c r="AA143" s="191"/>
      <x:c r="AB143" s="191"/>
      <x:c r="AC143" s="191"/>
      <x:c r="AD143" s="191"/>
      <x:c r="AE143" s="191"/>
      <x:c r="AF143" s="191"/>
      <x:c r="AG143" s="191"/>
      <x:c r="AH143" s="191"/>
      <x:c r="AI143" s="191"/>
      <x:c r="AJ143" s="191"/>
      <x:c r="AK143" s="191"/>
    </x:row>
    <x:row r="144">
      <x:c r="A144" s="191"/>
      <x:c r="B144" s="191"/>
      <x:c r="C144" s="191"/>
      <x:c r="D144" s="191"/>
      <x:c r="E144" s="191"/>
      <x:c r="F144" s="191"/>
      <x:c r="G144" s="191"/>
      <x:c r="H144" s="191"/>
      <x:c r="I144" s="191"/>
      <x:c r="J144" s="191"/>
      <x:c r="K144" s="191"/>
      <x:c r="L144" s="191"/>
      <x:c r="M144" s="191"/>
      <x:c r="N144" s="191"/>
      <x:c r="O144" s="191"/>
      <x:c r="P144" s="191"/>
      <x:c r="Q144" s="191"/>
      <x:c r="R144" s="191"/>
      <x:c r="S144" s="191"/>
      <x:c r="T144" s="191"/>
      <x:c r="U144" s="191"/>
      <x:c r="V144" s="191"/>
      <x:c r="W144" s="191"/>
      <x:c r="X144" s="191"/>
      <x:c r="Y144" s="191"/>
      <x:c r="Z144" s="191"/>
      <x:c r="AA144" s="191"/>
      <x:c r="AB144" s="191"/>
      <x:c r="AC144" s="191"/>
      <x:c r="AD144" s="191"/>
      <x:c r="AE144" s="191"/>
      <x:c r="AF144" s="191"/>
      <x:c r="AG144" s="191"/>
      <x:c r="AH144" s="191"/>
      <x:c r="AI144" s="191"/>
      <x:c r="AJ144" s="191"/>
      <x:c r="AK144" s="191"/>
    </x:row>
    <x:row r="145">
      <x:c r="A145" s="191"/>
      <x:c r="B145" s="191"/>
      <x:c r="C145" s="191"/>
      <x:c r="D145" s="191"/>
      <x:c r="E145" s="191"/>
      <x:c r="F145" s="191"/>
      <x:c r="G145" s="191"/>
      <x:c r="H145" s="191"/>
      <x:c r="I145" s="191"/>
      <x:c r="J145" s="191"/>
      <x:c r="K145" s="191"/>
      <x:c r="L145" s="191"/>
      <x:c r="M145" s="191"/>
      <x:c r="N145" s="191"/>
      <x:c r="O145" s="191"/>
      <x:c r="P145" s="191"/>
      <x:c r="Q145" s="191"/>
      <x:c r="R145" s="191"/>
      <x:c r="S145" s="191"/>
      <x:c r="T145" s="191"/>
      <x:c r="U145" s="191"/>
      <x:c r="V145" s="191"/>
      <x:c r="W145" s="191"/>
      <x:c r="X145" s="191"/>
      <x:c r="Y145" s="191"/>
      <x:c r="Z145" s="191"/>
      <x:c r="AA145" s="191"/>
      <x:c r="AB145" s="191"/>
      <x:c r="AC145" s="191"/>
      <x:c r="AD145" s="191"/>
      <x:c r="AE145" s="191"/>
      <x:c r="AF145" s="191"/>
      <x:c r="AG145" s="191"/>
      <x:c r="AH145" s="191"/>
      <x:c r="AI145" s="191"/>
      <x:c r="AJ145" s="191"/>
      <x:c r="AK145" s="191"/>
    </x:row>
    <x:row r="146">
      <x:c r="A146" s="191"/>
      <x:c r="B146" s="191"/>
      <x:c r="C146" s="191"/>
      <x:c r="D146" s="191"/>
      <x:c r="E146" s="191"/>
      <x:c r="F146" s="191"/>
      <x:c r="G146" s="191"/>
      <x:c r="H146" s="191"/>
      <x:c r="I146" s="191"/>
      <x:c r="J146" s="191"/>
      <x:c r="K146" s="191"/>
      <x:c r="L146" s="191"/>
      <x:c r="M146" s="191"/>
      <x:c r="N146" s="191"/>
      <x:c r="O146" s="191"/>
      <x:c r="P146" s="191"/>
      <x:c r="Q146" s="191"/>
      <x:c r="R146" s="191"/>
      <x:c r="S146" s="191"/>
      <x:c r="T146" s="191"/>
      <x:c r="U146" s="191"/>
      <x:c r="V146" s="191"/>
      <x:c r="W146" s="191"/>
      <x:c r="X146" s="191"/>
      <x:c r="Y146" s="191"/>
      <x:c r="Z146" s="191"/>
      <x:c r="AA146" s="191"/>
      <x:c r="AB146" s="191"/>
      <x:c r="AC146" s="191"/>
      <x:c r="AD146" s="191"/>
      <x:c r="AE146" s="191"/>
      <x:c r="AF146" s="191"/>
      <x:c r="AG146" s="191"/>
      <x:c r="AH146" s="191"/>
      <x:c r="AI146" s="191"/>
      <x:c r="AJ146" s="191"/>
      <x:c r="AK146" s="191"/>
    </x:row>
    <x:row r="147">
      <x:c r="A147" s="191"/>
      <x:c r="B147" s="191"/>
      <x:c r="C147" s="191"/>
      <x:c r="D147" s="191"/>
      <x:c r="E147" s="191"/>
      <x:c r="F147" s="191"/>
      <x:c r="G147" s="191"/>
      <x:c r="H147" s="191"/>
      <x:c r="I147" s="191"/>
      <x:c r="J147" s="191"/>
      <x:c r="K147" s="191"/>
      <x:c r="L147" s="191"/>
      <x:c r="M147" s="191"/>
      <x:c r="N147" s="191"/>
      <x:c r="O147" s="191"/>
      <x:c r="P147" s="191"/>
      <x:c r="Q147" s="191"/>
      <x:c r="R147" s="191"/>
      <x:c r="S147" s="191"/>
      <x:c r="T147" s="191"/>
      <x:c r="U147" s="191"/>
      <x:c r="V147" s="191"/>
      <x:c r="W147" s="191"/>
      <x:c r="X147" s="191"/>
      <x:c r="Y147" s="191"/>
      <x:c r="Z147" s="191"/>
      <x:c r="AA147" s="191"/>
      <x:c r="AB147" s="191"/>
      <x:c r="AC147" s="191"/>
      <x:c r="AD147" s="191"/>
      <x:c r="AE147" s="191"/>
      <x:c r="AF147" s="191"/>
      <x:c r="AG147" s="191"/>
      <x:c r="AH147" s="191"/>
      <x:c r="AI147" s="191"/>
      <x:c r="AJ147" s="191"/>
      <x:c r="AK147" s="191"/>
    </x:row>
    <x:row r="148">
      <x:c r="A148" s="191"/>
      <x:c r="B148" s="191"/>
      <x:c r="C148" s="191"/>
      <x:c r="D148" s="191"/>
      <x:c r="E148" s="191"/>
      <x:c r="F148" s="191"/>
      <x:c r="G148" s="191"/>
      <x:c r="H148" s="191"/>
      <x:c r="I148" s="191"/>
      <x:c r="J148" s="191"/>
      <x:c r="K148" s="191"/>
      <x:c r="L148" s="191"/>
      <x:c r="M148" s="191"/>
      <x:c r="N148" s="191"/>
      <x:c r="O148" s="191"/>
      <x:c r="P148" s="191"/>
      <x:c r="Q148" s="191"/>
      <x:c r="R148" s="191"/>
      <x:c r="S148" s="191"/>
      <x:c r="T148" s="191"/>
      <x:c r="U148" s="191"/>
      <x:c r="V148" s="191"/>
      <x:c r="W148" s="191"/>
      <x:c r="X148" s="191"/>
      <x:c r="Y148" s="191"/>
      <x:c r="Z148" s="191"/>
      <x:c r="AA148" s="191"/>
      <x:c r="AB148" s="191"/>
      <x:c r="AC148" s="191"/>
      <x:c r="AD148" s="191"/>
      <x:c r="AE148" s="191"/>
      <x:c r="AF148" s="191"/>
      <x:c r="AG148" s="191"/>
      <x:c r="AH148" s="191"/>
      <x:c r="AI148" s="191"/>
      <x:c r="AJ148" s="191"/>
      <x:c r="AK148" s="191"/>
    </x:row>
    <x:row r="149">
      <x:c r="A149" s="191"/>
      <x:c r="B149" s="191"/>
      <x:c r="C149" s="191"/>
      <x:c r="D149" s="191"/>
      <x:c r="E149" s="191"/>
      <x:c r="F149" s="191"/>
      <x:c r="G149" s="191"/>
      <x:c r="H149" s="191"/>
      <x:c r="I149" s="191"/>
      <x:c r="J149" s="191"/>
      <x:c r="K149" s="191"/>
      <x:c r="L149" s="191"/>
      <x:c r="M149" s="191"/>
      <x:c r="N149" s="191"/>
      <x:c r="O149" s="191"/>
      <x:c r="P149" s="191"/>
      <x:c r="Q149" s="191"/>
      <x:c r="R149" s="191"/>
      <x:c r="S149" s="191"/>
      <x:c r="T149" s="191"/>
      <x:c r="U149" s="191"/>
      <x:c r="V149" s="191"/>
      <x:c r="W149" s="191"/>
      <x:c r="X149" s="191"/>
      <x:c r="Y149" s="191"/>
      <x:c r="Z149" s="191"/>
      <x:c r="AA149" s="191"/>
      <x:c r="AB149" s="191"/>
      <x:c r="AC149" s="191"/>
      <x:c r="AD149" s="191"/>
      <x:c r="AE149" s="191"/>
      <x:c r="AF149" s="191"/>
      <x:c r="AG149" s="191"/>
      <x:c r="AH149" s="191"/>
      <x:c r="AI149" s="191"/>
      <x:c r="AJ149" s="191"/>
      <x:c r="AK149" s="191"/>
    </x:row>
    <x:row r="150">
      <x:c r="A150" s="191"/>
      <x:c r="B150" s="191"/>
      <x:c r="C150" s="191"/>
      <x:c r="D150" s="191"/>
      <x:c r="E150" s="191"/>
      <x:c r="F150" s="191"/>
      <x:c r="G150" s="191"/>
      <x:c r="H150" s="191"/>
      <x:c r="I150" s="191"/>
      <x:c r="J150" s="191"/>
      <x:c r="K150" s="191"/>
      <x:c r="L150" s="191"/>
      <x:c r="M150" s="191"/>
      <x:c r="N150" s="191"/>
      <x:c r="O150" s="191"/>
      <x:c r="P150" s="191"/>
      <x:c r="Q150" s="191"/>
      <x:c r="R150" s="191"/>
      <x:c r="S150" s="191"/>
      <x:c r="T150" s="191"/>
      <x:c r="U150" s="191"/>
      <x:c r="V150" s="191"/>
      <x:c r="W150" s="191"/>
      <x:c r="X150" s="191"/>
      <x:c r="Y150" s="191"/>
      <x:c r="Z150" s="191"/>
      <x:c r="AA150" s="191"/>
      <x:c r="AB150" s="191"/>
      <x:c r="AC150" s="191"/>
      <x:c r="AD150" s="191"/>
      <x:c r="AE150" s="191"/>
      <x:c r="AF150" s="191"/>
      <x:c r="AG150" s="191"/>
      <x:c r="AH150" s="191"/>
      <x:c r="AI150" s="191"/>
      <x:c r="AJ150" s="191"/>
      <x:c r="AK150" s="191"/>
    </x:row>
    <x:row r="151">
      <x:c r="A151" s="191"/>
      <x:c r="B151" s="191"/>
      <x:c r="C151" s="191"/>
      <x:c r="D151" s="191"/>
      <x:c r="E151" s="191"/>
      <x:c r="F151" s="191"/>
      <x:c r="G151" s="191"/>
      <x:c r="H151" s="191"/>
      <x:c r="I151" s="191"/>
      <x:c r="J151" s="191"/>
      <x:c r="K151" s="191"/>
      <x:c r="L151" s="191"/>
      <x:c r="M151" s="191"/>
      <x:c r="N151" s="191"/>
      <x:c r="O151" s="191"/>
      <x:c r="P151" s="191"/>
      <x:c r="Q151" s="191"/>
      <x:c r="R151" s="191"/>
      <x:c r="S151" s="191"/>
      <x:c r="T151" s="191"/>
      <x:c r="U151" s="191"/>
      <x:c r="V151" s="191"/>
      <x:c r="W151" s="191"/>
      <x:c r="X151" s="191"/>
      <x:c r="Y151" s="191"/>
      <x:c r="Z151" s="191"/>
      <x:c r="AA151" s="191"/>
      <x:c r="AB151" s="191"/>
      <x:c r="AC151" s="191"/>
      <x:c r="AD151" s="191"/>
      <x:c r="AE151" s="191"/>
      <x:c r="AF151" s="191"/>
      <x:c r="AG151" s="191"/>
      <x:c r="AH151" s="191"/>
      <x:c r="AI151" s="191"/>
      <x:c r="AJ151" s="191"/>
      <x:c r="AK151" s="191"/>
    </x:row>
    <x:row r="152">
      <x:c r="A152" s="191"/>
      <x:c r="B152" s="191"/>
      <x:c r="C152" s="191"/>
      <x:c r="D152" s="191"/>
      <x:c r="E152" s="191"/>
      <x:c r="F152" s="191"/>
      <x:c r="G152" s="191"/>
      <x:c r="H152" s="191"/>
      <x:c r="I152" s="191"/>
      <x:c r="J152" s="191"/>
      <x:c r="K152" s="191"/>
      <x:c r="L152" s="191"/>
      <x:c r="M152" s="191"/>
      <x:c r="N152" s="191"/>
      <x:c r="O152" s="191"/>
      <x:c r="P152" s="191"/>
      <x:c r="Q152" s="191"/>
      <x:c r="R152" s="191"/>
      <x:c r="S152" s="191"/>
      <x:c r="T152" s="191"/>
      <x:c r="U152" s="191"/>
      <x:c r="V152" s="191"/>
      <x:c r="W152" s="191"/>
      <x:c r="X152" s="191"/>
      <x:c r="Y152" s="191"/>
      <x:c r="Z152" s="191"/>
      <x:c r="AA152" s="191"/>
      <x:c r="AB152" s="191"/>
      <x:c r="AC152" s="191"/>
      <x:c r="AD152" s="191"/>
      <x:c r="AE152" s="191"/>
      <x:c r="AF152" s="191"/>
      <x:c r="AG152" s="191"/>
      <x:c r="AH152" s="191"/>
      <x:c r="AI152" s="191"/>
      <x:c r="AJ152" s="191"/>
      <x:c r="AK152" s="191"/>
    </x:row>
    <x:row r="153">
      <x:c r="A153" s="191"/>
      <x:c r="B153" s="191"/>
      <x:c r="C153" s="191"/>
      <x:c r="D153" s="191"/>
      <x:c r="E153" s="191"/>
      <x:c r="F153" s="191"/>
      <x:c r="G153" s="191"/>
      <x:c r="H153" s="191"/>
      <x:c r="I153" s="191"/>
      <x:c r="J153" s="191"/>
      <x:c r="K153" s="191"/>
      <x:c r="L153" s="191"/>
      <x:c r="M153" s="191"/>
      <x:c r="N153" s="191"/>
      <x:c r="O153" s="191"/>
      <x:c r="P153" s="191"/>
      <x:c r="Q153" s="191"/>
      <x:c r="R153" s="191"/>
      <x:c r="S153" s="191"/>
      <x:c r="T153" s="191"/>
      <x:c r="U153" s="191"/>
      <x:c r="V153" s="191"/>
      <x:c r="W153" s="191"/>
      <x:c r="X153" s="191"/>
      <x:c r="Y153" s="191"/>
      <x:c r="Z153" s="191"/>
      <x:c r="AA153" s="191"/>
      <x:c r="AB153" s="191"/>
      <x:c r="AC153" s="191"/>
      <x:c r="AD153" s="191"/>
      <x:c r="AE153" s="191"/>
      <x:c r="AF153" s="191"/>
      <x:c r="AG153" s="191"/>
      <x:c r="AH153" s="191"/>
      <x:c r="AI153" s="191"/>
      <x:c r="AJ153" s="191"/>
      <x:c r="AK153" s="191"/>
    </x:row>
    <x:row r="154">
      <x:c r="A154" s="191"/>
      <x:c r="B154" s="191"/>
      <x:c r="C154" s="191"/>
      <x:c r="D154" s="191"/>
      <x:c r="E154" s="191"/>
      <x:c r="F154" s="191"/>
      <x:c r="G154" s="191"/>
      <x:c r="H154" s="191"/>
      <x:c r="I154" s="191"/>
      <x:c r="J154" s="191"/>
      <x:c r="K154" s="191"/>
      <x:c r="L154" s="191"/>
      <x:c r="M154" s="191"/>
      <x:c r="N154" s="191"/>
      <x:c r="O154" s="191"/>
      <x:c r="P154" s="191"/>
      <x:c r="Q154" s="191"/>
      <x:c r="R154" s="191"/>
      <x:c r="S154" s="191"/>
      <x:c r="T154" s="191"/>
      <x:c r="U154" s="191"/>
      <x:c r="V154" s="191"/>
      <x:c r="W154" s="191"/>
      <x:c r="X154" s="191"/>
      <x:c r="Y154" s="191"/>
      <x:c r="Z154" s="191"/>
      <x:c r="AA154" s="191"/>
      <x:c r="AB154" s="191"/>
      <x:c r="AC154" s="191"/>
      <x:c r="AD154" s="191"/>
      <x:c r="AE154" s="191"/>
      <x:c r="AF154" s="191"/>
      <x:c r="AG154" s="191"/>
      <x:c r="AH154" s="191"/>
      <x:c r="AI154" s="191"/>
      <x:c r="AJ154" s="191"/>
      <x:c r="AK154" s="191"/>
    </x:row>
    <x:row r="155">
      <x:c r="A155" s="191"/>
      <x:c r="B155" s="191"/>
      <x:c r="C155" s="191"/>
      <x:c r="D155" s="191"/>
      <x:c r="E155" s="191"/>
      <x:c r="F155" s="191"/>
      <x:c r="G155" s="191"/>
      <x:c r="H155" s="191"/>
      <x:c r="I155" s="191"/>
      <x:c r="J155" s="191"/>
      <x:c r="K155" s="191"/>
      <x:c r="L155" s="191"/>
      <x:c r="M155" s="191"/>
      <x:c r="N155" s="191"/>
      <x:c r="O155" s="191"/>
      <x:c r="P155" s="191"/>
      <x:c r="Q155" s="191"/>
      <x:c r="R155" s="191"/>
      <x:c r="S155" s="191"/>
      <x:c r="T155" s="191"/>
      <x:c r="U155" s="191"/>
      <x:c r="V155" s="191"/>
      <x:c r="W155" s="191"/>
      <x:c r="X155" s="191"/>
      <x:c r="Y155" s="191"/>
      <x:c r="Z155" s="191"/>
      <x:c r="AA155" s="191"/>
      <x:c r="AB155" s="191"/>
      <x:c r="AC155" s="191"/>
      <x:c r="AD155" s="191"/>
      <x:c r="AE155" s="191"/>
      <x:c r="AF155" s="191"/>
      <x:c r="AG155" s="191"/>
      <x:c r="AH155" s="191"/>
      <x:c r="AI155" s="191"/>
      <x:c r="AJ155" s="191"/>
      <x:c r="AK155" s="191"/>
    </x:row>
    <x:row r="156">
      <x:c r="A156" s="191"/>
      <x:c r="B156" s="191"/>
      <x:c r="C156" s="191"/>
      <x:c r="D156" s="191"/>
      <x:c r="E156" s="191"/>
      <x:c r="F156" s="191"/>
      <x:c r="G156" s="191"/>
      <x:c r="H156" s="191"/>
      <x:c r="I156" s="191"/>
      <x:c r="J156" s="191"/>
      <x:c r="K156" s="191"/>
      <x:c r="L156" s="191"/>
      <x:c r="M156" s="191"/>
      <x:c r="N156" s="191"/>
      <x:c r="O156" s="191"/>
      <x:c r="P156" s="191"/>
      <x:c r="Q156" s="191"/>
      <x:c r="R156" s="191"/>
      <x:c r="S156" s="191"/>
      <x:c r="T156" s="191"/>
      <x:c r="U156" s="191"/>
      <x:c r="V156" s="191"/>
      <x:c r="W156" s="191"/>
      <x:c r="X156" s="191"/>
      <x:c r="Y156" s="191"/>
      <x:c r="Z156" s="191"/>
      <x:c r="AA156" s="191"/>
      <x:c r="AB156" s="191"/>
      <x:c r="AC156" s="191"/>
      <x:c r="AD156" s="191"/>
      <x:c r="AE156" s="191"/>
      <x:c r="AF156" s="191"/>
      <x:c r="AG156" s="191"/>
      <x:c r="AH156" s="191"/>
      <x:c r="AI156" s="191"/>
      <x:c r="AJ156" s="191"/>
      <x:c r="AK156" s="191"/>
    </x:row>
    <x:row r="157">
      <x:c r="A157" s="191"/>
      <x:c r="B157" s="191"/>
      <x:c r="C157" s="191"/>
      <x:c r="D157" s="191"/>
      <x:c r="E157" s="191"/>
      <x:c r="F157" s="191"/>
      <x:c r="G157" s="191"/>
      <x:c r="H157" s="191"/>
      <x:c r="I157" s="191"/>
      <x:c r="J157" s="191"/>
      <x:c r="K157" s="191"/>
      <x:c r="L157" s="191"/>
      <x:c r="M157" s="191"/>
      <x:c r="N157" s="191"/>
      <x:c r="O157" s="191"/>
      <x:c r="P157" s="191"/>
      <x:c r="Q157" s="191"/>
      <x:c r="R157" s="191"/>
      <x:c r="S157" s="191"/>
      <x:c r="T157" s="191"/>
      <x:c r="U157" s="191"/>
      <x:c r="V157" s="191"/>
      <x:c r="W157" s="191"/>
      <x:c r="X157" s="191"/>
      <x:c r="Y157" s="191"/>
      <x:c r="Z157" s="191"/>
      <x:c r="AA157" s="191"/>
      <x:c r="AB157" s="191"/>
      <x:c r="AC157" s="191"/>
      <x:c r="AD157" s="191"/>
      <x:c r="AE157" s="191"/>
      <x:c r="AF157" s="191"/>
      <x:c r="AG157" s="191"/>
      <x:c r="AH157" s="191"/>
      <x:c r="AI157" s="191"/>
      <x:c r="AJ157" s="191"/>
      <x:c r="AK157" s="191"/>
    </x:row>
    <x:row r="158">
      <x:c r="A158" s="191"/>
      <x:c r="B158" s="191"/>
      <x:c r="C158" s="191"/>
      <x:c r="D158" s="191"/>
      <x:c r="E158" s="191"/>
      <x:c r="F158" s="191"/>
      <x:c r="G158" s="191"/>
      <x:c r="H158" s="191"/>
      <x:c r="I158" s="191"/>
      <x:c r="J158" s="191"/>
      <x:c r="K158" s="191"/>
      <x:c r="L158" s="191"/>
      <x:c r="M158" s="191"/>
      <x:c r="N158" s="191"/>
      <x:c r="O158" s="191"/>
      <x:c r="P158" s="191"/>
      <x:c r="Q158" s="191"/>
      <x:c r="R158" s="191"/>
      <x:c r="S158" s="191"/>
      <x:c r="T158" s="191"/>
      <x:c r="U158" s="191"/>
      <x:c r="V158" s="191"/>
      <x:c r="W158" s="191"/>
      <x:c r="X158" s="191"/>
      <x:c r="Y158" s="191"/>
      <x:c r="Z158" s="191"/>
      <x:c r="AA158" s="191"/>
      <x:c r="AB158" s="191"/>
      <x:c r="AC158" s="191"/>
      <x:c r="AD158" s="191"/>
      <x:c r="AE158" s="191"/>
      <x:c r="AF158" s="191"/>
      <x:c r="AG158" s="191"/>
      <x:c r="AH158" s="191"/>
      <x:c r="AI158" s="191"/>
      <x:c r="AJ158" s="191"/>
      <x:c r="AK158" s="191"/>
    </x:row>
    <x:row r="159">
      <x:c r="A159" s="191"/>
      <x:c r="B159" s="191"/>
      <x:c r="C159" s="191"/>
      <x:c r="D159" s="191"/>
      <x:c r="E159" s="191"/>
      <x:c r="F159" s="191"/>
      <x:c r="G159" s="191"/>
      <x:c r="H159" s="191"/>
      <x:c r="I159" s="191"/>
      <x:c r="J159" s="191"/>
      <x:c r="K159" s="191"/>
      <x:c r="L159" s="191"/>
      <x:c r="M159" s="191"/>
      <x:c r="N159" s="191"/>
      <x:c r="O159" s="191"/>
      <x:c r="P159" s="191"/>
      <x:c r="Q159" s="191"/>
      <x:c r="R159" s="191"/>
      <x:c r="S159" s="191"/>
      <x:c r="T159" s="191"/>
      <x:c r="U159" s="191"/>
      <x:c r="V159" s="191"/>
      <x:c r="W159" s="191"/>
      <x:c r="X159" s="191"/>
      <x:c r="Y159" s="191"/>
      <x:c r="Z159" s="191"/>
      <x:c r="AA159" s="191"/>
      <x:c r="AB159" s="191"/>
      <x:c r="AC159" s="191"/>
      <x:c r="AD159" s="191"/>
      <x:c r="AE159" s="191"/>
      <x:c r="AF159" s="191"/>
      <x:c r="AG159" s="191"/>
      <x:c r="AH159" s="191"/>
      <x:c r="AI159" s="191"/>
      <x:c r="AJ159" s="191"/>
      <x:c r="AK159" s="191"/>
    </x:row>
    <x:row r="160">
      <x:c r="A160" s="191"/>
      <x:c r="B160" s="191"/>
      <x:c r="C160" s="191"/>
      <x:c r="D160" s="191"/>
      <x:c r="E160" s="191"/>
      <x:c r="F160" s="191"/>
      <x:c r="G160" s="191"/>
      <x:c r="H160" s="191"/>
      <x:c r="I160" s="191"/>
      <x:c r="J160" s="191"/>
      <x:c r="K160" s="191"/>
      <x:c r="L160" s="191"/>
      <x:c r="M160" s="191"/>
      <x:c r="N160" s="191"/>
      <x:c r="O160" s="191"/>
      <x:c r="P160" s="191"/>
      <x:c r="Q160" s="191"/>
      <x:c r="R160" s="191"/>
      <x:c r="S160" s="191"/>
      <x:c r="T160" s="191"/>
      <x:c r="U160" s="191"/>
      <x:c r="V160" s="191"/>
      <x:c r="W160" s="191"/>
      <x:c r="X160" s="191"/>
      <x:c r="Y160" s="191"/>
      <x:c r="Z160" s="191"/>
      <x:c r="AA160" s="191"/>
      <x:c r="AB160" s="191"/>
      <x:c r="AC160" s="191"/>
      <x:c r="AD160" s="191"/>
      <x:c r="AE160" s="191"/>
      <x:c r="AF160" s="191"/>
      <x:c r="AG160" s="191"/>
      <x:c r="AH160" s="191"/>
      <x:c r="AI160" s="191"/>
      <x:c r="AJ160" s="191"/>
      <x:c r="AK160" s="191"/>
    </x:row>
    <x:row r="161">
      <x:c r="A161" s="191"/>
      <x:c r="B161" s="191"/>
      <x:c r="C161" s="191"/>
      <x:c r="D161" s="191"/>
      <x:c r="E161" s="191"/>
      <x:c r="F161" s="191"/>
      <x:c r="G161" s="191"/>
      <x:c r="H161" s="191"/>
      <x:c r="I161" s="191"/>
      <x:c r="J161" s="191"/>
      <x:c r="K161" s="191"/>
      <x:c r="L161" s="191"/>
      <x:c r="M161" s="191"/>
      <x:c r="N161" s="191"/>
      <x:c r="O161" s="191"/>
      <x:c r="P161" s="191"/>
      <x:c r="Q161" s="191"/>
      <x:c r="R161" s="191"/>
      <x:c r="S161" s="191"/>
      <x:c r="T161" s="191"/>
      <x:c r="U161" s="191"/>
      <x:c r="V161" s="191"/>
      <x:c r="W161" s="191"/>
      <x:c r="X161" s="191"/>
      <x:c r="Y161" s="191"/>
      <x:c r="Z161" s="191"/>
      <x:c r="AA161" s="191"/>
      <x:c r="AB161" s="191"/>
      <x:c r="AC161" s="191"/>
      <x:c r="AD161" s="191"/>
      <x:c r="AE161" s="191"/>
      <x:c r="AF161" s="191"/>
      <x:c r="AG161" s="191"/>
      <x:c r="AH161" s="191"/>
      <x:c r="AI161" s="191"/>
      <x:c r="AJ161" s="191"/>
      <x:c r="AK161" s="191"/>
    </x:row>
    <x:row r="162">
      <x:c r="A162" s="191"/>
      <x:c r="B162" s="191"/>
      <x:c r="C162" s="191"/>
      <x:c r="D162" s="191"/>
      <x:c r="E162" s="191"/>
      <x:c r="F162" s="191"/>
      <x:c r="G162" s="191"/>
      <x:c r="H162" s="191"/>
      <x:c r="I162" s="191"/>
      <x:c r="J162" s="191"/>
      <x:c r="K162" s="191"/>
      <x:c r="L162" s="191"/>
      <x:c r="M162" s="191"/>
      <x:c r="N162" s="191"/>
      <x:c r="O162" s="191"/>
      <x:c r="P162" s="191"/>
      <x:c r="Q162" s="191"/>
      <x:c r="R162" s="191"/>
      <x:c r="S162" s="191"/>
      <x:c r="T162" s="191"/>
      <x:c r="U162" s="191"/>
      <x:c r="V162" s="191"/>
      <x:c r="W162" s="191"/>
      <x:c r="X162" s="191"/>
      <x:c r="Y162" s="191"/>
      <x:c r="Z162" s="191"/>
      <x:c r="AA162" s="191"/>
      <x:c r="AB162" s="191"/>
      <x:c r="AC162" s="191"/>
      <x:c r="AD162" s="191"/>
      <x:c r="AE162" s="191"/>
      <x:c r="AF162" s="191"/>
      <x:c r="AG162" s="191"/>
      <x:c r="AH162" s="191"/>
      <x:c r="AI162" s="191"/>
      <x:c r="AJ162" s="191"/>
      <x:c r="AK162" s="191"/>
    </x:row>
    <x:row r="163">
      <x:c r="A163" s="191"/>
      <x:c r="B163" s="191"/>
      <x:c r="C163" s="191"/>
      <x:c r="D163" s="191"/>
      <x:c r="E163" s="191"/>
      <x:c r="F163" s="191"/>
      <x:c r="G163" s="191"/>
      <x:c r="H163" s="191"/>
      <x:c r="I163" s="191"/>
      <x:c r="J163" s="191"/>
      <x:c r="K163" s="191"/>
      <x:c r="L163" s="191"/>
      <x:c r="M163" s="191"/>
      <x:c r="N163" s="191"/>
      <x:c r="O163" s="191"/>
      <x:c r="P163" s="191"/>
      <x:c r="Q163" s="191"/>
      <x:c r="R163" s="191"/>
      <x:c r="S163" s="191"/>
      <x:c r="T163" s="191"/>
      <x:c r="U163" s="191"/>
      <x:c r="V163" s="191"/>
      <x:c r="W163" s="191"/>
      <x:c r="X163" s="191"/>
      <x:c r="Y163" s="191"/>
      <x:c r="Z163" s="191"/>
      <x:c r="AA163" s="191"/>
      <x:c r="AB163" s="191"/>
      <x:c r="AC163" s="191"/>
      <x:c r="AD163" s="191"/>
      <x:c r="AE163" s="191"/>
      <x:c r="AF163" s="191"/>
      <x:c r="AG163" s="191"/>
      <x:c r="AH163" s="191"/>
      <x:c r="AI163" s="191"/>
      <x:c r="AJ163" s="191"/>
      <x:c r="AK163" s="191"/>
    </x:row>
    <x:row r="164">
      <x:c r="A164" s="191"/>
      <x:c r="B164" s="191"/>
      <x:c r="C164" s="191"/>
      <x:c r="D164" s="191"/>
      <x:c r="E164" s="191"/>
      <x:c r="F164" s="191"/>
      <x:c r="G164" s="191"/>
      <x:c r="H164" s="191"/>
      <x:c r="I164" s="191"/>
      <x:c r="J164" s="191"/>
      <x:c r="K164" s="191"/>
      <x:c r="L164" s="191"/>
      <x:c r="M164" s="191"/>
      <x:c r="N164" s="191"/>
      <x:c r="O164" s="191"/>
      <x:c r="P164" s="191"/>
      <x:c r="Q164" s="191"/>
      <x:c r="R164" s="191"/>
      <x:c r="S164" s="191"/>
      <x:c r="T164" s="191"/>
      <x:c r="U164" s="191"/>
      <x:c r="V164" s="191"/>
      <x:c r="W164" s="191"/>
      <x:c r="X164" s="191"/>
      <x:c r="Y164" s="191"/>
      <x:c r="Z164" s="191"/>
      <x:c r="AA164" s="191"/>
      <x:c r="AB164" s="191"/>
      <x:c r="AC164" s="191"/>
      <x:c r="AD164" s="191"/>
      <x:c r="AE164" s="191"/>
      <x:c r="AF164" s="191"/>
      <x:c r="AG164" s="191"/>
      <x:c r="AH164" s="191"/>
      <x:c r="AI164" s="191"/>
      <x:c r="AJ164" s="191"/>
      <x:c r="AK164" s="191"/>
    </x:row>
    <x:row r="165">
      <x:c r="A165" s="191"/>
      <x:c r="B165" s="191"/>
      <x:c r="C165" s="191"/>
      <x:c r="D165" s="191"/>
      <x:c r="E165" s="191"/>
      <x:c r="F165" s="191"/>
      <x:c r="G165" s="191"/>
      <x:c r="H165" s="191"/>
      <x:c r="I165" s="191"/>
      <x:c r="J165" s="191"/>
      <x:c r="K165" s="191"/>
      <x:c r="L165" s="191"/>
      <x:c r="M165" s="191"/>
      <x:c r="N165" s="191"/>
      <x:c r="O165" s="191"/>
      <x:c r="P165" s="191"/>
      <x:c r="Q165" s="191"/>
      <x:c r="R165" s="191"/>
      <x:c r="S165" s="191"/>
      <x:c r="T165" s="191"/>
      <x:c r="U165" s="191"/>
      <x:c r="V165" s="191"/>
      <x:c r="W165" s="191"/>
      <x:c r="X165" s="191"/>
      <x:c r="Y165" s="191"/>
      <x:c r="Z165" s="191"/>
      <x:c r="AA165" s="191"/>
      <x:c r="AB165" s="191"/>
      <x:c r="AC165" s="191"/>
      <x:c r="AD165" s="191"/>
      <x:c r="AE165" s="191"/>
      <x:c r="AF165" s="191"/>
      <x:c r="AG165" s="191"/>
      <x:c r="AH165" s="191"/>
      <x:c r="AI165" s="191"/>
      <x:c r="AJ165" s="191"/>
      <x:c r="AK165" s="191"/>
    </x:row>
    <x:row r="166">
      <x:c r="A166" s="191"/>
      <x:c r="B166" s="191"/>
      <x:c r="C166" s="191"/>
      <x:c r="D166" s="191"/>
      <x:c r="E166" s="191"/>
      <x:c r="F166" s="191"/>
      <x:c r="G166" s="191"/>
      <x:c r="H166" s="191"/>
      <x:c r="I166" s="191"/>
      <x:c r="J166" s="191"/>
      <x:c r="K166" s="191"/>
      <x:c r="L166" s="191"/>
      <x:c r="M166" s="191"/>
      <x:c r="N166" s="191"/>
      <x:c r="O166" s="191"/>
      <x:c r="P166" s="191"/>
      <x:c r="Q166" s="191"/>
      <x:c r="R166" s="191"/>
      <x:c r="S166" s="191"/>
      <x:c r="T166" s="191"/>
      <x:c r="U166" s="191"/>
      <x:c r="V166" s="191"/>
      <x:c r="W166" s="191"/>
      <x:c r="X166" s="191"/>
      <x:c r="Y166" s="191"/>
      <x:c r="Z166" s="191"/>
      <x:c r="AA166" s="191"/>
      <x:c r="AB166" s="191"/>
      <x:c r="AC166" s="191"/>
      <x:c r="AD166" s="191"/>
      <x:c r="AE166" s="191"/>
      <x:c r="AF166" s="191"/>
      <x:c r="AG166" s="191"/>
      <x:c r="AH166" s="191"/>
      <x:c r="AI166" s="191"/>
      <x:c r="AJ166" s="191"/>
      <x:c r="AK166" s="191"/>
    </x:row>
    <x:row r="167">
      <x:c r="A167" s="191"/>
      <x:c r="B167" s="191"/>
      <x:c r="C167" s="191"/>
      <x:c r="D167" s="191"/>
      <x:c r="E167" s="191"/>
      <x:c r="F167" s="191"/>
      <x:c r="G167" s="191"/>
      <x:c r="H167" s="191"/>
      <x:c r="I167" s="191"/>
      <x:c r="J167" s="191"/>
      <x:c r="K167" s="191"/>
      <x:c r="L167" s="191"/>
      <x:c r="M167" s="191"/>
      <x:c r="N167" s="191"/>
      <x:c r="O167" s="191"/>
      <x:c r="P167" s="191"/>
      <x:c r="Q167" s="191"/>
      <x:c r="R167" s="191"/>
      <x:c r="S167" s="191"/>
      <x:c r="T167" s="191"/>
      <x:c r="U167" s="191"/>
      <x:c r="V167" s="191"/>
      <x:c r="W167" s="191"/>
      <x:c r="X167" s="191"/>
      <x:c r="Y167" s="191"/>
      <x:c r="Z167" s="191"/>
      <x:c r="AA167" s="191"/>
      <x:c r="AB167" s="191"/>
      <x:c r="AC167" s="191"/>
      <x:c r="AD167" s="191"/>
      <x:c r="AE167" s="191"/>
      <x:c r="AF167" s="191"/>
      <x:c r="AG167" s="191"/>
      <x:c r="AH167" s="191"/>
      <x:c r="AI167" s="191"/>
      <x:c r="AJ167" s="191"/>
      <x:c r="AK167" s="191"/>
    </x:row>
    <x:row r="168">
      <x:c r="A168" s="191"/>
      <x:c r="B168" s="191"/>
      <x:c r="C168" s="191"/>
      <x:c r="D168" s="191"/>
      <x:c r="E168" s="191"/>
      <x:c r="F168" s="191"/>
      <x:c r="G168" s="191"/>
      <x:c r="H168" s="191"/>
      <x:c r="I168" s="191"/>
      <x:c r="J168" s="191"/>
      <x:c r="K168" s="191"/>
      <x:c r="L168" s="191"/>
      <x:c r="M168" s="191"/>
      <x:c r="N168" s="191"/>
      <x:c r="O168" s="191"/>
      <x:c r="P168" s="191"/>
      <x:c r="Q168" s="191"/>
      <x:c r="R168" s="191"/>
      <x:c r="S168" s="191"/>
      <x:c r="T168" s="191"/>
      <x:c r="U168" s="191"/>
      <x:c r="V168" s="191"/>
      <x:c r="W168" s="191"/>
      <x:c r="X168" s="191"/>
      <x:c r="Y168" s="191"/>
      <x:c r="Z168" s="191"/>
      <x:c r="AA168" s="191"/>
      <x:c r="AB168" s="191"/>
      <x:c r="AC168" s="191"/>
      <x:c r="AD168" s="191"/>
      <x:c r="AE168" s="191"/>
      <x:c r="AF168" s="191"/>
      <x:c r="AG168" s="191"/>
      <x:c r="AH168" s="191"/>
      <x:c r="AI168" s="191"/>
      <x:c r="AJ168" s="191"/>
      <x:c r="AK168" s="191"/>
    </x:row>
    <x:row r="169">
      <x:c r="A169" s="191"/>
      <x:c r="B169" s="191"/>
      <x:c r="C169" s="191"/>
      <x:c r="D169" s="191"/>
      <x:c r="E169" s="191"/>
      <x:c r="F169" s="191"/>
      <x:c r="G169" s="191"/>
      <x:c r="H169" s="191"/>
      <x:c r="I169" s="191"/>
      <x:c r="J169" s="191"/>
      <x:c r="K169" s="191"/>
      <x:c r="L169" s="191"/>
      <x:c r="M169" s="191"/>
      <x:c r="N169" s="191"/>
      <x:c r="O169" s="191"/>
      <x:c r="P169" s="191"/>
      <x:c r="Q169" s="191"/>
      <x:c r="R169" s="191"/>
      <x:c r="S169" s="191"/>
      <x:c r="T169" s="191"/>
      <x:c r="U169" s="191"/>
      <x:c r="V169" s="191"/>
      <x:c r="W169" s="191"/>
      <x:c r="X169" s="191"/>
      <x:c r="Y169" s="191"/>
      <x:c r="Z169" s="191"/>
      <x:c r="AA169" s="191"/>
      <x:c r="AB169" s="191"/>
      <x:c r="AC169" s="191"/>
      <x:c r="AD169" s="191"/>
      <x:c r="AE169" s="191"/>
      <x:c r="AF169" s="191"/>
      <x:c r="AG169" s="191"/>
      <x:c r="AH169" s="191"/>
      <x:c r="AI169" s="191"/>
      <x:c r="AJ169" s="191"/>
      <x:c r="AK169" s="191"/>
    </x:row>
    <x:row r="170">
      <x:c r="A170" s="191"/>
      <x:c r="B170" s="191"/>
      <x:c r="C170" s="191"/>
      <x:c r="D170" s="191"/>
      <x:c r="E170" s="191"/>
      <x:c r="F170" s="191"/>
      <x:c r="G170" s="191"/>
      <x:c r="H170" s="191"/>
      <x:c r="I170" s="191"/>
      <x:c r="J170" s="191"/>
      <x:c r="K170" s="191"/>
      <x:c r="L170" s="191"/>
      <x:c r="M170" s="191"/>
      <x:c r="N170" s="191"/>
      <x:c r="O170" s="191"/>
      <x:c r="P170" s="191"/>
      <x:c r="Q170" s="191"/>
      <x:c r="R170" s="191"/>
      <x:c r="S170" s="191"/>
      <x:c r="T170" s="191"/>
      <x:c r="U170" s="191"/>
      <x:c r="V170" s="191"/>
      <x:c r="W170" s="191"/>
      <x:c r="X170" s="191"/>
      <x:c r="Y170" s="191"/>
      <x:c r="Z170" s="191"/>
      <x:c r="AA170" s="191"/>
      <x:c r="AB170" s="191"/>
      <x:c r="AC170" s="191"/>
      <x:c r="AD170" s="191"/>
      <x:c r="AE170" s="191"/>
      <x:c r="AF170" s="191"/>
      <x:c r="AG170" s="191"/>
      <x:c r="AH170" s="191"/>
      <x:c r="AI170" s="191"/>
      <x:c r="AJ170" s="191"/>
      <x:c r="AK170" s="191"/>
    </x:row>
    <x:row r="171">
      <x:c r="A171" s="191"/>
      <x:c r="B171" s="191"/>
      <x:c r="C171" s="191"/>
      <x:c r="D171" s="191"/>
      <x:c r="E171" s="191"/>
      <x:c r="F171" s="191"/>
      <x:c r="G171" s="191"/>
      <x:c r="H171" s="191"/>
      <x:c r="I171" s="191"/>
      <x:c r="J171" s="191"/>
      <x:c r="K171" s="191"/>
      <x:c r="L171" s="191"/>
      <x:c r="M171" s="191"/>
      <x:c r="N171" s="191"/>
      <x:c r="O171" s="191"/>
      <x:c r="P171" s="191"/>
      <x:c r="Q171" s="191"/>
      <x:c r="R171" s="191"/>
      <x:c r="S171" s="191"/>
      <x:c r="T171" s="191"/>
      <x:c r="U171" s="191"/>
      <x:c r="V171" s="191"/>
      <x:c r="W171" s="191"/>
      <x:c r="X171" s="191"/>
      <x:c r="Y171" s="191"/>
      <x:c r="Z171" s="191"/>
      <x:c r="AA171" s="191"/>
      <x:c r="AB171" s="191"/>
      <x:c r="AC171" s="191"/>
      <x:c r="AD171" s="191"/>
      <x:c r="AE171" s="191"/>
      <x:c r="AF171" s="191"/>
      <x:c r="AG171" s="191"/>
      <x:c r="AH171" s="191"/>
      <x:c r="AI171" s="191"/>
      <x:c r="AJ171" s="191"/>
      <x:c r="AK171" s="191"/>
    </x:row>
    <x:row r="172">
      <x:c r="A172" s="191"/>
      <x:c r="B172" s="191"/>
      <x:c r="C172" s="191"/>
      <x:c r="D172" s="191"/>
      <x:c r="E172" s="191"/>
      <x:c r="F172" s="191"/>
      <x:c r="G172" s="191"/>
      <x:c r="H172" s="191"/>
      <x:c r="I172" s="191"/>
      <x:c r="J172" s="191"/>
      <x:c r="K172" s="191"/>
      <x:c r="L172" s="191"/>
      <x:c r="M172" s="191"/>
      <x:c r="N172" s="191"/>
      <x:c r="O172" s="191"/>
      <x:c r="P172" s="191"/>
      <x:c r="Q172" s="191"/>
      <x:c r="R172" s="191"/>
      <x:c r="S172" s="191"/>
      <x:c r="T172" s="191"/>
      <x:c r="U172" s="191"/>
      <x:c r="V172" s="191"/>
      <x:c r="W172" s="191"/>
      <x:c r="X172" s="191"/>
      <x:c r="Y172" s="191"/>
      <x:c r="Z172" s="191"/>
      <x:c r="AA172" s="191"/>
      <x:c r="AB172" s="191"/>
      <x:c r="AC172" s="191"/>
      <x:c r="AD172" s="191"/>
      <x:c r="AE172" s="191"/>
      <x:c r="AF172" s="191"/>
      <x:c r="AG172" s="191"/>
      <x:c r="AH172" s="191"/>
      <x:c r="AI172" s="191"/>
      <x:c r="AJ172" s="191"/>
      <x:c r="AK172" s="191"/>
    </x:row>
    <x:row r="173">
      <x:c r="A173" s="191"/>
      <x:c r="B173" s="191"/>
      <x:c r="C173" s="191"/>
      <x:c r="D173" s="191"/>
      <x:c r="E173" s="191"/>
      <x:c r="F173" s="191"/>
      <x:c r="G173" s="191"/>
      <x:c r="H173" s="191"/>
      <x:c r="I173" s="191"/>
      <x:c r="J173" s="191"/>
      <x:c r="K173" s="191"/>
      <x:c r="L173" s="191"/>
      <x:c r="M173" s="191"/>
      <x:c r="N173" s="191"/>
      <x:c r="O173" s="191"/>
      <x:c r="P173" s="191"/>
      <x:c r="Q173" s="191"/>
      <x:c r="R173" s="191"/>
      <x:c r="S173" s="191"/>
      <x:c r="T173" s="191"/>
      <x:c r="U173" s="191"/>
      <x:c r="V173" s="191"/>
      <x:c r="W173" s="191"/>
      <x:c r="X173" s="191"/>
      <x:c r="Y173" s="191"/>
      <x:c r="Z173" s="191"/>
      <x:c r="AA173" s="191"/>
      <x:c r="AB173" s="191"/>
      <x:c r="AC173" s="191"/>
      <x:c r="AD173" s="191"/>
      <x:c r="AE173" s="191"/>
      <x:c r="AF173" s="191"/>
      <x:c r="AG173" s="191"/>
      <x:c r="AH173" s="191"/>
      <x:c r="AI173" s="191"/>
      <x:c r="AJ173" s="191"/>
      <x:c r="AK173" s="191"/>
    </x:row>
    <x:row r="174">
      <x:c r="A174" s="191"/>
      <x:c r="B174" s="191"/>
      <x:c r="C174" s="191"/>
      <x:c r="D174" s="191"/>
      <x:c r="E174" s="191"/>
      <x:c r="F174" s="191"/>
      <x:c r="G174" s="191"/>
      <x:c r="H174" s="191"/>
      <x:c r="I174" s="191"/>
      <x:c r="J174" s="191"/>
      <x:c r="K174" s="191"/>
      <x:c r="L174" s="191"/>
      <x:c r="M174" s="191"/>
      <x:c r="N174" s="191"/>
      <x:c r="O174" s="191"/>
      <x:c r="P174" s="191"/>
      <x:c r="Q174" s="191"/>
      <x:c r="R174" s="191"/>
      <x:c r="S174" s="191"/>
      <x:c r="T174" s="191"/>
      <x:c r="U174" s="191"/>
      <x:c r="V174" s="191"/>
      <x:c r="W174" s="191"/>
      <x:c r="X174" s="191"/>
      <x:c r="Y174" s="191"/>
      <x:c r="Z174" s="191"/>
      <x:c r="AA174" s="191"/>
      <x:c r="AB174" s="191"/>
      <x:c r="AC174" s="191"/>
      <x:c r="AD174" s="191"/>
      <x:c r="AE174" s="191"/>
      <x:c r="AF174" s="191"/>
      <x:c r="AG174" s="191"/>
      <x:c r="AH174" s="191"/>
      <x:c r="AI174" s="191"/>
      <x:c r="AJ174" s="191"/>
      <x:c r="AK174" s="191"/>
    </x:row>
    <x:row r="175">
      <x:c r="A175" s="191"/>
      <x:c r="B175" s="191"/>
      <x:c r="C175" s="191"/>
      <x:c r="D175" s="191"/>
      <x:c r="E175" s="191"/>
      <x:c r="F175" s="191"/>
      <x:c r="G175" s="191"/>
      <x:c r="H175" s="191"/>
      <x:c r="I175" s="191"/>
      <x:c r="J175" s="191"/>
      <x:c r="K175" s="191"/>
      <x:c r="L175" s="191"/>
      <x:c r="M175" s="191"/>
      <x:c r="N175" s="191"/>
      <x:c r="O175" s="191"/>
      <x:c r="P175" s="191"/>
      <x:c r="Q175" s="191"/>
      <x:c r="R175" s="191"/>
      <x:c r="S175" s="191"/>
      <x:c r="T175" s="191"/>
      <x:c r="U175" s="191"/>
      <x:c r="V175" s="191"/>
      <x:c r="W175" s="191"/>
      <x:c r="X175" s="191"/>
      <x:c r="Y175" s="191"/>
      <x:c r="Z175" s="191"/>
      <x:c r="AA175" s="191"/>
      <x:c r="AB175" s="191"/>
      <x:c r="AC175" s="191"/>
      <x:c r="AD175" s="191"/>
      <x:c r="AE175" s="191"/>
      <x:c r="AF175" s="191"/>
      <x:c r="AG175" s="191"/>
      <x:c r="AH175" s="191"/>
      <x:c r="AI175" s="191"/>
      <x:c r="AJ175" s="191"/>
      <x:c r="AK175" s="191"/>
    </x:row>
    <x:row r="176">
      <x:c r="A176" s="191"/>
      <x:c r="B176" s="191"/>
      <x:c r="C176" s="191"/>
      <x:c r="D176" s="191"/>
      <x:c r="E176" s="191"/>
      <x:c r="F176" s="191"/>
      <x:c r="G176" s="191"/>
      <x:c r="H176" s="191"/>
      <x:c r="I176" s="191"/>
      <x:c r="J176" s="191"/>
      <x:c r="K176" s="191"/>
      <x:c r="L176" s="191"/>
      <x:c r="M176" s="191"/>
      <x:c r="N176" s="191"/>
      <x:c r="O176" s="191"/>
      <x:c r="P176" s="191"/>
      <x:c r="Q176" s="191"/>
      <x:c r="R176" s="191"/>
      <x:c r="S176" s="191"/>
      <x:c r="T176" s="191"/>
      <x:c r="U176" s="191"/>
      <x:c r="V176" s="191"/>
      <x:c r="W176" s="191"/>
      <x:c r="X176" s="191"/>
      <x:c r="Y176" s="191"/>
      <x:c r="Z176" s="191"/>
      <x:c r="AA176" s="191"/>
      <x:c r="AB176" s="191"/>
      <x:c r="AC176" s="191"/>
      <x:c r="AD176" s="191"/>
      <x:c r="AE176" s="191"/>
      <x:c r="AF176" s="191"/>
      <x:c r="AG176" s="191"/>
      <x:c r="AH176" s="191"/>
      <x:c r="AI176" s="191"/>
      <x:c r="AJ176" s="191"/>
      <x:c r="AK176" s="191"/>
    </x:row>
    <x:row r="177">
      <x:c r="A177" s="191"/>
      <x:c r="B177" s="191"/>
      <x:c r="C177" s="191"/>
      <x:c r="D177" s="191"/>
      <x:c r="E177" s="191"/>
      <x:c r="F177" s="191"/>
      <x:c r="G177" s="191"/>
      <x:c r="H177" s="191"/>
      <x:c r="I177" s="191"/>
      <x:c r="J177" s="191"/>
      <x:c r="K177" s="191"/>
      <x:c r="L177" s="191"/>
      <x:c r="M177" s="191"/>
      <x:c r="N177" s="191"/>
      <x:c r="O177" s="191"/>
      <x:c r="P177" s="191"/>
      <x:c r="Q177" s="191"/>
      <x:c r="R177" s="191"/>
      <x:c r="S177" s="191"/>
      <x:c r="T177" s="191"/>
      <x:c r="U177" s="191"/>
      <x:c r="V177" s="191"/>
      <x:c r="W177" s="191"/>
      <x:c r="X177" s="191"/>
      <x:c r="Y177" s="191"/>
      <x:c r="Z177" s="191"/>
      <x:c r="AA177" s="191"/>
      <x:c r="AB177" s="191"/>
      <x:c r="AC177" s="191"/>
      <x:c r="AD177" s="191"/>
      <x:c r="AE177" s="191"/>
      <x:c r="AF177" s="191"/>
      <x:c r="AG177" s="191"/>
      <x:c r="AH177" s="191"/>
      <x:c r="AI177" s="191"/>
      <x:c r="AJ177" s="191"/>
      <x:c r="AK177" s="191"/>
    </x:row>
    <x:row r="178">
      <x:c r="A178" s="191"/>
      <x:c r="B178" s="191"/>
      <x:c r="C178" s="191"/>
      <x:c r="D178" s="191"/>
      <x:c r="E178" s="191"/>
      <x:c r="F178" s="191"/>
      <x:c r="G178" s="191"/>
      <x:c r="H178" s="191"/>
      <x:c r="I178" s="191"/>
      <x:c r="J178" s="191"/>
      <x:c r="K178" s="191"/>
      <x:c r="L178" s="191"/>
      <x:c r="M178" s="191"/>
      <x:c r="N178" s="191"/>
      <x:c r="O178" s="191"/>
      <x:c r="P178" s="191"/>
      <x:c r="Q178" s="191"/>
      <x:c r="R178" s="191"/>
      <x:c r="S178" s="191"/>
      <x:c r="T178" s="191"/>
      <x:c r="U178" s="191"/>
      <x:c r="V178" s="191"/>
      <x:c r="W178" s="191"/>
      <x:c r="X178" s="191"/>
      <x:c r="Y178" s="191"/>
      <x:c r="Z178" s="191"/>
      <x:c r="AA178" s="191"/>
      <x:c r="AB178" s="191"/>
      <x:c r="AC178" s="191"/>
      <x:c r="AD178" s="191"/>
      <x:c r="AE178" s="191"/>
      <x:c r="AF178" s="191"/>
      <x:c r="AG178" s="191"/>
      <x:c r="AH178" s="191"/>
      <x:c r="AI178" s="191"/>
      <x:c r="AJ178" s="191"/>
      <x:c r="AK178" s="191"/>
    </x:row>
    <x:row r="179">
      <x:c r="A179" s="191"/>
      <x:c r="B179" s="191"/>
      <x:c r="C179" s="191"/>
      <x:c r="D179" s="191"/>
      <x:c r="E179" s="191"/>
      <x:c r="F179" s="191"/>
      <x:c r="G179" s="191"/>
      <x:c r="H179" s="191"/>
      <x:c r="I179" s="191"/>
      <x:c r="J179" s="191"/>
      <x:c r="K179" s="191"/>
      <x:c r="L179" s="191"/>
      <x:c r="M179" s="191"/>
      <x:c r="N179" s="191"/>
      <x:c r="O179" s="191"/>
      <x:c r="P179" s="191"/>
      <x:c r="Q179" s="191"/>
      <x:c r="R179" s="191"/>
      <x:c r="S179" s="191"/>
      <x:c r="T179" s="191"/>
      <x:c r="U179" s="191"/>
      <x:c r="V179" s="191"/>
      <x:c r="W179" s="191"/>
      <x:c r="X179" s="191"/>
      <x:c r="Y179" s="191"/>
      <x:c r="Z179" s="191"/>
      <x:c r="AA179" s="191"/>
      <x:c r="AB179" s="191"/>
      <x:c r="AC179" s="191"/>
      <x:c r="AD179" s="191"/>
      <x:c r="AE179" s="191"/>
      <x:c r="AF179" s="191"/>
      <x:c r="AG179" s="191"/>
      <x:c r="AH179" s="191"/>
      <x:c r="AI179" s="191"/>
      <x:c r="AJ179" s="191"/>
      <x:c r="AK179" s="191"/>
    </x:row>
    <x:row r="180">
      <x:c r="A180" s="191"/>
      <x:c r="B180" s="191"/>
      <x:c r="C180" s="191"/>
      <x:c r="D180" s="191"/>
      <x:c r="E180" s="191"/>
      <x:c r="F180" s="191"/>
      <x:c r="G180" s="191"/>
      <x:c r="H180" s="191"/>
      <x:c r="I180" s="191"/>
      <x:c r="J180" s="191"/>
      <x:c r="K180" s="191"/>
      <x:c r="L180" s="191"/>
      <x:c r="M180" s="191"/>
      <x:c r="N180" s="191"/>
      <x:c r="O180" s="191"/>
      <x:c r="P180" s="191"/>
      <x:c r="Q180" s="191"/>
      <x:c r="R180" s="191"/>
      <x:c r="S180" s="191"/>
      <x:c r="T180" s="191"/>
      <x:c r="U180" s="191"/>
      <x:c r="V180" s="191"/>
      <x:c r="W180" s="191"/>
      <x:c r="X180" s="191"/>
      <x:c r="Y180" s="191"/>
      <x:c r="Z180" s="191"/>
      <x:c r="AA180" s="191"/>
      <x:c r="AB180" s="191"/>
      <x:c r="AC180" s="191"/>
      <x:c r="AD180" s="191"/>
      <x:c r="AE180" s="191"/>
      <x:c r="AF180" s="191"/>
      <x:c r="AG180" s="191"/>
      <x:c r="AH180" s="191"/>
      <x:c r="AI180" s="191"/>
      <x:c r="AJ180" s="191"/>
      <x:c r="AK180" s="191"/>
    </x:row>
    <x:row r="181">
      <x:c r="A181" s="191"/>
      <x:c r="B181" s="191"/>
      <x:c r="C181" s="191"/>
      <x:c r="D181" s="191"/>
      <x:c r="E181" s="191"/>
      <x:c r="F181" s="191"/>
      <x:c r="G181" s="191"/>
      <x:c r="H181" s="191"/>
      <x:c r="I181" s="191"/>
      <x:c r="J181" s="191"/>
      <x:c r="K181" s="191"/>
      <x:c r="L181" s="191"/>
      <x:c r="M181" s="191"/>
      <x:c r="N181" s="191"/>
      <x:c r="O181" s="191"/>
      <x:c r="P181" s="191"/>
      <x:c r="Q181" s="191"/>
      <x:c r="R181" s="191"/>
      <x:c r="S181" s="191"/>
      <x:c r="T181" s="191"/>
      <x:c r="U181" s="191"/>
      <x:c r="V181" s="191"/>
      <x:c r="W181" s="191"/>
      <x:c r="X181" s="191"/>
      <x:c r="Y181" s="191"/>
      <x:c r="Z181" s="191"/>
      <x:c r="AA181" s="191"/>
      <x:c r="AB181" s="191"/>
      <x:c r="AC181" s="191"/>
      <x:c r="AD181" s="191"/>
      <x:c r="AE181" s="191"/>
      <x:c r="AF181" s="191"/>
      <x:c r="AG181" s="191"/>
      <x:c r="AH181" s="191"/>
      <x:c r="AI181" s="191"/>
      <x:c r="AJ181" s="191"/>
      <x:c r="AK181" s="191"/>
    </x:row>
    <x:row r="182">
      <x:c r="A182" s="191"/>
      <x:c r="B182" s="191"/>
      <x:c r="C182" s="191"/>
      <x:c r="D182" s="191"/>
      <x:c r="E182" s="191"/>
      <x:c r="F182" s="191"/>
      <x:c r="G182" s="191"/>
      <x:c r="H182" s="191"/>
      <x:c r="I182" s="191"/>
      <x:c r="J182" s="191"/>
      <x:c r="K182" s="191"/>
      <x:c r="L182" s="191"/>
      <x:c r="M182" s="191"/>
      <x:c r="N182" s="191"/>
      <x:c r="O182" s="191"/>
      <x:c r="P182" s="191"/>
      <x:c r="Q182" s="191"/>
      <x:c r="R182" s="191"/>
      <x:c r="S182" s="191"/>
      <x:c r="T182" s="191"/>
      <x:c r="U182" s="191"/>
      <x:c r="V182" s="191"/>
      <x:c r="W182" s="191"/>
      <x:c r="X182" s="191"/>
      <x:c r="Y182" s="191"/>
      <x:c r="Z182" s="191"/>
      <x:c r="AA182" s="191"/>
      <x:c r="AB182" s="191"/>
      <x:c r="AC182" s="191"/>
      <x:c r="AD182" s="191"/>
      <x:c r="AE182" s="191"/>
      <x:c r="AF182" s="191"/>
      <x:c r="AG182" s="191"/>
      <x:c r="AH182" s="191"/>
      <x:c r="AI182" s="191"/>
      <x:c r="AJ182" s="191"/>
      <x:c r="AK182" s="191"/>
    </x:row>
    <x:row r="183">
      <x:c r="A183" s="191"/>
      <x:c r="B183" s="191"/>
      <x:c r="C183" s="191"/>
      <x:c r="D183" s="191"/>
      <x:c r="E183" s="191"/>
      <x:c r="F183" s="191"/>
      <x:c r="G183" s="191"/>
      <x:c r="H183" s="191"/>
      <x:c r="I183" s="191"/>
      <x:c r="J183" s="191"/>
      <x:c r="K183" s="191"/>
      <x:c r="L183" s="191"/>
      <x:c r="M183" s="191"/>
      <x:c r="N183" s="191"/>
      <x:c r="O183" s="191"/>
      <x:c r="P183" s="191"/>
      <x:c r="Q183" s="191"/>
      <x:c r="R183" s="191"/>
      <x:c r="S183" s="191"/>
      <x:c r="T183" s="191"/>
      <x:c r="U183" s="191"/>
      <x:c r="V183" s="191"/>
      <x:c r="W183" s="191"/>
      <x:c r="X183" s="191"/>
      <x:c r="Y183" s="191"/>
      <x:c r="Z183" s="191"/>
      <x:c r="AA183" s="191"/>
      <x:c r="AB183" s="191"/>
      <x:c r="AC183" s="191"/>
      <x:c r="AD183" s="191"/>
      <x:c r="AE183" s="191"/>
      <x:c r="AF183" s="191"/>
      <x:c r="AG183" s="191"/>
      <x:c r="AH183" s="191"/>
      <x:c r="AI183" s="191"/>
      <x:c r="AJ183" s="191"/>
      <x:c r="AK183" s="191"/>
    </x:row>
    <x:row r="184">
      <x:c r="A184" s="191"/>
      <x:c r="B184" s="191"/>
      <x:c r="C184" s="191"/>
      <x:c r="D184" s="191"/>
      <x:c r="E184" s="191"/>
      <x:c r="F184" s="191"/>
      <x:c r="G184" s="191"/>
      <x:c r="H184" s="191"/>
      <x:c r="I184" s="191"/>
      <x:c r="J184" s="191"/>
      <x:c r="K184" s="191"/>
      <x:c r="L184" s="191"/>
      <x:c r="M184" s="191"/>
      <x:c r="N184" s="191"/>
      <x:c r="O184" s="191"/>
      <x:c r="P184" s="191"/>
      <x:c r="Q184" s="191"/>
      <x:c r="R184" s="191"/>
      <x:c r="S184" s="191"/>
      <x:c r="T184" s="191"/>
      <x:c r="U184" s="191"/>
      <x:c r="V184" s="191"/>
      <x:c r="W184" s="191"/>
      <x:c r="X184" s="191"/>
      <x:c r="Y184" s="191"/>
      <x:c r="Z184" s="191"/>
      <x:c r="AA184" s="191"/>
      <x:c r="AB184" s="191"/>
      <x:c r="AC184" s="191"/>
      <x:c r="AD184" s="191"/>
      <x:c r="AE184" s="191"/>
      <x:c r="AF184" s="191"/>
      <x:c r="AG184" s="191"/>
      <x:c r="AH184" s="191"/>
      <x:c r="AI184" s="191"/>
      <x:c r="AJ184" s="191"/>
      <x:c r="AK184" s="191"/>
    </x:row>
    <x:row r="185">
      <x:c r="A185" s="191"/>
      <x:c r="B185" s="191"/>
      <x:c r="C185" s="191"/>
      <x:c r="D185" s="191"/>
      <x:c r="E185" s="191"/>
      <x:c r="F185" s="191"/>
      <x:c r="G185" s="191"/>
      <x:c r="H185" s="191"/>
      <x:c r="I185" s="191"/>
      <x:c r="J185" s="191"/>
      <x:c r="K185" s="191"/>
      <x:c r="L185" s="191"/>
      <x:c r="M185" s="191"/>
      <x:c r="N185" s="191"/>
      <x:c r="O185" s="191"/>
      <x:c r="P185" s="191"/>
      <x:c r="Q185" s="191"/>
      <x:c r="R185" s="191"/>
      <x:c r="S185" s="191"/>
      <x:c r="T185" s="191"/>
      <x:c r="U185" s="191"/>
      <x:c r="V185" s="191"/>
      <x:c r="W185" s="191"/>
      <x:c r="X185" s="191"/>
      <x:c r="Y185" s="191"/>
      <x:c r="Z185" s="191"/>
      <x:c r="AA185" s="191"/>
      <x:c r="AB185" s="191"/>
      <x:c r="AC185" s="191"/>
      <x:c r="AD185" s="191"/>
      <x:c r="AE185" s="191"/>
      <x:c r="AF185" s="191"/>
      <x:c r="AG185" s="191"/>
      <x:c r="AH185" s="191"/>
      <x:c r="AI185" s="191"/>
      <x:c r="AJ185" s="191"/>
      <x:c r="AK185" s="191"/>
    </x:row>
    <x:row r="186">
      <x:c r="A186" s="191"/>
      <x:c r="B186" s="191"/>
      <x:c r="C186" s="191"/>
      <x:c r="D186" s="191"/>
      <x:c r="E186" s="191"/>
      <x:c r="F186" s="191"/>
      <x:c r="G186" s="191"/>
      <x:c r="H186" s="191"/>
      <x:c r="I186" s="191"/>
      <x:c r="J186" s="191"/>
      <x:c r="K186" s="191"/>
      <x:c r="L186" s="191"/>
      <x:c r="M186" s="191"/>
      <x:c r="N186" s="191"/>
      <x:c r="O186" s="191"/>
      <x:c r="P186" s="191"/>
      <x:c r="Q186" s="191"/>
      <x:c r="R186" s="191"/>
      <x:c r="S186" s="191"/>
      <x:c r="T186" s="191"/>
      <x:c r="U186" s="191"/>
      <x:c r="V186" s="191"/>
      <x:c r="W186" s="191"/>
      <x:c r="X186" s="191"/>
      <x:c r="Y186" s="191"/>
      <x:c r="Z186" s="191"/>
      <x:c r="AA186" s="191"/>
      <x:c r="AB186" s="191"/>
      <x:c r="AC186" s="191"/>
      <x:c r="AD186" s="191"/>
      <x:c r="AE186" s="191"/>
      <x:c r="AF186" s="191"/>
      <x:c r="AG186" s="191"/>
      <x:c r="AH186" s="191"/>
      <x:c r="AI186" s="191"/>
      <x:c r="AJ186" s="191"/>
      <x:c r="AK186" s="191"/>
    </x:row>
    <x:row r="187">
      <x:c r="A187" s="191"/>
      <x:c r="B187" s="191"/>
      <x:c r="C187" s="191"/>
      <x:c r="D187" s="191"/>
      <x:c r="E187" s="191"/>
      <x:c r="F187" s="191"/>
      <x:c r="G187" s="191"/>
      <x:c r="H187" s="191"/>
      <x:c r="I187" s="191"/>
      <x:c r="J187" s="191"/>
      <x:c r="K187" s="191"/>
      <x:c r="L187" s="191"/>
      <x:c r="M187" s="191"/>
      <x:c r="N187" s="191"/>
      <x:c r="O187" s="191"/>
      <x:c r="P187" s="191"/>
      <x:c r="Q187" s="191"/>
      <x:c r="R187" s="191"/>
      <x:c r="S187" s="191"/>
      <x:c r="T187" s="191"/>
      <x:c r="U187" s="191"/>
      <x:c r="V187" s="191"/>
      <x:c r="W187" s="191"/>
      <x:c r="X187" s="191"/>
      <x:c r="Y187" s="191"/>
      <x:c r="Z187" s="191"/>
      <x:c r="AA187" s="191"/>
      <x:c r="AB187" s="191"/>
      <x:c r="AC187" s="191"/>
      <x:c r="AD187" s="191"/>
      <x:c r="AE187" s="191"/>
      <x:c r="AF187" s="191"/>
      <x:c r="AG187" s="191"/>
      <x:c r="AH187" s="191"/>
      <x:c r="AI187" s="191"/>
      <x:c r="AJ187" s="191"/>
      <x:c r="AK187" s="191"/>
    </x:row>
    <x:row r="188">
      <x:c r="A188" s="191"/>
      <x:c r="B188" s="191"/>
      <x:c r="C188" s="191"/>
      <x:c r="D188" s="191"/>
      <x:c r="E188" s="191"/>
      <x:c r="F188" s="191"/>
      <x:c r="G188" s="191"/>
      <x:c r="H188" s="191"/>
      <x:c r="I188" s="191"/>
      <x:c r="J188" s="191"/>
      <x:c r="K188" s="191"/>
      <x:c r="L188" s="191"/>
      <x:c r="M188" s="191"/>
      <x:c r="N188" s="191"/>
      <x:c r="O188" s="191"/>
      <x:c r="P188" s="191"/>
      <x:c r="Q188" s="191"/>
      <x:c r="R188" s="191"/>
      <x:c r="S188" s="191"/>
      <x:c r="T188" s="191"/>
      <x:c r="U188" s="191"/>
      <x:c r="V188" s="191"/>
      <x:c r="W188" s="191"/>
      <x:c r="X188" s="191"/>
      <x:c r="Y188" s="191"/>
      <x:c r="Z188" s="191"/>
      <x:c r="AA188" s="191"/>
      <x:c r="AB188" s="191"/>
      <x:c r="AC188" s="191"/>
      <x:c r="AD188" s="191"/>
      <x:c r="AE188" s="191"/>
      <x:c r="AF188" s="191"/>
      <x:c r="AG188" s="191"/>
      <x:c r="AH188" s="191"/>
      <x:c r="AI188" s="191"/>
      <x:c r="AJ188" s="191"/>
      <x:c r="AK188" s="191"/>
    </x:row>
    <x:row r="189">
      <x:c r="A189" s="191"/>
      <x:c r="B189" s="191"/>
      <x:c r="C189" s="191"/>
      <x:c r="D189" s="191"/>
      <x:c r="E189" s="191"/>
      <x:c r="F189" s="191"/>
      <x:c r="G189" s="191"/>
      <x:c r="H189" s="191"/>
      <x:c r="I189" s="191"/>
      <x:c r="J189" s="191"/>
      <x:c r="K189" s="191"/>
      <x:c r="L189" s="191"/>
      <x:c r="M189" s="191"/>
      <x:c r="N189" s="191"/>
      <x:c r="O189" s="191"/>
      <x:c r="P189" s="191"/>
      <x:c r="Q189" s="191"/>
      <x:c r="R189" s="191"/>
      <x:c r="S189" s="191"/>
      <x:c r="T189" s="191"/>
      <x:c r="U189" s="191"/>
      <x:c r="V189" s="191"/>
      <x:c r="W189" s="191"/>
      <x:c r="X189" s="191"/>
      <x:c r="Y189" s="191"/>
      <x:c r="Z189" s="191"/>
      <x:c r="AA189" s="191"/>
      <x:c r="AB189" s="191"/>
      <x:c r="AC189" s="191"/>
      <x:c r="AD189" s="191"/>
      <x:c r="AE189" s="191"/>
      <x:c r="AF189" s="191"/>
      <x:c r="AG189" s="191"/>
      <x:c r="AH189" s="191"/>
      <x:c r="AI189" s="191"/>
      <x:c r="AJ189" s="191"/>
      <x:c r="AK189" s="191"/>
    </x:row>
    <x:row r="190">
      <x:c r="A190" s="191"/>
      <x:c r="B190" s="191"/>
      <x:c r="C190" s="191"/>
      <x:c r="D190" s="191"/>
      <x:c r="E190" s="191"/>
      <x:c r="F190" s="191"/>
      <x:c r="G190" s="191"/>
      <x:c r="H190" s="191"/>
      <x:c r="I190" s="191"/>
      <x:c r="J190" s="191"/>
      <x:c r="K190" s="191"/>
      <x:c r="L190" s="191"/>
      <x:c r="M190" s="191"/>
      <x:c r="N190" s="191"/>
      <x:c r="O190" s="191"/>
      <x:c r="P190" s="191"/>
      <x:c r="Q190" s="191"/>
      <x:c r="R190" s="191"/>
      <x:c r="S190" s="191"/>
      <x:c r="T190" s="191"/>
      <x:c r="U190" s="191"/>
      <x:c r="V190" s="191"/>
      <x:c r="W190" s="191"/>
      <x:c r="X190" s="191"/>
      <x:c r="Y190" s="191"/>
      <x:c r="Z190" s="191"/>
      <x:c r="AA190" s="191"/>
      <x:c r="AB190" s="191"/>
      <x:c r="AC190" s="191"/>
      <x:c r="AD190" s="191"/>
      <x:c r="AE190" s="191"/>
      <x:c r="AF190" s="191"/>
      <x:c r="AG190" s="191"/>
      <x:c r="AH190" s="191"/>
      <x:c r="AI190" s="191"/>
      <x:c r="AJ190" s="191"/>
      <x:c r="AK190" s="191"/>
    </x:row>
    <x:row r="191">
      <x:c r="A191" s="191"/>
      <x:c r="B191" s="191"/>
      <x:c r="C191" s="191"/>
      <x:c r="D191" s="191"/>
      <x:c r="E191" s="191"/>
      <x:c r="F191" s="191"/>
      <x:c r="G191" s="191"/>
      <x:c r="H191" s="191"/>
      <x:c r="I191" s="191"/>
      <x:c r="J191" s="191"/>
      <x:c r="K191" s="191"/>
      <x:c r="L191" s="191"/>
      <x:c r="M191" s="191"/>
      <x:c r="N191" s="191"/>
      <x:c r="O191" s="191"/>
      <x:c r="P191" s="191"/>
      <x:c r="Q191" s="191"/>
      <x:c r="R191" s="191"/>
      <x:c r="S191" s="191"/>
      <x:c r="T191" s="191"/>
      <x:c r="U191" s="191"/>
      <x:c r="V191" s="191"/>
      <x:c r="W191" s="191"/>
      <x:c r="X191" s="191"/>
      <x:c r="Y191" s="191"/>
      <x:c r="Z191" s="191"/>
      <x:c r="AA191" s="191"/>
      <x:c r="AB191" s="191"/>
      <x:c r="AC191" s="191"/>
      <x:c r="AD191" s="191"/>
      <x:c r="AE191" s="191"/>
      <x:c r="AF191" s="191"/>
      <x:c r="AG191" s="191"/>
      <x:c r="AH191" s="191"/>
      <x:c r="AI191" s="191"/>
      <x:c r="AJ191" s="191"/>
      <x:c r="AK191" s="191"/>
    </x:row>
    <x:row r="192">
      <x:c r="A192" s="191"/>
      <x:c r="B192" s="191"/>
      <x:c r="C192" s="191"/>
      <x:c r="D192" s="191"/>
      <x:c r="E192" s="191"/>
      <x:c r="F192" s="191"/>
      <x:c r="G192" s="191"/>
      <x:c r="H192" s="191"/>
      <x:c r="I192" s="191"/>
      <x:c r="J192" s="191"/>
      <x:c r="K192" s="191"/>
      <x:c r="L192" s="191"/>
      <x:c r="M192" s="191"/>
      <x:c r="N192" s="191"/>
      <x:c r="O192" s="191"/>
      <x:c r="P192" s="191"/>
      <x:c r="Q192" s="191"/>
      <x:c r="R192" s="191"/>
      <x:c r="S192" s="191"/>
      <x:c r="T192" s="191"/>
      <x:c r="U192" s="191"/>
      <x:c r="V192" s="191"/>
      <x:c r="W192" s="191"/>
      <x:c r="X192" s="191"/>
      <x:c r="Y192" s="191"/>
      <x:c r="Z192" s="191"/>
      <x:c r="AA192" s="191"/>
      <x:c r="AB192" s="191"/>
      <x:c r="AC192" s="191"/>
      <x:c r="AD192" s="191"/>
      <x:c r="AE192" s="191"/>
      <x:c r="AF192" s="191"/>
      <x:c r="AG192" s="191"/>
      <x:c r="AH192" s="191"/>
      <x:c r="AI192" s="191"/>
      <x:c r="AJ192" s="191"/>
      <x:c r="AK192" s="191"/>
    </x:row>
    <x:row r="193">
      <x:c r="A193" s="191"/>
      <x:c r="B193" s="191"/>
      <x:c r="C193" s="191"/>
      <x:c r="D193" s="191"/>
      <x:c r="E193" s="191"/>
      <x:c r="F193" s="191"/>
      <x:c r="G193" s="191"/>
      <x:c r="H193" s="191"/>
      <x:c r="I193" s="191"/>
      <x:c r="J193" s="191"/>
      <x:c r="K193" s="191"/>
      <x:c r="L193" s="191"/>
      <x:c r="M193" s="191"/>
      <x:c r="N193" s="191"/>
      <x:c r="O193" s="191"/>
      <x:c r="P193" s="191"/>
      <x:c r="Q193" s="191"/>
      <x:c r="R193" s="191"/>
      <x:c r="S193" s="191"/>
      <x:c r="T193" s="191"/>
      <x:c r="U193" s="191"/>
      <x:c r="V193" s="191"/>
      <x:c r="W193" s="191"/>
      <x:c r="X193" s="191"/>
      <x:c r="Y193" s="191"/>
      <x:c r="Z193" s="191"/>
      <x:c r="AA193" s="191"/>
      <x:c r="AB193" s="191"/>
      <x:c r="AC193" s="191"/>
      <x:c r="AD193" s="191"/>
      <x:c r="AE193" s="191"/>
      <x:c r="AF193" s="191"/>
      <x:c r="AG193" s="191"/>
      <x:c r="AH193" s="191"/>
      <x:c r="AI193" s="191"/>
      <x:c r="AJ193" s="191"/>
      <x:c r="AK193" s="191"/>
    </x:row>
    <x:row r="194">
      <x:c r="A194" s="191"/>
      <x:c r="B194" s="191"/>
      <x:c r="C194" s="191"/>
      <x:c r="D194" s="191"/>
      <x:c r="E194" s="191"/>
      <x:c r="F194" s="191"/>
      <x:c r="G194" s="191"/>
      <x:c r="H194" s="191"/>
      <x:c r="I194" s="191"/>
      <x:c r="J194" s="191"/>
      <x:c r="K194" s="191"/>
      <x:c r="L194" s="191"/>
      <x:c r="M194" s="191"/>
      <x:c r="N194" s="191"/>
      <x:c r="O194" s="191"/>
      <x:c r="P194" s="191"/>
      <x:c r="Q194" s="191"/>
      <x:c r="R194" s="191"/>
      <x:c r="S194" s="191"/>
      <x:c r="T194" s="191"/>
      <x:c r="U194" s="191"/>
      <x:c r="V194" s="191"/>
      <x:c r="W194" s="191"/>
      <x:c r="X194" s="191"/>
      <x:c r="Y194" s="191"/>
      <x:c r="Z194" s="191"/>
      <x:c r="AA194" s="191"/>
      <x:c r="AB194" s="191"/>
      <x:c r="AC194" s="191"/>
      <x:c r="AD194" s="191"/>
      <x:c r="AE194" s="191"/>
      <x:c r="AF194" s="191"/>
      <x:c r="AG194" s="191"/>
      <x:c r="AH194" s="191"/>
      <x:c r="AI194" s="191"/>
      <x:c r="AJ194" s="191"/>
      <x:c r="AK194" s="191"/>
    </x:row>
    <x:row r="195">
      <x:c r="A195" s="191"/>
      <x:c r="B195" s="191"/>
      <x:c r="C195" s="191"/>
      <x:c r="D195" s="191"/>
      <x:c r="E195" s="191"/>
      <x:c r="F195" s="191"/>
      <x:c r="G195" s="191"/>
      <x:c r="H195" s="191"/>
      <x:c r="I195" s="191"/>
      <x:c r="J195" s="191"/>
      <x:c r="K195" s="191"/>
      <x:c r="L195" s="191"/>
      <x:c r="M195" s="191"/>
      <x:c r="N195" s="191"/>
      <x:c r="O195" s="191"/>
      <x:c r="P195" s="191"/>
      <x:c r="Q195" s="191"/>
      <x:c r="R195" s="191"/>
      <x:c r="S195" s="191"/>
      <x:c r="T195" s="191"/>
      <x:c r="U195" s="191"/>
      <x:c r="V195" s="191"/>
      <x:c r="W195" s="191"/>
      <x:c r="X195" s="191"/>
      <x:c r="Y195" s="191"/>
      <x:c r="Z195" s="191"/>
      <x:c r="AA195" s="191"/>
      <x:c r="AB195" s="191"/>
      <x:c r="AC195" s="191"/>
      <x:c r="AD195" s="191"/>
      <x:c r="AE195" s="191"/>
      <x:c r="AF195" s="191"/>
      <x:c r="AG195" s="191"/>
      <x:c r="AH195" s="191"/>
      <x:c r="AI195" s="191"/>
      <x:c r="AJ195" s="191"/>
      <x:c r="AK195" s="191"/>
    </x:row>
    <x:row r="196">
      <x:c r="A196" s="191"/>
      <x:c r="B196" s="191"/>
      <x:c r="C196" s="191"/>
      <x:c r="D196" s="191"/>
      <x:c r="E196" s="191"/>
      <x:c r="F196" s="191"/>
      <x:c r="G196" s="191"/>
      <x:c r="H196" s="191"/>
      <x:c r="I196" s="191"/>
      <x:c r="J196" s="191"/>
      <x:c r="K196" s="191"/>
      <x:c r="L196" s="191"/>
      <x:c r="M196" s="191"/>
      <x:c r="N196" s="191"/>
      <x:c r="O196" s="191"/>
      <x:c r="P196" s="191"/>
      <x:c r="Q196" s="191"/>
      <x:c r="R196" s="191"/>
      <x:c r="S196" s="191"/>
      <x:c r="T196" s="191"/>
      <x:c r="U196" s="191"/>
      <x:c r="V196" s="191"/>
      <x:c r="W196" s="191"/>
      <x:c r="X196" s="191"/>
      <x:c r="Y196" s="191"/>
      <x:c r="Z196" s="191"/>
      <x:c r="AA196" s="191"/>
      <x:c r="AB196" s="191"/>
      <x:c r="AC196" s="191"/>
      <x:c r="AD196" s="191"/>
      <x:c r="AE196" s="191"/>
      <x:c r="AF196" s="191"/>
      <x:c r="AG196" s="191"/>
      <x:c r="AH196" s="191"/>
      <x:c r="AI196" s="191"/>
      <x:c r="AJ196" s="191"/>
      <x:c r="AK196" s="191"/>
    </x:row>
    <x:row r="197">
      <x:c r="A197" s="191"/>
      <x:c r="B197" s="191"/>
      <x:c r="C197" s="191"/>
      <x:c r="D197" s="191"/>
      <x:c r="E197" s="191"/>
      <x:c r="F197" s="191"/>
      <x:c r="G197" s="191"/>
      <x:c r="H197" s="191"/>
      <x:c r="I197" s="191"/>
      <x:c r="J197" s="191"/>
      <x:c r="K197" s="191"/>
      <x:c r="L197" s="191"/>
      <x:c r="M197" s="191"/>
      <x:c r="N197" s="191"/>
      <x:c r="O197" s="191"/>
      <x:c r="P197" s="191"/>
      <x:c r="Q197" s="191"/>
      <x:c r="R197" s="191"/>
      <x:c r="S197" s="191"/>
      <x:c r="T197" s="191"/>
      <x:c r="U197" s="191"/>
      <x:c r="V197" s="191"/>
      <x:c r="W197" s="191"/>
      <x:c r="X197" s="191"/>
      <x:c r="Y197" s="191"/>
      <x:c r="Z197" s="191"/>
      <x:c r="AA197" s="191"/>
      <x:c r="AB197" s="191"/>
      <x:c r="AC197" s="191"/>
      <x:c r="AD197" s="191"/>
      <x:c r="AE197" s="191"/>
      <x:c r="AF197" s="191"/>
      <x:c r="AG197" s="191"/>
      <x:c r="AH197" s="191"/>
      <x:c r="AI197" s="191"/>
      <x:c r="AJ197" s="191"/>
      <x:c r="AK197" s="191"/>
    </x:row>
    <x:row r="198">
      <x:c r="A198" s="191"/>
      <x:c r="B198" s="191"/>
      <x:c r="C198" s="191"/>
      <x:c r="D198" s="191"/>
      <x:c r="E198" s="191"/>
      <x:c r="F198" s="191"/>
      <x:c r="G198" s="191"/>
      <x:c r="H198" s="191"/>
      <x:c r="I198" s="191"/>
      <x:c r="J198" s="191"/>
      <x:c r="K198" s="191"/>
      <x:c r="L198" s="191"/>
      <x:c r="M198" s="191"/>
      <x:c r="N198" s="191"/>
      <x:c r="O198" s="191"/>
      <x:c r="P198" s="191"/>
      <x:c r="Q198" s="191"/>
      <x:c r="R198" s="191"/>
      <x:c r="S198" s="191"/>
      <x:c r="T198" s="191"/>
      <x:c r="U198" s="191"/>
      <x:c r="V198" s="191"/>
      <x:c r="W198" s="191"/>
      <x:c r="X198" s="191"/>
      <x:c r="Y198" s="191"/>
      <x:c r="Z198" s="191"/>
      <x:c r="AA198" s="191"/>
      <x:c r="AB198" s="191"/>
      <x:c r="AC198" s="191"/>
      <x:c r="AD198" s="191"/>
      <x:c r="AE198" s="191"/>
      <x:c r="AF198" s="191"/>
      <x:c r="AG198" s="191"/>
      <x:c r="AH198" s="191"/>
      <x:c r="AI198" s="191"/>
      <x:c r="AJ198" s="191"/>
      <x:c r="AK198" s="191"/>
    </x:row>
    <x:row r="199">
      <x:c r="A199" s="191"/>
      <x:c r="B199" s="191"/>
      <x:c r="C199" s="191"/>
      <x:c r="D199" s="191"/>
      <x:c r="E199" s="191"/>
      <x:c r="F199" s="191"/>
      <x:c r="G199" s="191"/>
      <x:c r="H199" s="191"/>
      <x:c r="I199" s="191"/>
      <x:c r="J199" s="191"/>
      <x:c r="K199" s="191"/>
      <x:c r="L199" s="191"/>
      <x:c r="M199" s="191"/>
      <x:c r="N199" s="191"/>
      <x:c r="O199" s="191"/>
      <x:c r="P199" s="191"/>
      <x:c r="Q199" s="191"/>
      <x:c r="R199" s="191"/>
      <x:c r="S199" s="191"/>
      <x:c r="T199" s="191"/>
      <x:c r="U199" s="191"/>
      <x:c r="V199" s="191"/>
      <x:c r="W199" s="191"/>
      <x:c r="X199" s="191"/>
      <x:c r="Y199" s="191"/>
      <x:c r="Z199" s="191"/>
      <x:c r="AA199" s="191"/>
      <x:c r="AB199" s="191"/>
      <x:c r="AC199" s="191"/>
      <x:c r="AD199" s="191"/>
      <x:c r="AE199" s="191"/>
      <x:c r="AF199" s="191"/>
      <x:c r="AG199" s="191"/>
      <x:c r="AH199" s="191"/>
      <x:c r="AI199" s="191"/>
      <x:c r="AJ199" s="191"/>
      <x:c r="AK199" s="191"/>
    </x:row>
    <x:row r="200">
      <x:c r="A200" s="191"/>
      <x:c r="B200" s="191"/>
      <x:c r="C200" s="191"/>
      <x:c r="D200" s="191"/>
      <x:c r="E200" s="191"/>
      <x:c r="F200" s="191"/>
      <x:c r="G200" s="191"/>
      <x:c r="H200" s="191"/>
      <x:c r="I200" s="191"/>
      <x:c r="J200" s="191"/>
      <x:c r="K200" s="191"/>
      <x:c r="L200" s="191"/>
      <x:c r="M200" s="191"/>
      <x:c r="N200" s="191"/>
      <x:c r="O200" s="191"/>
      <x:c r="P200" s="191"/>
      <x:c r="Q200" s="191"/>
      <x:c r="R200" s="191"/>
      <x:c r="S200" s="191"/>
      <x:c r="T200" s="191"/>
      <x:c r="U200" s="191"/>
      <x:c r="V200" s="191"/>
      <x:c r="W200" s="191"/>
      <x:c r="X200" s="191"/>
      <x:c r="Y200" s="191"/>
      <x:c r="Z200" s="191"/>
      <x:c r="AA200" s="191"/>
      <x:c r="AB200" s="191"/>
      <x:c r="AC200" s="191"/>
      <x:c r="AD200" s="191"/>
      <x:c r="AE200" s="191"/>
      <x:c r="AF200" s="191"/>
      <x:c r="AG200" s="191"/>
      <x:c r="AH200" s="191"/>
      <x:c r="AI200" s="191"/>
      <x:c r="AJ200" s="191"/>
      <x:c r="AK200" s="191"/>
    </x:row>
    <x:row r="201">
      <x:c r="A201" s="191"/>
      <x:c r="B201" s="191"/>
      <x:c r="C201" s="191"/>
      <x:c r="D201" s="191"/>
      <x:c r="E201" s="191"/>
      <x:c r="F201" s="191"/>
      <x:c r="G201" s="191"/>
      <x:c r="H201" s="191"/>
      <x:c r="I201" s="191"/>
      <x:c r="J201" s="191"/>
      <x:c r="K201" s="191"/>
      <x:c r="L201" s="191"/>
      <x:c r="M201" s="191"/>
      <x:c r="N201" s="191"/>
      <x:c r="O201" s="191"/>
      <x:c r="P201" s="191"/>
      <x:c r="Q201" s="191"/>
      <x:c r="R201" s="191"/>
      <x:c r="S201" s="191"/>
      <x:c r="T201" s="191"/>
      <x:c r="U201" s="191"/>
      <x:c r="V201" s="191"/>
      <x:c r="W201" s="191"/>
      <x:c r="X201" s="191"/>
      <x:c r="Y201" s="191"/>
      <x:c r="Z201" s="191"/>
      <x:c r="AA201" s="191"/>
      <x:c r="AB201" s="191"/>
      <x:c r="AC201" s="191"/>
      <x:c r="AD201" s="191"/>
      <x:c r="AE201" s="191"/>
      <x:c r="AF201" s="191"/>
      <x:c r="AG201" s="191"/>
      <x:c r="AH201" s="191"/>
      <x:c r="AI201" s="191"/>
      <x:c r="AJ201" s="191"/>
      <x:c r="AK201" s="191"/>
    </x:row>
    <x:row r="202">
      <x:c r="A202" s="191"/>
      <x:c r="B202" s="191"/>
      <x:c r="C202" s="191"/>
      <x:c r="D202" s="191"/>
      <x:c r="E202" s="191"/>
      <x:c r="F202" s="191"/>
      <x:c r="G202" s="191"/>
      <x:c r="H202" s="191"/>
      <x:c r="I202" s="191"/>
      <x:c r="J202" s="191"/>
      <x:c r="K202" s="191"/>
      <x:c r="L202" s="191"/>
      <x:c r="M202" s="191"/>
      <x:c r="N202" s="191"/>
      <x:c r="O202" s="191"/>
      <x:c r="P202" s="191"/>
      <x:c r="Q202" s="191"/>
      <x:c r="R202" s="191"/>
      <x:c r="S202" s="191"/>
      <x:c r="T202" s="191"/>
      <x:c r="U202" s="191"/>
      <x:c r="V202" s="191"/>
      <x:c r="W202" s="191"/>
      <x:c r="X202" s="191"/>
      <x:c r="Y202" s="191"/>
      <x:c r="Z202" s="191"/>
      <x:c r="AA202" s="191"/>
      <x:c r="AB202" s="191"/>
      <x:c r="AC202" s="191"/>
      <x:c r="AD202" s="191"/>
      <x:c r="AE202" s="191"/>
      <x:c r="AF202" s="191"/>
      <x:c r="AG202" s="191"/>
      <x:c r="AH202" s="191"/>
      <x:c r="AI202" s="191"/>
      <x:c r="AJ202" s="191"/>
      <x:c r="AK202" s="191"/>
    </x:row>
    <x:row r="203">
      <x:c r="A203" s="191"/>
      <x:c r="B203" s="191"/>
      <x:c r="C203" s="191"/>
      <x:c r="D203" s="191"/>
      <x:c r="E203" s="191"/>
      <x:c r="F203" s="191"/>
      <x:c r="G203" s="191"/>
      <x:c r="H203" s="191"/>
      <x:c r="I203" s="191"/>
      <x:c r="J203" s="191"/>
      <x:c r="K203" s="191"/>
      <x:c r="L203" s="191"/>
      <x:c r="M203" s="191"/>
      <x:c r="N203" s="191"/>
      <x:c r="O203" s="191"/>
      <x:c r="P203" s="191"/>
      <x:c r="Q203" s="191"/>
      <x:c r="R203" s="191"/>
      <x:c r="S203" s="191"/>
      <x:c r="T203" s="191"/>
      <x:c r="U203" s="191"/>
      <x:c r="V203" s="191"/>
      <x:c r="W203" s="191"/>
      <x:c r="X203" s="191"/>
      <x:c r="Y203" s="191"/>
      <x:c r="Z203" s="191"/>
      <x:c r="AA203" s="191"/>
      <x:c r="AB203" s="191"/>
      <x:c r="AC203" s="191"/>
      <x:c r="AD203" s="191"/>
      <x:c r="AE203" s="191"/>
      <x:c r="AF203" s="191"/>
      <x:c r="AG203" s="191"/>
      <x:c r="AH203" s="191"/>
      <x:c r="AI203" s="191"/>
      <x:c r="AJ203" s="191"/>
      <x:c r="AK203" s="191"/>
    </x:row>
    <x:row r="204">
      <x:c r="A204" s="191"/>
      <x:c r="B204" s="191"/>
      <x:c r="C204" s="191"/>
      <x:c r="D204" s="191"/>
      <x:c r="E204" s="191"/>
      <x:c r="F204" s="191"/>
      <x:c r="G204" s="191"/>
      <x:c r="H204" s="191"/>
      <x:c r="I204" s="191"/>
      <x:c r="J204" s="191"/>
      <x:c r="K204" s="191"/>
      <x:c r="L204" s="191"/>
      <x:c r="M204" s="191"/>
      <x:c r="N204" s="191"/>
      <x:c r="O204" s="191"/>
      <x:c r="P204" s="191"/>
      <x:c r="Q204" s="191"/>
      <x:c r="R204" s="191"/>
      <x:c r="S204" s="191"/>
      <x:c r="T204" s="191"/>
      <x:c r="U204" s="191"/>
      <x:c r="V204" s="191"/>
      <x:c r="W204" s="191"/>
      <x:c r="X204" s="191"/>
      <x:c r="Y204" s="191"/>
      <x:c r="Z204" s="191"/>
      <x:c r="AA204" s="191"/>
      <x:c r="AB204" s="191"/>
      <x:c r="AC204" s="191"/>
      <x:c r="AD204" s="191"/>
      <x:c r="AE204" s="191"/>
      <x:c r="AF204" s="191"/>
      <x:c r="AG204" s="191"/>
      <x:c r="AH204" s="191"/>
      <x:c r="AI204" s="191"/>
      <x:c r="AJ204" s="191"/>
      <x:c r="AK204" s="191"/>
    </x:row>
    <x:row r="205">
      <x:c r="A205" s="191"/>
      <x:c r="B205" s="191"/>
      <x:c r="C205" s="191"/>
      <x:c r="D205" s="191"/>
      <x:c r="E205" s="191"/>
      <x:c r="F205" s="191"/>
      <x:c r="G205" s="191"/>
      <x:c r="H205" s="191"/>
      <x:c r="I205" s="191"/>
      <x:c r="J205" s="191"/>
      <x:c r="K205" s="191"/>
      <x:c r="L205" s="191"/>
      <x:c r="M205" s="191"/>
      <x:c r="N205" s="191"/>
      <x:c r="O205" s="191"/>
      <x:c r="P205" s="191"/>
      <x:c r="Q205" s="191"/>
      <x:c r="R205" s="191"/>
      <x:c r="S205" s="191"/>
      <x:c r="T205" s="191"/>
      <x:c r="U205" s="191"/>
      <x:c r="V205" s="191"/>
      <x:c r="W205" s="191"/>
      <x:c r="X205" s="191"/>
      <x:c r="Y205" s="191"/>
      <x:c r="Z205" s="191"/>
      <x:c r="AA205" s="191"/>
      <x:c r="AB205" s="191"/>
      <x:c r="AC205" s="191"/>
      <x:c r="AD205" s="191"/>
      <x:c r="AE205" s="191"/>
      <x:c r="AF205" s="191"/>
      <x:c r="AG205" s="191"/>
      <x:c r="AH205" s="191"/>
      <x:c r="AI205" s="191"/>
      <x:c r="AJ205" s="191"/>
      <x:c r="AK205" s="191"/>
    </x:row>
    <x:row r="206">
      <x:c r="A206" s="191"/>
      <x:c r="B206" s="191"/>
      <x:c r="C206" s="191"/>
      <x:c r="D206" s="191"/>
      <x:c r="E206" s="191"/>
      <x:c r="F206" s="191"/>
      <x:c r="G206" s="191"/>
      <x:c r="H206" s="191"/>
      <x:c r="I206" s="191"/>
      <x:c r="J206" s="191"/>
      <x:c r="K206" s="191"/>
      <x:c r="L206" s="191"/>
      <x:c r="M206" s="191"/>
      <x:c r="N206" s="191"/>
      <x:c r="O206" s="191"/>
      <x:c r="P206" s="191"/>
      <x:c r="Q206" s="191"/>
      <x:c r="R206" s="191"/>
      <x:c r="S206" s="191"/>
      <x:c r="T206" s="191"/>
      <x:c r="U206" s="191"/>
      <x:c r="V206" s="191"/>
      <x:c r="W206" s="191"/>
      <x:c r="X206" s="191"/>
      <x:c r="Y206" s="191"/>
      <x:c r="Z206" s="191"/>
      <x:c r="AA206" s="191"/>
      <x:c r="AB206" s="191"/>
      <x:c r="AC206" s="191"/>
      <x:c r="AD206" s="191"/>
      <x:c r="AE206" s="191"/>
      <x:c r="AF206" s="191"/>
      <x:c r="AG206" s="191"/>
      <x:c r="AH206" s="191"/>
      <x:c r="AI206" s="191"/>
      <x:c r="AJ206" s="191"/>
      <x:c r="AK206" s="191"/>
    </x:row>
    <x:row r="207">
      <x:c r="A207" s="191"/>
      <x:c r="B207" s="191"/>
      <x:c r="C207" s="191"/>
      <x:c r="D207" s="191"/>
      <x:c r="E207" s="191"/>
      <x:c r="F207" s="191"/>
      <x:c r="G207" s="191"/>
      <x:c r="H207" s="191"/>
      <x:c r="I207" s="191"/>
      <x:c r="J207" s="191"/>
      <x:c r="K207" s="191"/>
      <x:c r="L207" s="191"/>
      <x:c r="M207" s="191"/>
      <x:c r="N207" s="191"/>
      <x:c r="O207" s="191"/>
      <x:c r="P207" s="191"/>
      <x:c r="Q207" s="191"/>
      <x:c r="R207" s="191"/>
      <x:c r="S207" s="191"/>
      <x:c r="T207" s="191"/>
      <x:c r="U207" s="191"/>
      <x:c r="V207" s="191"/>
      <x:c r="W207" s="191"/>
      <x:c r="X207" s="191"/>
      <x:c r="Y207" s="191"/>
      <x:c r="Z207" s="191"/>
      <x:c r="AA207" s="191"/>
      <x:c r="AB207" s="191"/>
      <x:c r="AC207" s="191"/>
      <x:c r="AD207" s="191"/>
      <x:c r="AE207" s="191"/>
      <x:c r="AF207" s="191"/>
      <x:c r="AG207" s="191"/>
      <x:c r="AH207" s="191"/>
      <x:c r="AI207" s="191"/>
      <x:c r="AJ207" s="191"/>
      <x:c r="AK207" s="191"/>
    </x:row>
    <x:row r="208">
      <x:c r="A208" s="191"/>
      <x:c r="B208" s="191"/>
      <x:c r="C208" s="191"/>
      <x:c r="D208" s="191"/>
      <x:c r="E208" s="191"/>
      <x:c r="F208" s="191"/>
      <x:c r="G208" s="191"/>
      <x:c r="H208" s="191"/>
      <x:c r="I208" s="191"/>
      <x:c r="J208" s="191"/>
      <x:c r="K208" s="191"/>
      <x:c r="L208" s="191"/>
      <x:c r="M208" s="191"/>
      <x:c r="N208" s="191"/>
      <x:c r="O208" s="191"/>
      <x:c r="P208" s="191"/>
      <x:c r="Q208" s="191"/>
      <x:c r="R208" s="191"/>
      <x:c r="S208" s="191"/>
      <x:c r="T208" s="191"/>
      <x:c r="U208" s="191"/>
      <x:c r="V208" s="191"/>
      <x:c r="W208" s="191"/>
      <x:c r="X208" s="191"/>
      <x:c r="Y208" s="191"/>
      <x:c r="Z208" s="191"/>
      <x:c r="AA208" s="191"/>
      <x:c r="AB208" s="191"/>
      <x:c r="AC208" s="191"/>
      <x:c r="AD208" s="191"/>
      <x:c r="AE208" s="191"/>
      <x:c r="AF208" s="191"/>
      <x:c r="AG208" s="191"/>
      <x:c r="AH208" s="191"/>
      <x:c r="AI208" s="191"/>
      <x:c r="AJ208" s="191"/>
      <x:c r="AK208" s="191"/>
    </x:row>
    <x:row r="209">
      <x:c r="A209" s="191"/>
      <x:c r="B209" s="191"/>
      <x:c r="C209" s="191"/>
      <x:c r="D209" s="191"/>
      <x:c r="E209" s="191"/>
      <x:c r="F209" s="191"/>
      <x:c r="G209" s="191"/>
      <x:c r="H209" s="191"/>
      <x:c r="I209" s="191"/>
      <x:c r="J209" s="191"/>
      <x:c r="K209" s="191"/>
      <x:c r="L209" s="191"/>
      <x:c r="M209" s="191"/>
      <x:c r="N209" s="191"/>
      <x:c r="O209" s="191"/>
      <x:c r="P209" s="191"/>
      <x:c r="Q209" s="191"/>
      <x:c r="R209" s="191"/>
      <x:c r="S209" s="191"/>
      <x:c r="T209" s="191"/>
      <x:c r="U209" s="191"/>
      <x:c r="V209" s="191"/>
      <x:c r="W209" s="191"/>
      <x:c r="X209" s="191"/>
      <x:c r="Y209" s="191"/>
      <x:c r="Z209" s="191"/>
      <x:c r="AA209" s="191"/>
      <x:c r="AB209" s="191"/>
      <x:c r="AC209" s="191"/>
      <x:c r="AD209" s="191"/>
      <x:c r="AE209" s="191"/>
      <x:c r="AF209" s="191"/>
      <x:c r="AG209" s="191"/>
      <x:c r="AH209" s="191"/>
      <x:c r="AI209" s="191"/>
      <x:c r="AJ209" s="191"/>
      <x:c r="AK209" s="191"/>
    </x:row>
    <x:row r="210">
      <x:c r="A210" s="191"/>
      <x:c r="B210" s="191"/>
      <x:c r="C210" s="191"/>
      <x:c r="D210" s="191"/>
      <x:c r="E210" s="191"/>
      <x:c r="F210" s="191"/>
      <x:c r="G210" s="191"/>
      <x:c r="H210" s="191"/>
      <x:c r="I210" s="191"/>
      <x:c r="J210" s="191"/>
      <x:c r="K210" s="191"/>
      <x:c r="L210" s="191"/>
      <x:c r="M210" s="191"/>
      <x:c r="N210" s="191"/>
      <x:c r="O210" s="191"/>
      <x:c r="P210" s="191"/>
      <x:c r="Q210" s="191"/>
      <x:c r="R210" s="191"/>
      <x:c r="S210" s="191"/>
      <x:c r="T210" s="191"/>
      <x:c r="U210" s="191"/>
      <x:c r="V210" s="191"/>
      <x:c r="W210" s="191"/>
      <x:c r="X210" s="191"/>
      <x:c r="Y210" s="191"/>
      <x:c r="Z210" s="191"/>
      <x:c r="AA210" s="191"/>
      <x:c r="AB210" s="191"/>
      <x:c r="AC210" s="191"/>
      <x:c r="AD210" s="191"/>
      <x:c r="AE210" s="191"/>
      <x:c r="AF210" s="191"/>
      <x:c r="AG210" s="191"/>
      <x:c r="AH210" s="191"/>
      <x:c r="AI210" s="191"/>
      <x:c r="AJ210" s="191"/>
      <x:c r="AK210" s="191"/>
    </x:row>
    <x:row r="211">
      <x:c r="A211" s="191"/>
      <x:c r="B211" s="191"/>
      <x:c r="C211" s="191"/>
      <x:c r="D211" s="191"/>
      <x:c r="E211" s="191"/>
      <x:c r="F211" s="191"/>
      <x:c r="G211" s="191"/>
      <x:c r="H211" s="191"/>
      <x:c r="I211" s="191"/>
      <x:c r="J211" s="191"/>
      <x:c r="K211" s="191"/>
      <x:c r="L211" s="191"/>
      <x:c r="M211" s="191"/>
      <x:c r="N211" s="191"/>
      <x:c r="O211" s="191"/>
      <x:c r="P211" s="191"/>
      <x:c r="Q211" s="191"/>
      <x:c r="R211" s="191"/>
      <x:c r="S211" s="191"/>
      <x:c r="T211" s="191"/>
      <x:c r="U211" s="191"/>
      <x:c r="V211" s="191"/>
      <x:c r="W211" s="191"/>
      <x:c r="X211" s="191"/>
      <x:c r="Y211" s="191"/>
      <x:c r="Z211" s="191"/>
      <x:c r="AA211" s="191"/>
      <x:c r="AB211" s="191"/>
      <x:c r="AC211" s="191"/>
      <x:c r="AD211" s="191"/>
      <x:c r="AE211" s="191"/>
      <x:c r="AF211" s="191"/>
      <x:c r="AG211" s="191"/>
      <x:c r="AH211" s="191"/>
      <x:c r="AI211" s="191"/>
      <x:c r="AJ211" s="191"/>
      <x:c r="AK211" s="191"/>
    </x:row>
    <x:row r="212">
      <x:c r="A212" s="191"/>
      <x:c r="B212" s="191"/>
      <x:c r="C212" s="191"/>
      <x:c r="D212" s="191"/>
      <x:c r="E212" s="191"/>
      <x:c r="F212" s="191"/>
      <x:c r="G212" s="191"/>
      <x:c r="H212" s="191"/>
      <x:c r="I212" s="191"/>
      <x:c r="J212" s="191"/>
      <x:c r="K212" s="191"/>
      <x:c r="L212" s="191"/>
      <x:c r="M212" s="191"/>
      <x:c r="N212" s="191"/>
      <x:c r="O212" s="191"/>
      <x:c r="P212" s="191"/>
      <x:c r="Q212" s="191"/>
      <x:c r="R212" s="191"/>
      <x:c r="S212" s="191"/>
      <x:c r="T212" s="191"/>
      <x:c r="U212" s="191"/>
      <x:c r="V212" s="191"/>
      <x:c r="W212" s="191"/>
      <x:c r="X212" s="191"/>
      <x:c r="Y212" s="191"/>
      <x:c r="Z212" s="191"/>
      <x:c r="AA212" s="191"/>
      <x:c r="AB212" s="191"/>
      <x:c r="AC212" s="191"/>
      <x:c r="AD212" s="191"/>
      <x:c r="AE212" s="191"/>
      <x:c r="AF212" s="191"/>
      <x:c r="AG212" s="191"/>
      <x:c r="AH212" s="191"/>
      <x:c r="AI212" s="191"/>
      <x:c r="AJ212" s="191"/>
      <x:c r="AK212" s="191"/>
    </x:row>
    <x:row r="213">
      <x:c r="A213" s="191"/>
      <x:c r="B213" s="191"/>
      <x:c r="C213" s="191"/>
      <x:c r="D213" s="191"/>
      <x:c r="E213" s="191"/>
      <x:c r="F213" s="191"/>
      <x:c r="G213" s="191"/>
      <x:c r="H213" s="191"/>
      <x:c r="I213" s="191"/>
      <x:c r="J213" s="191"/>
      <x:c r="K213" s="191"/>
      <x:c r="L213" s="191"/>
      <x:c r="M213" s="191"/>
      <x:c r="N213" s="191"/>
      <x:c r="O213" s="191"/>
      <x:c r="P213" s="191"/>
      <x:c r="Q213" s="191"/>
      <x:c r="R213" s="191"/>
      <x:c r="S213" s="191"/>
      <x:c r="T213" s="191"/>
      <x:c r="U213" s="191"/>
      <x:c r="V213" s="191"/>
      <x:c r="W213" s="191"/>
      <x:c r="X213" s="191"/>
      <x:c r="Y213" s="191"/>
      <x:c r="Z213" s="191"/>
      <x:c r="AA213" s="191"/>
      <x:c r="AB213" s="191"/>
      <x:c r="AC213" s="191"/>
      <x:c r="AD213" s="191"/>
      <x:c r="AE213" s="191"/>
      <x:c r="AF213" s="191"/>
      <x:c r="AG213" s="191"/>
      <x:c r="AH213" s="191"/>
      <x:c r="AI213" s="191"/>
      <x:c r="AJ213" s="191"/>
      <x:c r="AK213" s="191"/>
    </x:row>
    <x:row r="214">
      <x:c r="A214" s="191"/>
      <x:c r="B214" s="191"/>
      <x:c r="C214" s="191"/>
      <x:c r="D214" s="191"/>
      <x:c r="E214" s="191"/>
      <x:c r="F214" s="191"/>
      <x:c r="G214" s="191"/>
      <x:c r="H214" s="191"/>
      <x:c r="I214" s="191"/>
      <x:c r="J214" s="191"/>
      <x:c r="K214" s="191"/>
      <x:c r="L214" s="191"/>
      <x:c r="M214" s="191"/>
      <x:c r="N214" s="191"/>
      <x:c r="O214" s="191"/>
      <x:c r="P214" s="191"/>
      <x:c r="Q214" s="191"/>
      <x:c r="R214" s="191"/>
      <x:c r="S214" s="191"/>
      <x:c r="T214" s="191"/>
      <x:c r="U214" s="191"/>
      <x:c r="V214" s="191"/>
      <x:c r="W214" s="191"/>
      <x:c r="X214" s="191"/>
      <x:c r="Y214" s="191"/>
      <x:c r="Z214" s="191"/>
      <x:c r="AA214" s="191"/>
      <x:c r="AB214" s="191"/>
      <x:c r="AC214" s="191"/>
      <x:c r="AD214" s="191"/>
      <x:c r="AE214" s="191"/>
      <x:c r="AF214" s="191"/>
      <x:c r="AG214" s="191"/>
      <x:c r="AH214" s="191"/>
      <x:c r="AI214" s="191"/>
      <x:c r="AJ214" s="191"/>
      <x:c r="AK214" s="191"/>
    </x:row>
    <x:row r="215">
      <x:c r="A215" s="191"/>
      <x:c r="B215" s="191"/>
      <x:c r="C215" s="191"/>
      <x:c r="D215" s="191"/>
      <x:c r="E215" s="191"/>
      <x:c r="F215" s="191"/>
      <x:c r="G215" s="191"/>
      <x:c r="H215" s="191"/>
      <x:c r="I215" s="191"/>
      <x:c r="J215" s="191"/>
      <x:c r="K215" s="191"/>
      <x:c r="L215" s="191"/>
      <x:c r="M215" s="191"/>
      <x:c r="N215" s="191"/>
      <x:c r="O215" s="191"/>
      <x:c r="P215" s="191"/>
      <x:c r="Q215" s="191"/>
      <x:c r="R215" s="191"/>
      <x:c r="S215" s="191"/>
      <x:c r="T215" s="191"/>
      <x:c r="U215" s="191"/>
      <x:c r="V215" s="191"/>
      <x:c r="W215" s="191"/>
      <x:c r="X215" s="191"/>
      <x:c r="Y215" s="191"/>
      <x:c r="Z215" s="191"/>
      <x:c r="AA215" s="191"/>
      <x:c r="AB215" s="191"/>
      <x:c r="AC215" s="191"/>
      <x:c r="AD215" s="191"/>
      <x:c r="AE215" s="191"/>
      <x:c r="AF215" s="191"/>
      <x:c r="AG215" s="191"/>
      <x:c r="AH215" s="191"/>
      <x:c r="AI215" s="191"/>
      <x:c r="AJ215" s="191"/>
      <x:c r="AK215" s="191"/>
    </x:row>
    <x:row r="216">
      <x:c r="A216" s="191"/>
      <x:c r="B216" s="191"/>
      <x:c r="C216" s="191"/>
      <x:c r="D216" s="191"/>
      <x:c r="E216" s="191"/>
      <x:c r="F216" s="191"/>
      <x:c r="G216" s="191"/>
      <x:c r="H216" s="191"/>
      <x:c r="I216" s="191"/>
      <x:c r="J216" s="191"/>
      <x:c r="K216" s="191"/>
      <x:c r="L216" s="191"/>
      <x:c r="M216" s="191"/>
      <x:c r="N216" s="191"/>
      <x:c r="O216" s="191"/>
      <x:c r="P216" s="191"/>
      <x:c r="Q216" s="191"/>
      <x:c r="R216" s="191"/>
      <x:c r="S216" s="191"/>
      <x:c r="T216" s="191"/>
      <x:c r="U216" s="191"/>
      <x:c r="V216" s="191"/>
      <x:c r="W216" s="191"/>
      <x:c r="X216" s="191"/>
      <x:c r="Y216" s="191"/>
      <x:c r="Z216" s="191"/>
      <x:c r="AA216" s="191"/>
      <x:c r="AB216" s="191"/>
      <x:c r="AC216" s="191"/>
      <x:c r="AD216" s="191"/>
      <x:c r="AE216" s="191"/>
      <x:c r="AF216" s="191"/>
      <x:c r="AG216" s="191"/>
      <x:c r="AH216" s="191"/>
      <x:c r="AI216" s="191"/>
      <x:c r="AJ216" s="191"/>
      <x:c r="AK216" s="191"/>
    </x:row>
    <x:row r="217">
      <x:c r="A217" s="191"/>
      <x:c r="B217" s="191"/>
      <x:c r="C217" s="191"/>
      <x:c r="D217" s="191"/>
      <x:c r="E217" s="191"/>
      <x:c r="F217" s="191"/>
      <x:c r="G217" s="191"/>
      <x:c r="H217" s="191"/>
      <x:c r="I217" s="191"/>
      <x:c r="J217" s="191"/>
      <x:c r="K217" s="191"/>
      <x:c r="L217" s="191"/>
      <x:c r="M217" s="191"/>
      <x:c r="N217" s="191"/>
      <x:c r="O217" s="191"/>
      <x:c r="P217" s="191"/>
      <x:c r="Q217" s="191"/>
      <x:c r="R217" s="191"/>
      <x:c r="S217" s="191"/>
      <x:c r="T217" s="191"/>
      <x:c r="U217" s="191"/>
      <x:c r="V217" s="191"/>
      <x:c r="W217" s="191"/>
      <x:c r="X217" s="191"/>
      <x:c r="Y217" s="191"/>
      <x:c r="Z217" s="191"/>
      <x:c r="AA217" s="191"/>
      <x:c r="AB217" s="191"/>
      <x:c r="AC217" s="191"/>
      <x:c r="AD217" s="191"/>
      <x:c r="AE217" s="191"/>
      <x:c r="AF217" s="191"/>
      <x:c r="AG217" s="191"/>
      <x:c r="AH217" s="191"/>
      <x:c r="AI217" s="191"/>
      <x:c r="AJ217" s="191"/>
      <x:c r="AK217" s="191"/>
    </x:row>
    <x:row r="218">
      <x:c r="A218" s="191"/>
      <x:c r="B218" s="191"/>
      <x:c r="C218" s="191"/>
      <x:c r="D218" s="191"/>
      <x:c r="E218" s="191"/>
      <x:c r="F218" s="191"/>
      <x:c r="G218" s="191"/>
      <x:c r="H218" s="191"/>
      <x:c r="I218" s="191"/>
      <x:c r="J218" s="191"/>
      <x:c r="K218" s="191"/>
      <x:c r="L218" s="191"/>
      <x:c r="M218" s="191"/>
      <x:c r="N218" s="191"/>
      <x:c r="O218" s="191"/>
      <x:c r="P218" s="191"/>
      <x:c r="Q218" s="191"/>
      <x:c r="R218" s="191"/>
      <x:c r="S218" s="191"/>
      <x:c r="T218" s="191"/>
      <x:c r="U218" s="191"/>
      <x:c r="V218" s="191"/>
      <x:c r="W218" s="191"/>
      <x:c r="X218" s="191"/>
      <x:c r="Y218" s="191"/>
      <x:c r="Z218" s="191"/>
      <x:c r="AA218" s="191"/>
      <x:c r="AB218" s="191"/>
      <x:c r="AC218" s="191"/>
      <x:c r="AD218" s="191"/>
      <x:c r="AE218" s="191"/>
      <x:c r="AF218" s="191"/>
      <x:c r="AG218" s="191"/>
      <x:c r="AH218" s="191"/>
      <x:c r="AI218" s="191"/>
      <x:c r="AJ218" s="191"/>
      <x:c r="AK218" s="191"/>
    </x:row>
    <x:row r="219">
      <x:c r="A219" s="191"/>
      <x:c r="B219" s="191"/>
      <x:c r="C219" s="191"/>
      <x:c r="D219" s="191"/>
      <x:c r="E219" s="191"/>
      <x:c r="F219" s="191"/>
      <x:c r="G219" s="191"/>
      <x:c r="H219" s="191"/>
      <x:c r="I219" s="191"/>
      <x:c r="J219" s="191"/>
      <x:c r="K219" s="191"/>
      <x:c r="L219" s="191"/>
      <x:c r="M219" s="191"/>
      <x:c r="N219" s="191"/>
      <x:c r="O219" s="191"/>
      <x:c r="P219" s="191"/>
      <x:c r="Q219" s="191"/>
      <x:c r="R219" s="191"/>
      <x:c r="S219" s="191"/>
      <x:c r="T219" s="191"/>
      <x:c r="U219" s="191"/>
      <x:c r="V219" s="191"/>
      <x:c r="W219" s="191"/>
      <x:c r="X219" s="191"/>
      <x:c r="Y219" s="191"/>
      <x:c r="Z219" s="191"/>
      <x:c r="AA219" s="191"/>
      <x:c r="AB219" s="191"/>
      <x:c r="AC219" s="191"/>
      <x:c r="AD219" s="191"/>
      <x:c r="AE219" s="191"/>
      <x:c r="AF219" s="191"/>
      <x:c r="AG219" s="191"/>
      <x:c r="AH219" s="191"/>
      <x:c r="AI219" s="191"/>
      <x:c r="AJ219" s="191"/>
      <x:c r="AK219" s="191"/>
    </x:row>
    <x:row r="220">
      <x:c r="A220" s="191"/>
      <x:c r="B220" s="191"/>
      <x:c r="C220" s="191"/>
      <x:c r="D220" s="191"/>
      <x:c r="E220" s="191"/>
      <x:c r="F220" s="191"/>
      <x:c r="G220" s="191"/>
      <x:c r="H220" s="191"/>
      <x:c r="I220" s="191"/>
      <x:c r="J220" s="191"/>
      <x:c r="K220" s="191"/>
      <x:c r="L220" s="191"/>
      <x:c r="M220" s="191"/>
      <x:c r="N220" s="191"/>
      <x:c r="O220" s="191"/>
      <x:c r="P220" s="191"/>
      <x:c r="Q220" s="191"/>
      <x:c r="R220" s="191"/>
      <x:c r="S220" s="191"/>
      <x:c r="T220" s="191"/>
      <x:c r="U220" s="191"/>
      <x:c r="V220" s="191"/>
      <x:c r="W220" s="191"/>
      <x:c r="X220" s="191"/>
      <x:c r="Y220" s="191"/>
      <x:c r="Z220" s="191"/>
      <x:c r="AA220" s="191"/>
      <x:c r="AB220" s="191"/>
      <x:c r="AC220" s="191"/>
      <x:c r="AD220" s="191"/>
      <x:c r="AE220" s="191"/>
      <x:c r="AF220" s="191"/>
      <x:c r="AG220" s="191"/>
      <x:c r="AH220" s="191"/>
      <x:c r="AI220" s="191"/>
      <x:c r="AJ220" s="191"/>
      <x:c r="AK220" s="191"/>
    </x:row>
    <x:row r="221">
      <x:c r="A221" s="191"/>
      <x:c r="B221" s="191"/>
      <x:c r="C221" s="191"/>
      <x:c r="D221" s="191"/>
      <x:c r="E221" s="191"/>
      <x:c r="F221" s="191"/>
      <x:c r="G221" s="191"/>
      <x:c r="H221" s="191"/>
      <x:c r="I221" s="191"/>
      <x:c r="J221" s="191"/>
      <x:c r="K221" s="191"/>
      <x:c r="L221" s="191"/>
      <x:c r="M221" s="191"/>
      <x:c r="N221" s="191"/>
      <x:c r="O221" s="191"/>
      <x:c r="P221" s="191"/>
      <x:c r="Q221" s="191"/>
      <x:c r="R221" s="191"/>
      <x:c r="S221" s="191"/>
      <x:c r="T221" s="191"/>
      <x:c r="U221" s="191"/>
      <x:c r="V221" s="191"/>
      <x:c r="W221" s="191"/>
      <x:c r="X221" s="191"/>
      <x:c r="Y221" s="191"/>
      <x:c r="Z221" s="191"/>
      <x:c r="AA221" s="191"/>
      <x:c r="AB221" s="191"/>
      <x:c r="AC221" s="191"/>
      <x:c r="AD221" s="191"/>
      <x:c r="AE221" s="191"/>
      <x:c r="AF221" s="191"/>
      <x:c r="AG221" s="191"/>
      <x:c r="AH221" s="191"/>
      <x:c r="AI221" s="191"/>
      <x:c r="AJ221" s="191"/>
      <x:c r="AK221" s="191"/>
    </x:row>
    <x:row r="222">
      <x:c r="A222" s="191"/>
      <x:c r="B222" s="191"/>
      <x:c r="C222" s="191"/>
      <x:c r="D222" s="191"/>
      <x:c r="E222" s="191"/>
      <x:c r="F222" s="191"/>
      <x:c r="G222" s="191"/>
      <x:c r="H222" s="191"/>
      <x:c r="I222" s="191"/>
      <x:c r="J222" s="191"/>
      <x:c r="K222" s="191"/>
      <x:c r="L222" s="191"/>
      <x:c r="M222" s="191"/>
      <x:c r="N222" s="191"/>
      <x:c r="O222" s="191"/>
      <x:c r="P222" s="191"/>
      <x:c r="Q222" s="191"/>
      <x:c r="R222" s="191"/>
      <x:c r="S222" s="191"/>
      <x:c r="T222" s="191"/>
      <x:c r="U222" s="191"/>
      <x:c r="V222" s="191"/>
      <x:c r="W222" s="191"/>
      <x:c r="X222" s="191"/>
      <x:c r="Y222" s="191"/>
      <x:c r="Z222" s="191"/>
      <x:c r="AA222" s="191"/>
      <x:c r="AB222" s="191"/>
      <x:c r="AC222" s="191"/>
      <x:c r="AD222" s="191"/>
      <x:c r="AE222" s="191"/>
      <x:c r="AF222" s="191"/>
      <x:c r="AG222" s="191"/>
      <x:c r="AH222" s="191"/>
      <x:c r="AI222" s="191"/>
      <x:c r="AJ222" s="191"/>
      <x:c r="AK222" s="191"/>
    </x:row>
    <x:row r="223">
      <x:c r="A223" s="191"/>
      <x:c r="B223" s="191"/>
      <x:c r="C223" s="191"/>
      <x:c r="D223" s="191"/>
      <x:c r="E223" s="191"/>
      <x:c r="F223" s="191"/>
      <x:c r="G223" s="191"/>
      <x:c r="H223" s="191"/>
      <x:c r="I223" s="191"/>
      <x:c r="J223" s="191"/>
      <x:c r="K223" s="191"/>
      <x:c r="L223" s="191"/>
      <x:c r="M223" s="191"/>
      <x:c r="N223" s="191"/>
      <x:c r="O223" s="191"/>
      <x:c r="P223" s="191"/>
      <x:c r="Q223" s="191"/>
      <x:c r="R223" s="191"/>
      <x:c r="S223" s="191"/>
      <x:c r="T223" s="191"/>
      <x:c r="U223" s="191"/>
      <x:c r="V223" s="191"/>
      <x:c r="W223" s="191"/>
      <x:c r="X223" s="191"/>
      <x:c r="Y223" s="191"/>
      <x:c r="Z223" s="191"/>
      <x:c r="AA223" s="191"/>
      <x:c r="AB223" s="191"/>
      <x:c r="AC223" s="191"/>
      <x:c r="AD223" s="191"/>
      <x:c r="AE223" s="191"/>
      <x:c r="AF223" s="191"/>
      <x:c r="AG223" s="191"/>
      <x:c r="AH223" s="191"/>
      <x:c r="AI223" s="191"/>
      <x:c r="AJ223" s="191"/>
      <x:c r="AK223" s="191"/>
    </x:row>
    <x:row r="224">
      <x:c r="A224" s="191"/>
      <x:c r="B224" s="191"/>
      <x:c r="C224" s="191"/>
      <x:c r="D224" s="191"/>
      <x:c r="E224" s="191"/>
      <x:c r="F224" s="191"/>
      <x:c r="G224" s="191"/>
      <x:c r="H224" s="191"/>
      <x:c r="I224" s="191"/>
      <x:c r="J224" s="191"/>
      <x:c r="K224" s="191"/>
      <x:c r="L224" s="191"/>
      <x:c r="M224" s="191"/>
      <x:c r="N224" s="191"/>
      <x:c r="O224" s="191"/>
      <x:c r="P224" s="191"/>
      <x:c r="Q224" s="191"/>
      <x:c r="R224" s="191"/>
      <x:c r="S224" s="191"/>
      <x:c r="T224" s="191"/>
      <x:c r="U224" s="191"/>
      <x:c r="V224" s="191"/>
      <x:c r="W224" s="191"/>
      <x:c r="X224" s="191"/>
      <x:c r="Y224" s="191"/>
      <x:c r="Z224" s="191"/>
      <x:c r="AA224" s="191"/>
      <x:c r="AB224" s="191"/>
      <x:c r="AC224" s="191"/>
      <x:c r="AD224" s="191"/>
      <x:c r="AE224" s="191"/>
      <x:c r="AF224" s="191"/>
      <x:c r="AG224" s="191"/>
      <x:c r="AH224" s="191"/>
      <x:c r="AI224" s="191"/>
      <x:c r="AJ224" s="191"/>
      <x:c r="AK224" s="191"/>
    </x:row>
    <x:row r="225">
      <x:c r="A225" s="191"/>
      <x:c r="B225" s="191"/>
      <x:c r="C225" s="191"/>
      <x:c r="D225" s="191"/>
      <x:c r="E225" s="191"/>
      <x:c r="F225" s="191"/>
      <x:c r="G225" s="191"/>
      <x:c r="H225" s="191"/>
      <x:c r="I225" s="191"/>
      <x:c r="J225" s="191"/>
      <x:c r="K225" s="191"/>
      <x:c r="L225" s="191"/>
      <x:c r="M225" s="191"/>
      <x:c r="N225" s="191"/>
      <x:c r="O225" s="191"/>
      <x:c r="P225" s="191"/>
      <x:c r="Q225" s="191"/>
      <x:c r="R225" s="191"/>
      <x:c r="S225" s="191"/>
      <x:c r="T225" s="191"/>
      <x:c r="U225" s="191"/>
      <x:c r="V225" s="191"/>
      <x:c r="W225" s="191"/>
      <x:c r="X225" s="191"/>
      <x:c r="Y225" s="191"/>
      <x:c r="Z225" s="191"/>
      <x:c r="AA225" s="191"/>
      <x:c r="AB225" s="191"/>
      <x:c r="AC225" s="191"/>
      <x:c r="AD225" s="191"/>
      <x:c r="AE225" s="191"/>
      <x:c r="AF225" s="191"/>
      <x:c r="AG225" s="191"/>
      <x:c r="AH225" s="191"/>
      <x:c r="AI225" s="191"/>
      <x:c r="AJ225" s="191"/>
      <x:c r="AK225" s="191"/>
    </x:row>
    <x:row r="226">
      <x:c r="A226" s="191"/>
      <x:c r="B226" s="191"/>
      <x:c r="C226" s="191"/>
      <x:c r="D226" s="191"/>
      <x:c r="E226" s="191"/>
      <x:c r="F226" s="191"/>
      <x:c r="G226" s="191"/>
      <x:c r="H226" s="191"/>
      <x:c r="I226" s="191"/>
      <x:c r="J226" s="191"/>
      <x:c r="K226" s="191"/>
      <x:c r="L226" s="191"/>
      <x:c r="M226" s="191"/>
      <x:c r="N226" s="191"/>
      <x:c r="O226" s="191"/>
      <x:c r="P226" s="191"/>
      <x:c r="Q226" s="191"/>
      <x:c r="R226" s="191"/>
      <x:c r="S226" s="191"/>
      <x:c r="T226" s="191"/>
      <x:c r="U226" s="191"/>
      <x:c r="V226" s="191"/>
      <x:c r="W226" s="191"/>
      <x:c r="X226" s="191"/>
      <x:c r="Y226" s="191"/>
      <x:c r="Z226" s="191"/>
      <x:c r="AA226" s="191"/>
      <x:c r="AB226" s="191"/>
      <x:c r="AC226" s="191"/>
      <x:c r="AD226" s="191"/>
      <x:c r="AE226" s="191"/>
      <x:c r="AF226" s="191"/>
      <x:c r="AG226" s="191"/>
      <x:c r="AH226" s="191"/>
      <x:c r="AI226" s="191"/>
      <x:c r="AJ226" s="191"/>
      <x:c r="AK226" s="191"/>
    </x:row>
    <x:row r="227">
      <x:c r="A227" s="191"/>
      <x:c r="B227" s="191"/>
      <x:c r="C227" s="191"/>
      <x:c r="D227" s="191"/>
      <x:c r="E227" s="191"/>
      <x:c r="F227" s="191"/>
      <x:c r="G227" s="191"/>
      <x:c r="H227" s="191"/>
      <x:c r="I227" s="191"/>
      <x:c r="J227" s="191"/>
      <x:c r="K227" s="191"/>
      <x:c r="L227" s="191"/>
      <x:c r="M227" s="191"/>
      <x:c r="N227" s="191"/>
      <x:c r="O227" s="191"/>
      <x:c r="P227" s="191"/>
      <x:c r="Q227" s="191"/>
      <x:c r="R227" s="191"/>
      <x:c r="S227" s="191"/>
      <x:c r="T227" s="191"/>
      <x:c r="U227" s="191"/>
      <x:c r="V227" s="191"/>
      <x:c r="W227" s="191"/>
      <x:c r="X227" s="191"/>
      <x:c r="Y227" s="191"/>
      <x:c r="Z227" s="191"/>
      <x:c r="AA227" s="191"/>
      <x:c r="AB227" s="191"/>
      <x:c r="AC227" s="191"/>
      <x:c r="AD227" s="191"/>
      <x:c r="AE227" s="191"/>
      <x:c r="AF227" s="191"/>
      <x:c r="AG227" s="191"/>
      <x:c r="AH227" s="191"/>
      <x:c r="AI227" s="191"/>
      <x:c r="AJ227" s="191"/>
      <x:c r="AK227" s="191"/>
    </x:row>
    <x:row r="228">
      <x:c r="A228" s="191"/>
      <x:c r="B228" s="191"/>
      <x:c r="C228" s="191"/>
      <x:c r="D228" s="191"/>
      <x:c r="E228" s="191"/>
      <x:c r="F228" s="191"/>
      <x:c r="G228" s="191"/>
      <x:c r="H228" s="191"/>
      <x:c r="I228" s="191"/>
      <x:c r="J228" s="191"/>
      <x:c r="K228" s="191"/>
      <x:c r="L228" s="191"/>
      <x:c r="M228" s="191"/>
      <x:c r="N228" s="191"/>
      <x:c r="O228" s="191"/>
      <x:c r="P228" s="191"/>
      <x:c r="Q228" s="191"/>
      <x:c r="R228" s="191"/>
      <x:c r="S228" s="191"/>
      <x:c r="T228" s="191"/>
      <x:c r="U228" s="191"/>
      <x:c r="V228" s="191"/>
      <x:c r="W228" s="191"/>
      <x:c r="X228" s="191"/>
      <x:c r="Y228" s="191"/>
      <x:c r="Z228" s="191"/>
      <x:c r="AA228" s="191"/>
      <x:c r="AB228" s="191"/>
      <x:c r="AC228" s="191"/>
      <x:c r="AD228" s="191"/>
      <x:c r="AE228" s="191"/>
      <x:c r="AF228" s="191"/>
      <x:c r="AG228" s="191"/>
      <x:c r="AH228" s="191"/>
      <x:c r="AI228" s="191"/>
      <x:c r="AJ228" s="191"/>
      <x:c r="AK228" s="191"/>
    </x:row>
    <x:row r="229">
      <x:c r="A229" s="191"/>
      <x:c r="B229" s="191"/>
      <x:c r="C229" s="191"/>
      <x:c r="D229" s="191"/>
      <x:c r="E229" s="191"/>
      <x:c r="F229" s="191"/>
      <x:c r="G229" s="191"/>
      <x:c r="H229" s="191"/>
      <x:c r="I229" s="191"/>
      <x:c r="J229" s="191"/>
      <x:c r="K229" s="191"/>
      <x:c r="L229" s="191"/>
      <x:c r="M229" s="191"/>
      <x:c r="N229" s="191"/>
      <x:c r="O229" s="191"/>
      <x:c r="P229" s="191"/>
      <x:c r="Q229" s="191"/>
      <x:c r="R229" s="191"/>
      <x:c r="S229" s="191"/>
      <x:c r="T229" s="191"/>
      <x:c r="U229" s="191"/>
      <x:c r="V229" s="191"/>
      <x:c r="W229" s="191"/>
      <x:c r="X229" s="191"/>
      <x:c r="Y229" s="191"/>
      <x:c r="Z229" s="191"/>
      <x:c r="AA229" s="191"/>
      <x:c r="AB229" s="191"/>
      <x:c r="AC229" s="191"/>
      <x:c r="AD229" s="191"/>
      <x:c r="AE229" s="191"/>
      <x:c r="AF229" s="191"/>
      <x:c r="AG229" s="191"/>
      <x:c r="AH229" s="191"/>
      <x:c r="AI229" s="191"/>
      <x:c r="AJ229" s="191"/>
      <x:c r="AK229" s="191"/>
    </x:row>
    <x:row r="230">
      <x:c r="A230" s="191"/>
      <x:c r="B230" s="191"/>
      <x:c r="C230" s="191"/>
      <x:c r="D230" s="191"/>
      <x:c r="E230" s="191"/>
      <x:c r="F230" s="191"/>
      <x:c r="G230" s="191"/>
      <x:c r="H230" s="191"/>
      <x:c r="I230" s="191"/>
      <x:c r="J230" s="191"/>
      <x:c r="K230" s="191"/>
      <x:c r="L230" s="191"/>
      <x:c r="M230" s="191"/>
      <x:c r="N230" s="191"/>
      <x:c r="O230" s="191"/>
      <x:c r="P230" s="191"/>
      <x:c r="Q230" s="191"/>
      <x:c r="R230" s="191"/>
      <x:c r="S230" s="191"/>
      <x:c r="T230" s="191"/>
      <x:c r="U230" s="191"/>
      <x:c r="V230" s="191"/>
      <x:c r="W230" s="191"/>
      <x:c r="X230" s="191"/>
      <x:c r="Y230" s="191"/>
      <x:c r="Z230" s="191"/>
      <x:c r="AA230" s="191"/>
      <x:c r="AB230" s="191"/>
      <x:c r="AC230" s="191"/>
      <x:c r="AD230" s="191"/>
      <x:c r="AE230" s="191"/>
      <x:c r="AF230" s="191"/>
      <x:c r="AG230" s="191"/>
      <x:c r="AH230" s="191"/>
      <x:c r="AI230" s="191"/>
      <x:c r="AJ230" s="191"/>
      <x:c r="AK230" s="191"/>
    </x:row>
    <x:row r="231">
      <x:c r="A231" s="191"/>
      <x:c r="B231" s="191"/>
      <x:c r="C231" s="191"/>
      <x:c r="D231" s="191"/>
      <x:c r="E231" s="191"/>
      <x:c r="F231" s="191"/>
      <x:c r="G231" s="191"/>
      <x:c r="H231" s="191"/>
      <x:c r="I231" s="191"/>
      <x:c r="J231" s="191"/>
      <x:c r="K231" s="191"/>
      <x:c r="L231" s="191"/>
      <x:c r="M231" s="191"/>
      <x:c r="N231" s="191"/>
      <x:c r="O231" s="191"/>
      <x:c r="P231" s="191"/>
      <x:c r="Q231" s="191"/>
      <x:c r="R231" s="191"/>
      <x:c r="S231" s="191"/>
      <x:c r="T231" s="191"/>
      <x:c r="U231" s="191"/>
      <x:c r="V231" s="191"/>
      <x:c r="W231" s="191"/>
      <x:c r="X231" s="191"/>
      <x:c r="Y231" s="191"/>
      <x:c r="Z231" s="191"/>
      <x:c r="AA231" s="191"/>
      <x:c r="AB231" s="191"/>
      <x:c r="AC231" s="191"/>
      <x:c r="AD231" s="191"/>
      <x:c r="AE231" s="191"/>
      <x:c r="AF231" s="191"/>
      <x:c r="AG231" s="191"/>
      <x:c r="AH231" s="191"/>
      <x:c r="AI231" s="191"/>
      <x:c r="AJ231" s="191"/>
      <x:c r="AK231" s="191"/>
    </x:row>
    <x:row r="232">
      <x:c r="A232" s="191"/>
      <x:c r="B232" s="191"/>
      <x:c r="C232" s="191"/>
      <x:c r="D232" s="191"/>
      <x:c r="E232" s="191"/>
      <x:c r="F232" s="191"/>
      <x:c r="G232" s="191"/>
      <x:c r="H232" s="191"/>
      <x:c r="I232" s="191"/>
      <x:c r="J232" s="191"/>
      <x:c r="K232" s="191"/>
      <x:c r="L232" s="191"/>
      <x:c r="M232" s="191"/>
      <x:c r="N232" s="191"/>
      <x:c r="O232" s="191"/>
      <x:c r="P232" s="191"/>
      <x:c r="Q232" s="191"/>
      <x:c r="R232" s="191"/>
      <x:c r="S232" s="191"/>
      <x:c r="T232" s="191"/>
      <x:c r="U232" s="191"/>
      <x:c r="V232" s="191"/>
      <x:c r="W232" s="191"/>
      <x:c r="X232" s="191"/>
      <x:c r="Y232" s="191"/>
      <x:c r="Z232" s="191"/>
      <x:c r="AA232" s="191"/>
      <x:c r="AB232" s="191"/>
      <x:c r="AC232" s="191"/>
      <x:c r="AD232" s="191"/>
      <x:c r="AE232" s="191"/>
      <x:c r="AF232" s="191"/>
      <x:c r="AG232" s="191"/>
      <x:c r="AH232" s="191"/>
      <x:c r="AI232" s="191"/>
      <x:c r="AJ232" s="191"/>
      <x:c r="AK232" s="191"/>
    </x:row>
    <x:row r="233">
      <x:c r="A233" s="191"/>
      <x:c r="B233" s="191"/>
      <x:c r="C233" s="191"/>
      <x:c r="D233" s="191"/>
      <x:c r="E233" s="191"/>
      <x:c r="F233" s="191"/>
      <x:c r="G233" s="191"/>
      <x:c r="H233" s="191"/>
      <x:c r="I233" s="191"/>
      <x:c r="J233" s="191"/>
      <x:c r="K233" s="191"/>
      <x:c r="L233" s="191"/>
      <x:c r="M233" s="191"/>
      <x:c r="N233" s="191"/>
      <x:c r="O233" s="191"/>
      <x:c r="P233" s="191"/>
      <x:c r="Q233" s="191"/>
      <x:c r="R233" s="191"/>
      <x:c r="S233" s="191"/>
      <x:c r="T233" s="191"/>
      <x:c r="U233" s="191"/>
      <x:c r="V233" s="191"/>
      <x:c r="W233" s="191"/>
      <x:c r="X233" s="191"/>
      <x:c r="Y233" s="191"/>
      <x:c r="Z233" s="191"/>
      <x:c r="AA233" s="191"/>
      <x:c r="AB233" s="191"/>
      <x:c r="AC233" s="191"/>
      <x:c r="AD233" s="191"/>
      <x:c r="AE233" s="191"/>
      <x:c r="AF233" s="191"/>
      <x:c r="AG233" s="191"/>
      <x:c r="AH233" s="191"/>
      <x:c r="AI233" s="191"/>
      <x:c r="AJ233" s="191"/>
      <x:c r="AK233" s="191"/>
    </x:row>
    <x:row r="234">
      <x:c r="A234" s="191"/>
      <x:c r="B234" s="191"/>
      <x:c r="C234" s="191"/>
      <x:c r="D234" s="191"/>
      <x:c r="E234" s="191"/>
      <x:c r="F234" s="191"/>
      <x:c r="G234" s="191"/>
      <x:c r="H234" s="191"/>
      <x:c r="I234" s="191"/>
      <x:c r="J234" s="191"/>
      <x:c r="K234" s="191"/>
      <x:c r="L234" s="191"/>
      <x:c r="M234" s="191"/>
      <x:c r="N234" s="191"/>
      <x:c r="O234" s="191"/>
      <x:c r="P234" s="191"/>
      <x:c r="Q234" s="191"/>
      <x:c r="R234" s="191"/>
      <x:c r="S234" s="191"/>
      <x:c r="T234" s="191"/>
      <x:c r="U234" s="191"/>
      <x:c r="V234" s="191"/>
      <x:c r="W234" s="191"/>
      <x:c r="X234" s="191"/>
      <x:c r="Y234" s="191"/>
      <x:c r="Z234" s="191"/>
      <x:c r="AA234" s="191"/>
      <x:c r="AB234" s="191"/>
      <x:c r="AC234" s="191"/>
      <x:c r="AD234" s="191"/>
      <x:c r="AE234" s="191"/>
      <x:c r="AF234" s="191"/>
      <x:c r="AG234" s="191"/>
      <x:c r="AH234" s="191"/>
      <x:c r="AI234" s="191"/>
      <x:c r="AJ234" s="191"/>
      <x:c r="AK234" s="191"/>
    </x:row>
    <x:row r="235">
      <x:c r="A235" s="191"/>
      <x:c r="B235" s="191"/>
      <x:c r="C235" s="191"/>
      <x:c r="D235" s="191"/>
      <x:c r="E235" s="191"/>
      <x:c r="F235" s="191"/>
      <x:c r="G235" s="191"/>
      <x:c r="H235" s="191"/>
      <x:c r="I235" s="191"/>
      <x:c r="J235" s="191"/>
      <x:c r="K235" s="191"/>
      <x:c r="L235" s="191"/>
      <x:c r="M235" s="191"/>
      <x:c r="N235" s="191"/>
      <x:c r="O235" s="191"/>
      <x:c r="P235" s="191"/>
      <x:c r="Q235" s="191"/>
      <x:c r="R235" s="191"/>
      <x:c r="S235" s="191"/>
      <x:c r="T235" s="191"/>
      <x:c r="U235" s="191"/>
      <x:c r="V235" s="191"/>
      <x:c r="W235" s="191"/>
      <x:c r="X235" s="191"/>
      <x:c r="Y235" s="191"/>
      <x:c r="Z235" s="191"/>
      <x:c r="AA235" s="191"/>
      <x:c r="AB235" s="191"/>
      <x:c r="AC235" s="191"/>
      <x:c r="AD235" s="191"/>
      <x:c r="AE235" s="191"/>
      <x:c r="AF235" s="191"/>
      <x:c r="AG235" s="191"/>
      <x:c r="AH235" s="191"/>
      <x:c r="AI235" s="191"/>
      <x:c r="AJ235" s="191"/>
      <x:c r="AK235" s="191"/>
    </x:row>
    <x:row r="236">
      <x:c r="A236" s="191"/>
      <x:c r="B236" s="191"/>
      <x:c r="C236" s="191"/>
      <x:c r="D236" s="191"/>
      <x:c r="E236" s="191"/>
      <x:c r="F236" s="191"/>
      <x:c r="G236" s="191"/>
      <x:c r="H236" s="191"/>
      <x:c r="I236" s="191"/>
      <x:c r="J236" s="191"/>
      <x:c r="K236" s="191"/>
      <x:c r="L236" s="191"/>
      <x:c r="M236" s="191"/>
      <x:c r="N236" s="191"/>
      <x:c r="O236" s="191"/>
      <x:c r="P236" s="191"/>
      <x:c r="Q236" s="191"/>
      <x:c r="R236" s="191"/>
      <x:c r="S236" s="191"/>
      <x:c r="T236" s="191"/>
      <x:c r="U236" s="191"/>
      <x:c r="V236" s="191"/>
      <x:c r="W236" s="191"/>
      <x:c r="X236" s="191"/>
      <x:c r="Y236" s="191"/>
      <x:c r="Z236" s="191"/>
      <x:c r="AA236" s="191"/>
      <x:c r="AB236" s="191"/>
      <x:c r="AC236" s="191"/>
      <x:c r="AD236" s="191"/>
      <x:c r="AE236" s="191"/>
      <x:c r="AF236" s="191"/>
      <x:c r="AG236" s="191"/>
      <x:c r="AH236" s="191"/>
      <x:c r="AI236" s="191"/>
      <x:c r="AJ236" s="191"/>
      <x:c r="AK236" s="191"/>
    </x:row>
    <x:row r="237">
      <x:c r="A237" s="191"/>
      <x:c r="B237" s="191"/>
      <x:c r="C237" s="191"/>
      <x:c r="D237" s="191"/>
      <x:c r="E237" s="191"/>
      <x:c r="F237" s="191"/>
      <x:c r="G237" s="191"/>
      <x:c r="H237" s="191"/>
      <x:c r="I237" s="191"/>
      <x:c r="J237" s="191"/>
      <x:c r="K237" s="191"/>
      <x:c r="L237" s="191"/>
      <x:c r="M237" s="191"/>
      <x:c r="N237" s="191"/>
      <x:c r="O237" s="191"/>
      <x:c r="P237" s="191"/>
      <x:c r="Q237" s="191"/>
      <x:c r="R237" s="191"/>
      <x:c r="S237" s="191"/>
      <x:c r="T237" s="191"/>
      <x:c r="U237" s="191"/>
      <x:c r="V237" s="191"/>
      <x:c r="W237" s="191"/>
      <x:c r="X237" s="191"/>
      <x:c r="Y237" s="191"/>
      <x:c r="Z237" s="191"/>
      <x:c r="AA237" s="191"/>
      <x:c r="AB237" s="191"/>
      <x:c r="AC237" s="191"/>
      <x:c r="AD237" s="191"/>
      <x:c r="AE237" s="191"/>
      <x:c r="AF237" s="191"/>
      <x:c r="AG237" s="191"/>
      <x:c r="AH237" s="191"/>
      <x:c r="AI237" s="191"/>
      <x:c r="AJ237" s="191"/>
      <x:c r="AK237" s="191"/>
    </x:row>
    <x:row r="238">
      <x:c r="A238" s="191"/>
      <x:c r="B238" s="191"/>
      <x:c r="C238" s="191"/>
      <x:c r="D238" s="191"/>
      <x:c r="E238" s="191"/>
      <x:c r="F238" s="191"/>
      <x:c r="G238" s="191"/>
      <x:c r="H238" s="191"/>
      <x:c r="I238" s="191"/>
      <x:c r="J238" s="191"/>
      <x:c r="K238" s="191"/>
      <x:c r="L238" s="191"/>
      <x:c r="M238" s="191"/>
      <x:c r="N238" s="191"/>
      <x:c r="O238" s="191"/>
      <x:c r="P238" s="191"/>
      <x:c r="Q238" s="191"/>
      <x:c r="R238" s="191"/>
      <x:c r="S238" s="191"/>
      <x:c r="T238" s="191"/>
      <x:c r="U238" s="191"/>
      <x:c r="V238" s="191"/>
      <x:c r="W238" s="191"/>
      <x:c r="X238" s="191"/>
      <x:c r="Y238" s="191"/>
      <x:c r="Z238" s="191"/>
      <x:c r="AA238" s="191"/>
      <x:c r="AB238" s="191"/>
      <x:c r="AC238" s="191"/>
      <x:c r="AD238" s="191"/>
      <x:c r="AE238" s="191"/>
      <x:c r="AF238" s="191"/>
      <x:c r="AG238" s="191"/>
      <x:c r="AH238" s="191"/>
      <x:c r="AI238" s="191"/>
      <x:c r="AJ238" s="191"/>
      <x:c r="AK238" s="191"/>
    </x:row>
    <x:row r="239">
      <x:c r="A239" s="191"/>
      <x:c r="B239" s="191"/>
      <x:c r="C239" s="191"/>
      <x:c r="D239" s="191"/>
      <x:c r="E239" s="191"/>
      <x:c r="F239" s="191"/>
      <x:c r="G239" s="191"/>
      <x:c r="H239" s="191"/>
      <x:c r="I239" s="191"/>
      <x:c r="J239" s="191"/>
      <x:c r="K239" s="191"/>
      <x:c r="L239" s="191"/>
      <x:c r="M239" s="191"/>
      <x:c r="N239" s="191"/>
      <x:c r="O239" s="191"/>
      <x:c r="P239" s="191"/>
      <x:c r="Q239" s="191"/>
      <x:c r="R239" s="191"/>
      <x:c r="S239" s="191"/>
      <x:c r="T239" s="191"/>
      <x:c r="U239" s="191"/>
      <x:c r="V239" s="191"/>
      <x:c r="W239" s="191"/>
      <x:c r="X239" s="191"/>
      <x:c r="Y239" s="191"/>
      <x:c r="Z239" s="191"/>
      <x:c r="AA239" s="191"/>
      <x:c r="AB239" s="191"/>
      <x:c r="AC239" s="191"/>
      <x:c r="AD239" s="191"/>
      <x:c r="AE239" s="191"/>
      <x:c r="AF239" s="191"/>
      <x:c r="AG239" s="191"/>
      <x:c r="AH239" s="191"/>
      <x:c r="AI239" s="191"/>
      <x:c r="AJ239" s="191"/>
      <x:c r="AK239" s="191"/>
    </x:row>
    <x:row r="240">
      <x:c r="A240" s="191"/>
      <x:c r="B240" s="191"/>
      <x:c r="C240" s="191"/>
      <x:c r="D240" s="191"/>
      <x:c r="E240" s="191"/>
      <x:c r="F240" s="191"/>
      <x:c r="G240" s="191"/>
      <x:c r="H240" s="191"/>
      <x:c r="I240" s="191"/>
      <x:c r="J240" s="191"/>
      <x:c r="K240" s="191"/>
      <x:c r="L240" s="191"/>
      <x:c r="M240" s="191"/>
      <x:c r="N240" s="191"/>
      <x:c r="O240" s="191"/>
      <x:c r="P240" s="191"/>
      <x:c r="Q240" s="191"/>
      <x:c r="R240" s="191"/>
      <x:c r="S240" s="191"/>
      <x:c r="T240" s="191"/>
      <x:c r="U240" s="191"/>
      <x:c r="V240" s="191"/>
      <x:c r="W240" s="191"/>
      <x:c r="X240" s="191"/>
      <x:c r="Y240" s="191"/>
      <x:c r="Z240" s="191"/>
      <x:c r="AA240" s="191"/>
      <x:c r="AB240" s="191"/>
      <x:c r="AC240" s="191"/>
      <x:c r="AD240" s="191"/>
      <x:c r="AE240" s="191"/>
      <x:c r="AF240" s="191"/>
      <x:c r="AG240" s="191"/>
      <x:c r="AH240" s="191"/>
      <x:c r="AI240" s="191"/>
      <x:c r="AJ240" s="191"/>
      <x:c r="AK240" s="191"/>
    </x:row>
    <x:row r="241">
      <x:c r="A241" s="191"/>
      <x:c r="B241" s="191"/>
      <x:c r="C241" s="191"/>
      <x:c r="D241" s="191"/>
      <x:c r="E241" s="191"/>
      <x:c r="F241" s="191"/>
      <x:c r="G241" s="191"/>
      <x:c r="H241" s="191"/>
      <x:c r="I241" s="191"/>
      <x:c r="J241" s="191"/>
      <x:c r="K241" s="191"/>
      <x:c r="L241" s="191"/>
      <x:c r="M241" s="191"/>
      <x:c r="N241" s="191"/>
      <x:c r="O241" s="191"/>
      <x:c r="P241" s="191"/>
      <x:c r="Q241" s="191"/>
      <x:c r="R241" s="191"/>
      <x:c r="S241" s="191"/>
      <x:c r="T241" s="191"/>
      <x:c r="U241" s="191"/>
      <x:c r="V241" s="191"/>
      <x:c r="W241" s="191"/>
      <x:c r="X241" s="191"/>
      <x:c r="Y241" s="191"/>
      <x:c r="Z241" s="191"/>
      <x:c r="AA241" s="191"/>
      <x:c r="AB241" s="191"/>
      <x:c r="AC241" s="191"/>
      <x:c r="AD241" s="191"/>
      <x:c r="AE241" s="191"/>
      <x:c r="AF241" s="191"/>
      <x:c r="AG241" s="191"/>
      <x:c r="AH241" s="191"/>
      <x:c r="AI241" s="191"/>
      <x:c r="AJ241" s="191"/>
      <x:c r="AK241" s="191"/>
    </x:row>
    <x:row r="242">
      <x:c r="A242" s="191"/>
      <x:c r="B242" s="191"/>
      <x:c r="C242" s="191"/>
      <x:c r="D242" s="191"/>
      <x:c r="E242" s="191"/>
      <x:c r="F242" s="191"/>
      <x:c r="G242" s="191"/>
      <x:c r="H242" s="191"/>
      <x:c r="I242" s="191"/>
      <x:c r="J242" s="191"/>
      <x:c r="K242" s="191"/>
      <x:c r="L242" s="191"/>
      <x:c r="M242" s="191"/>
      <x:c r="N242" s="191"/>
      <x:c r="O242" s="191"/>
      <x:c r="P242" s="191"/>
      <x:c r="Q242" s="191"/>
      <x:c r="R242" s="191"/>
      <x:c r="S242" s="191"/>
      <x:c r="T242" s="191"/>
      <x:c r="U242" s="191"/>
      <x:c r="V242" s="191"/>
      <x:c r="W242" s="191"/>
      <x:c r="X242" s="191"/>
      <x:c r="Y242" s="191"/>
      <x:c r="Z242" s="191"/>
      <x:c r="AA242" s="191"/>
      <x:c r="AB242" s="191"/>
      <x:c r="AC242" s="191"/>
      <x:c r="AD242" s="191"/>
      <x:c r="AE242" s="191"/>
      <x:c r="AF242" s="191"/>
      <x:c r="AG242" s="191"/>
      <x:c r="AH242" s="191"/>
      <x:c r="AI242" s="191"/>
      <x:c r="AJ242" s="191"/>
      <x:c r="AK242" s="191"/>
    </x:row>
    <x:row r="243">
      <x:c r="A243" s="191"/>
      <x:c r="B243" s="191"/>
      <x:c r="C243" s="191"/>
      <x:c r="D243" s="191"/>
      <x:c r="E243" s="191"/>
      <x:c r="F243" s="191"/>
      <x:c r="G243" s="191"/>
      <x:c r="H243" s="191"/>
      <x:c r="I243" s="191"/>
      <x:c r="J243" s="191"/>
      <x:c r="K243" s="191"/>
      <x:c r="L243" s="191"/>
      <x:c r="M243" s="191"/>
      <x:c r="N243" s="191"/>
      <x:c r="O243" s="191"/>
      <x:c r="P243" s="191"/>
      <x:c r="Q243" s="191"/>
      <x:c r="R243" s="191"/>
      <x:c r="S243" s="191"/>
      <x:c r="T243" s="191"/>
      <x:c r="U243" s="191"/>
      <x:c r="V243" s="191"/>
      <x:c r="W243" s="191"/>
      <x:c r="X243" s="191"/>
      <x:c r="Y243" s="191"/>
      <x:c r="Z243" s="191"/>
      <x:c r="AA243" s="191"/>
      <x:c r="AB243" s="191"/>
      <x:c r="AC243" s="191"/>
      <x:c r="AD243" s="191"/>
      <x:c r="AE243" s="191"/>
      <x:c r="AF243" s="191"/>
      <x:c r="AG243" s="191"/>
      <x:c r="AH243" s="191"/>
      <x:c r="AI243" s="191"/>
      <x:c r="AJ243" s="191"/>
      <x:c r="AK243" s="191"/>
    </x:row>
    <x:row r="244">
      <x:c r="A244" s="191"/>
      <x:c r="B244" s="191"/>
      <x:c r="C244" s="191"/>
      <x:c r="D244" s="191"/>
      <x:c r="E244" s="191"/>
      <x:c r="F244" s="191"/>
      <x:c r="G244" s="191"/>
      <x:c r="H244" s="191"/>
      <x:c r="I244" s="191"/>
      <x:c r="J244" s="191"/>
      <x:c r="K244" s="191"/>
      <x:c r="L244" s="191"/>
      <x:c r="M244" s="191"/>
      <x:c r="N244" s="191"/>
      <x:c r="O244" s="191"/>
      <x:c r="P244" s="191"/>
      <x:c r="Q244" s="191"/>
      <x:c r="R244" s="191"/>
      <x:c r="S244" s="191"/>
      <x:c r="T244" s="191"/>
      <x:c r="U244" s="191"/>
      <x:c r="V244" s="191"/>
      <x:c r="W244" s="191"/>
      <x:c r="X244" s="191"/>
      <x:c r="Y244" s="191"/>
      <x:c r="Z244" s="191"/>
      <x:c r="AA244" s="191"/>
      <x:c r="AB244" s="191"/>
      <x:c r="AC244" s="191"/>
      <x:c r="AD244" s="191"/>
      <x:c r="AE244" s="191"/>
      <x:c r="AF244" s="191"/>
      <x:c r="AG244" s="191"/>
      <x:c r="AH244" s="191"/>
      <x:c r="AI244" s="191"/>
      <x:c r="AJ244" s="191"/>
      <x:c r="AK244" s="191"/>
    </x:row>
    <x:row r="245">
      <x:c r="A245" s="191"/>
      <x:c r="B245" s="191"/>
      <x:c r="C245" s="191"/>
      <x:c r="D245" s="191"/>
      <x:c r="E245" s="191"/>
      <x:c r="F245" s="191"/>
      <x:c r="G245" s="191"/>
      <x:c r="H245" s="191"/>
      <x:c r="I245" s="191"/>
      <x:c r="J245" s="191"/>
      <x:c r="K245" s="191"/>
      <x:c r="L245" s="191"/>
      <x:c r="M245" s="191"/>
      <x:c r="N245" s="191"/>
      <x:c r="O245" s="191"/>
      <x:c r="P245" s="191"/>
      <x:c r="Q245" s="191"/>
      <x:c r="R245" s="191"/>
      <x:c r="S245" s="191"/>
      <x:c r="T245" s="191"/>
      <x:c r="U245" s="191"/>
      <x:c r="V245" s="191"/>
      <x:c r="W245" s="191"/>
      <x:c r="X245" s="191"/>
      <x:c r="Y245" s="191"/>
      <x:c r="Z245" s="191"/>
      <x:c r="AA245" s="191"/>
      <x:c r="AB245" s="191"/>
      <x:c r="AC245" s="191"/>
      <x:c r="AD245" s="191"/>
      <x:c r="AE245" s="191"/>
      <x:c r="AF245" s="191"/>
      <x:c r="AG245" s="191"/>
      <x:c r="AH245" s="191"/>
      <x:c r="AI245" s="191"/>
      <x:c r="AJ245" s="191"/>
      <x:c r="AK245" s="191"/>
    </x:row>
    <x:row r="246">
      <x:c r="A246" s="191"/>
      <x:c r="B246" s="191"/>
      <x:c r="C246" s="191"/>
      <x:c r="D246" s="191"/>
      <x:c r="E246" s="191"/>
      <x:c r="F246" s="191"/>
      <x:c r="G246" s="191"/>
      <x:c r="H246" s="191"/>
      <x:c r="I246" s="191"/>
      <x:c r="J246" s="191"/>
      <x:c r="K246" s="191"/>
      <x:c r="L246" s="191"/>
      <x:c r="M246" s="191"/>
      <x:c r="N246" s="191"/>
      <x:c r="O246" s="191"/>
      <x:c r="P246" s="191"/>
      <x:c r="Q246" s="191"/>
      <x:c r="R246" s="191"/>
      <x:c r="S246" s="191"/>
      <x:c r="T246" s="191"/>
      <x:c r="U246" s="191"/>
      <x:c r="V246" s="191"/>
      <x:c r="W246" s="191"/>
      <x:c r="X246" s="191"/>
      <x:c r="Y246" s="191"/>
      <x:c r="Z246" s="191"/>
      <x:c r="AA246" s="191"/>
      <x:c r="AB246" s="191"/>
      <x:c r="AC246" s="191"/>
      <x:c r="AD246" s="191"/>
      <x:c r="AE246" s="191"/>
      <x:c r="AF246" s="191"/>
      <x:c r="AG246" s="191"/>
      <x:c r="AH246" s="191"/>
      <x:c r="AI246" s="191"/>
      <x:c r="AJ246" s="191"/>
      <x:c r="AK246" s="191"/>
    </x:row>
    <x:row r="247">
      <x:c r="A247" s="191"/>
      <x:c r="B247" s="191"/>
      <x:c r="C247" s="191"/>
      <x:c r="D247" s="191"/>
      <x:c r="E247" s="191"/>
      <x:c r="F247" s="191"/>
      <x:c r="G247" s="191"/>
      <x:c r="H247" s="191"/>
      <x:c r="I247" s="191"/>
      <x:c r="J247" s="191"/>
      <x:c r="K247" s="191"/>
      <x:c r="L247" s="191"/>
      <x:c r="M247" s="191"/>
      <x:c r="N247" s="191"/>
      <x:c r="O247" s="191"/>
      <x:c r="P247" s="191"/>
      <x:c r="Q247" s="191"/>
      <x:c r="R247" s="191"/>
      <x:c r="S247" s="191"/>
      <x:c r="T247" s="191"/>
      <x:c r="U247" s="191"/>
      <x:c r="V247" s="191"/>
      <x:c r="W247" s="191"/>
      <x:c r="X247" s="191"/>
      <x:c r="Y247" s="191"/>
      <x:c r="Z247" s="191"/>
      <x:c r="AA247" s="191"/>
      <x:c r="AB247" s="191"/>
      <x:c r="AC247" s="191"/>
      <x:c r="AD247" s="191"/>
      <x:c r="AE247" s="191"/>
      <x:c r="AF247" s="191"/>
      <x:c r="AG247" s="191"/>
      <x:c r="AH247" s="191"/>
      <x:c r="AI247" s="191"/>
      <x:c r="AJ247" s="191"/>
      <x:c r="AK247" s="191"/>
    </x:row>
    <x:row r="248">
      <x:c r="A248" s="191"/>
      <x:c r="B248" s="191"/>
      <x:c r="C248" s="191"/>
      <x:c r="D248" s="191"/>
      <x:c r="E248" s="191"/>
      <x:c r="F248" s="191"/>
      <x:c r="G248" s="191"/>
      <x:c r="H248" s="191"/>
      <x:c r="I248" s="191"/>
      <x:c r="J248" s="191"/>
      <x:c r="K248" s="191"/>
      <x:c r="L248" s="191"/>
      <x:c r="M248" s="191"/>
      <x:c r="N248" s="191"/>
      <x:c r="O248" s="191"/>
      <x:c r="P248" s="191"/>
      <x:c r="Q248" s="191"/>
      <x:c r="R248" s="191"/>
      <x:c r="S248" s="191"/>
      <x:c r="T248" s="191"/>
      <x:c r="U248" s="191"/>
      <x:c r="V248" s="191"/>
      <x:c r="W248" s="191"/>
      <x:c r="X248" s="191"/>
      <x:c r="Y248" s="191"/>
      <x:c r="Z248" s="191"/>
      <x:c r="AA248" s="191"/>
      <x:c r="AB248" s="191"/>
      <x:c r="AC248" s="191"/>
      <x:c r="AD248" s="191"/>
      <x:c r="AE248" s="191"/>
      <x:c r="AF248" s="191"/>
      <x:c r="AG248" s="191"/>
      <x:c r="AH248" s="191"/>
      <x:c r="AI248" s="191"/>
      <x:c r="AJ248" s="191"/>
      <x:c r="AK248" s="191"/>
    </x:row>
    <x:row r="249">
      <x:c r="A249" s="191"/>
      <x:c r="B249" s="191"/>
      <x:c r="C249" s="191"/>
      <x:c r="D249" s="191"/>
      <x:c r="E249" s="191"/>
      <x:c r="F249" s="191"/>
      <x:c r="G249" s="191"/>
      <x:c r="H249" s="191"/>
      <x:c r="I249" s="191"/>
      <x:c r="J249" s="191"/>
      <x:c r="K249" s="191"/>
      <x:c r="L249" s="191"/>
      <x:c r="M249" s="191"/>
      <x:c r="N249" s="191"/>
      <x:c r="O249" s="191"/>
      <x:c r="P249" s="191"/>
      <x:c r="Q249" s="191"/>
      <x:c r="R249" s="191"/>
      <x:c r="S249" s="191"/>
      <x:c r="T249" s="191"/>
      <x:c r="U249" s="191"/>
      <x:c r="V249" s="191"/>
      <x:c r="W249" s="191"/>
      <x:c r="X249" s="191"/>
      <x:c r="Y249" s="191"/>
      <x:c r="Z249" s="191"/>
      <x:c r="AA249" s="191"/>
      <x:c r="AB249" s="191"/>
      <x:c r="AC249" s="191"/>
      <x:c r="AD249" s="191"/>
      <x:c r="AE249" s="191"/>
      <x:c r="AF249" s="191"/>
      <x:c r="AG249" s="191"/>
      <x:c r="AH249" s="191"/>
      <x:c r="AI249" s="191"/>
      <x:c r="AJ249" s="191"/>
      <x:c r="AK249" s="191"/>
    </x:row>
    <x:row r="250">
      <x:c r="A250" s="191"/>
      <x:c r="B250" s="191"/>
      <x:c r="C250" s="191"/>
      <x:c r="D250" s="191"/>
      <x:c r="E250" s="191"/>
      <x:c r="F250" s="191"/>
      <x:c r="G250" s="191"/>
      <x:c r="H250" s="191"/>
      <x:c r="I250" s="191"/>
      <x:c r="J250" s="191"/>
      <x:c r="K250" s="191"/>
      <x:c r="L250" s="191"/>
      <x:c r="M250" s="191"/>
      <x:c r="N250" s="191"/>
      <x:c r="O250" s="191"/>
      <x:c r="P250" s="191"/>
      <x:c r="Q250" s="191"/>
      <x:c r="R250" s="191"/>
      <x:c r="S250" s="191"/>
      <x:c r="T250" s="191"/>
      <x:c r="U250" s="191"/>
      <x:c r="V250" s="191"/>
      <x:c r="W250" s="191"/>
      <x:c r="X250" s="191"/>
      <x:c r="Y250" s="191"/>
      <x:c r="Z250" s="191"/>
      <x:c r="AA250" s="191"/>
      <x:c r="AB250" s="191"/>
      <x:c r="AC250" s="191"/>
      <x:c r="AD250" s="191"/>
      <x:c r="AE250" s="191"/>
      <x:c r="AF250" s="191"/>
      <x:c r="AG250" s="191"/>
      <x:c r="AH250" s="191"/>
      <x:c r="AI250" s="191"/>
      <x:c r="AJ250" s="191"/>
      <x:c r="AK250" s="191"/>
    </x:row>
    <x:row r="251">
      <x:c r="A251" s="191"/>
      <x:c r="B251" s="191"/>
      <x:c r="C251" s="191"/>
      <x:c r="D251" s="191"/>
      <x:c r="E251" s="191"/>
      <x:c r="F251" s="191"/>
      <x:c r="G251" s="191"/>
      <x:c r="H251" s="191"/>
      <x:c r="I251" s="191"/>
      <x:c r="J251" s="191"/>
      <x:c r="K251" s="191"/>
      <x:c r="L251" s="191"/>
      <x:c r="M251" s="191"/>
      <x:c r="N251" s="191"/>
      <x:c r="O251" s="191"/>
      <x:c r="P251" s="191"/>
      <x:c r="Q251" s="191"/>
      <x:c r="R251" s="191"/>
      <x:c r="S251" s="191"/>
      <x:c r="T251" s="191"/>
      <x:c r="U251" s="191"/>
      <x:c r="V251" s="191"/>
      <x:c r="W251" s="191"/>
      <x:c r="X251" s="191"/>
      <x:c r="Y251" s="191"/>
      <x:c r="Z251" s="191"/>
      <x:c r="AA251" s="191"/>
      <x:c r="AB251" s="191"/>
      <x:c r="AC251" s="191"/>
      <x:c r="AD251" s="191"/>
      <x:c r="AE251" s="191"/>
      <x:c r="AF251" s="191"/>
      <x:c r="AG251" s="191"/>
      <x:c r="AH251" s="191"/>
      <x:c r="AI251" s="191"/>
      <x:c r="AJ251" s="191"/>
      <x:c r="AK251" s="191"/>
    </x:row>
    <x:row r="252">
      <x:c r="A252" s="191"/>
      <x:c r="B252" s="191"/>
      <x:c r="C252" s="191"/>
      <x:c r="D252" s="191"/>
      <x:c r="E252" s="191"/>
      <x:c r="F252" s="191"/>
      <x:c r="G252" s="191"/>
      <x:c r="H252" s="191"/>
      <x:c r="I252" s="191"/>
      <x:c r="J252" s="191"/>
      <x:c r="K252" s="191"/>
      <x:c r="L252" s="191"/>
      <x:c r="M252" s="191"/>
      <x:c r="N252" s="191"/>
      <x:c r="O252" s="191"/>
      <x:c r="P252" s="191"/>
      <x:c r="Q252" s="191"/>
      <x:c r="R252" s="191"/>
      <x:c r="S252" s="191"/>
      <x:c r="T252" s="191"/>
      <x:c r="U252" s="191"/>
      <x:c r="V252" s="191"/>
      <x:c r="W252" s="191"/>
      <x:c r="X252" s="191"/>
      <x:c r="Y252" s="191"/>
      <x:c r="Z252" s="191"/>
      <x:c r="AA252" s="191"/>
      <x:c r="AB252" s="191"/>
      <x:c r="AC252" s="191"/>
      <x:c r="AD252" s="191"/>
      <x:c r="AE252" s="191"/>
      <x:c r="AF252" s="191"/>
      <x:c r="AG252" s="191"/>
      <x:c r="AH252" s="191"/>
      <x:c r="AI252" s="191"/>
      <x:c r="AJ252" s="191"/>
      <x:c r="AK252" s="191"/>
    </x:row>
    <x:row r="253">
      <x:c r="A253" s="191"/>
      <x:c r="B253" s="191"/>
      <x:c r="C253" s="191"/>
      <x:c r="D253" s="191"/>
      <x:c r="E253" s="191"/>
      <x:c r="F253" s="191"/>
      <x:c r="G253" s="191"/>
      <x:c r="H253" s="191"/>
      <x:c r="I253" s="191"/>
      <x:c r="J253" s="191"/>
      <x:c r="K253" s="191"/>
      <x:c r="L253" s="191"/>
      <x:c r="M253" s="191"/>
      <x:c r="N253" s="191"/>
      <x:c r="O253" s="191"/>
      <x:c r="P253" s="191"/>
      <x:c r="Q253" s="191"/>
      <x:c r="R253" s="191"/>
      <x:c r="S253" s="191"/>
      <x:c r="T253" s="191"/>
      <x:c r="U253" s="191"/>
      <x:c r="V253" s="191"/>
      <x:c r="W253" s="191"/>
      <x:c r="X253" s="191"/>
      <x:c r="Y253" s="191"/>
      <x:c r="Z253" s="191"/>
      <x:c r="AA253" s="191"/>
      <x:c r="AB253" s="191"/>
      <x:c r="AC253" s="191"/>
      <x:c r="AD253" s="191"/>
      <x:c r="AE253" s="191"/>
      <x:c r="AF253" s="191"/>
      <x:c r="AG253" s="191"/>
      <x:c r="AH253" s="191"/>
      <x:c r="AI253" s="191"/>
      <x:c r="AJ253" s="191"/>
      <x:c r="AK253" s="191"/>
    </x:row>
    <x:row r="254">
      <x:c r="A254" s="191"/>
      <x:c r="B254" s="191"/>
      <x:c r="C254" s="191"/>
      <x:c r="D254" s="191"/>
      <x:c r="E254" s="191"/>
      <x:c r="F254" s="191"/>
      <x:c r="G254" s="191"/>
      <x:c r="H254" s="191"/>
      <x:c r="I254" s="191"/>
      <x:c r="J254" s="191"/>
      <x:c r="K254" s="191"/>
      <x:c r="L254" s="191"/>
      <x:c r="M254" s="191"/>
      <x:c r="N254" s="191"/>
      <x:c r="O254" s="191"/>
      <x:c r="P254" s="191"/>
      <x:c r="Q254" s="191"/>
      <x:c r="R254" s="191"/>
      <x:c r="S254" s="191"/>
      <x:c r="T254" s="191"/>
      <x:c r="U254" s="191"/>
      <x:c r="V254" s="191"/>
      <x:c r="W254" s="191"/>
      <x:c r="X254" s="191"/>
      <x:c r="Y254" s="191"/>
      <x:c r="Z254" s="191"/>
      <x:c r="AA254" s="191"/>
      <x:c r="AB254" s="191"/>
      <x:c r="AC254" s="191"/>
      <x:c r="AD254" s="191"/>
      <x:c r="AE254" s="191"/>
      <x:c r="AF254" s="191"/>
      <x:c r="AG254" s="191"/>
      <x:c r="AH254" s="191"/>
      <x:c r="AI254" s="191"/>
      <x:c r="AJ254" s="191"/>
      <x:c r="AK254" s="191"/>
    </x:row>
    <x:row r="255">
      <x:c r="A255" s="191"/>
      <x:c r="B255" s="191"/>
      <x:c r="C255" s="191"/>
      <x:c r="D255" s="191"/>
      <x:c r="E255" s="191"/>
      <x:c r="F255" s="191"/>
      <x:c r="G255" s="191"/>
      <x:c r="H255" s="191"/>
      <x:c r="I255" s="191"/>
      <x:c r="J255" s="191"/>
      <x:c r="K255" s="191"/>
      <x:c r="L255" s="191"/>
      <x:c r="M255" s="191"/>
      <x:c r="N255" s="191"/>
      <x:c r="O255" s="191"/>
      <x:c r="P255" s="191"/>
      <x:c r="Q255" s="191"/>
      <x:c r="R255" s="191"/>
      <x:c r="S255" s="191"/>
      <x:c r="T255" s="191"/>
      <x:c r="U255" s="191"/>
      <x:c r="V255" s="191"/>
      <x:c r="W255" s="191"/>
      <x:c r="X255" s="191"/>
      <x:c r="Y255" s="191"/>
      <x:c r="Z255" s="191"/>
      <x:c r="AA255" s="191"/>
      <x:c r="AB255" s="191"/>
      <x:c r="AC255" s="191"/>
      <x:c r="AD255" s="191"/>
      <x:c r="AE255" s="191"/>
      <x:c r="AF255" s="191"/>
      <x:c r="AG255" s="191"/>
      <x:c r="AH255" s="191"/>
      <x:c r="AI255" s="191"/>
      <x:c r="AJ255" s="191"/>
      <x:c r="AK255" s="191"/>
    </x:row>
    <x:row r="256">
      <x:c r="A256" s="191"/>
      <x:c r="B256" s="191"/>
      <x:c r="C256" s="191"/>
      <x:c r="D256" s="191"/>
      <x:c r="E256" s="191"/>
      <x:c r="F256" s="191"/>
      <x:c r="G256" s="191"/>
      <x:c r="H256" s="191"/>
      <x:c r="I256" s="191"/>
      <x:c r="J256" s="191"/>
      <x:c r="K256" s="191"/>
      <x:c r="L256" s="191"/>
      <x:c r="M256" s="191"/>
      <x:c r="N256" s="191"/>
      <x:c r="O256" s="191"/>
      <x:c r="P256" s="191"/>
      <x:c r="Q256" s="191"/>
      <x:c r="R256" s="191"/>
      <x:c r="S256" s="191"/>
      <x:c r="T256" s="191"/>
      <x:c r="U256" s="191"/>
      <x:c r="V256" s="191"/>
      <x:c r="W256" s="191"/>
      <x:c r="X256" s="191"/>
      <x:c r="Y256" s="191"/>
      <x:c r="Z256" s="191"/>
      <x:c r="AA256" s="191"/>
      <x:c r="AB256" s="191"/>
      <x:c r="AC256" s="191"/>
      <x:c r="AD256" s="191"/>
      <x:c r="AE256" s="191"/>
      <x:c r="AF256" s="191"/>
      <x:c r="AG256" s="191"/>
      <x:c r="AH256" s="191"/>
      <x:c r="AI256" s="191"/>
      <x:c r="AJ256" s="191"/>
      <x:c r="AK256" s="191"/>
    </x:row>
    <x:row r="257">
      <x:c r="A257" s="191"/>
      <x:c r="B257" s="191"/>
      <x:c r="C257" s="191"/>
      <x:c r="D257" s="191"/>
      <x:c r="E257" s="191"/>
      <x:c r="F257" s="191"/>
      <x:c r="G257" s="191"/>
      <x:c r="H257" s="191"/>
      <x:c r="I257" s="191"/>
      <x:c r="J257" s="191"/>
      <x:c r="K257" s="191"/>
      <x:c r="L257" s="191"/>
      <x:c r="M257" s="191"/>
      <x:c r="N257" s="191"/>
      <x:c r="O257" s="191"/>
      <x:c r="P257" s="191"/>
      <x:c r="Q257" s="191"/>
      <x:c r="R257" s="191"/>
      <x:c r="S257" s="191"/>
      <x:c r="T257" s="191"/>
      <x:c r="U257" s="191"/>
      <x:c r="V257" s="191"/>
      <x:c r="W257" s="191"/>
      <x:c r="X257" s="191"/>
      <x:c r="Y257" s="191"/>
      <x:c r="Z257" s="191"/>
      <x:c r="AA257" s="191"/>
      <x:c r="AB257" s="191"/>
      <x:c r="AC257" s="191"/>
      <x:c r="AD257" s="191"/>
      <x:c r="AE257" s="191"/>
      <x:c r="AF257" s="191"/>
      <x:c r="AG257" s="191"/>
      <x:c r="AH257" s="191"/>
      <x:c r="AI257" s="191"/>
      <x:c r="AJ257" s="191"/>
      <x:c r="AK257" s="191"/>
    </x:row>
    <x:row r="258">
      <x:c r="A258" s="191"/>
      <x:c r="B258" s="191"/>
      <x:c r="C258" s="191"/>
      <x:c r="D258" s="191"/>
      <x:c r="E258" s="191"/>
      <x:c r="F258" s="191"/>
      <x:c r="G258" s="191"/>
      <x:c r="H258" s="191"/>
      <x:c r="I258" s="191"/>
      <x:c r="J258" s="191"/>
      <x:c r="K258" s="191"/>
      <x:c r="L258" s="191"/>
      <x:c r="M258" s="191"/>
      <x:c r="N258" s="191"/>
      <x:c r="O258" s="191"/>
      <x:c r="P258" s="191"/>
      <x:c r="Q258" s="191"/>
      <x:c r="R258" s="191"/>
      <x:c r="S258" s="191"/>
      <x:c r="T258" s="191"/>
      <x:c r="U258" s="191"/>
      <x:c r="V258" s="191"/>
      <x:c r="W258" s="191"/>
      <x:c r="X258" s="191"/>
      <x:c r="Y258" s="191"/>
      <x:c r="Z258" s="191"/>
      <x:c r="AA258" s="191"/>
      <x:c r="AB258" s="191"/>
      <x:c r="AC258" s="191"/>
      <x:c r="AD258" s="191"/>
      <x:c r="AE258" s="191"/>
      <x:c r="AF258" s="191"/>
      <x:c r="AG258" s="191"/>
      <x:c r="AH258" s="191"/>
      <x:c r="AI258" s="191"/>
      <x:c r="AJ258" s="191"/>
      <x:c r="AK258" s="191"/>
    </x:row>
    <x:row r="259">
      <x:c r="A259" s="191"/>
      <x:c r="B259" s="191"/>
      <x:c r="C259" s="191"/>
      <x:c r="D259" s="191"/>
      <x:c r="E259" s="191"/>
      <x:c r="F259" s="191"/>
      <x:c r="G259" s="191"/>
      <x:c r="H259" s="191"/>
      <x:c r="I259" s="191"/>
      <x:c r="J259" s="191"/>
      <x:c r="K259" s="191"/>
      <x:c r="L259" s="191"/>
      <x:c r="M259" s="191"/>
      <x:c r="N259" s="191"/>
      <x:c r="O259" s="191"/>
      <x:c r="P259" s="191"/>
      <x:c r="Q259" s="191"/>
      <x:c r="R259" s="191"/>
      <x:c r="S259" s="191"/>
      <x:c r="T259" s="191"/>
      <x:c r="U259" s="191"/>
      <x:c r="V259" s="191"/>
      <x:c r="W259" s="191"/>
      <x:c r="X259" s="191"/>
      <x:c r="Y259" s="191"/>
      <x:c r="Z259" s="191"/>
      <x:c r="AA259" s="191"/>
      <x:c r="AB259" s="191"/>
      <x:c r="AC259" s="191"/>
      <x:c r="AD259" s="191"/>
      <x:c r="AE259" s="191"/>
      <x:c r="AF259" s="191"/>
      <x:c r="AG259" s="191"/>
      <x:c r="AH259" s="191"/>
      <x:c r="AI259" s="191"/>
      <x:c r="AJ259" s="191"/>
      <x:c r="AK259" s="191"/>
    </x:row>
    <x:row r="260">
      <x:c r="A260" s="191"/>
      <x:c r="B260" s="191"/>
      <x:c r="C260" s="191"/>
      <x:c r="D260" s="191"/>
      <x:c r="E260" s="191"/>
      <x:c r="F260" s="191"/>
      <x:c r="G260" s="191"/>
      <x:c r="H260" s="191"/>
      <x:c r="I260" s="191"/>
      <x:c r="J260" s="191"/>
      <x:c r="K260" s="191"/>
      <x:c r="L260" s="191"/>
      <x:c r="M260" s="191"/>
      <x:c r="N260" s="191"/>
      <x:c r="O260" s="191"/>
      <x:c r="P260" s="191"/>
      <x:c r="Q260" s="191"/>
      <x:c r="R260" s="191"/>
      <x:c r="S260" s="191"/>
      <x:c r="T260" s="191"/>
      <x:c r="U260" s="191"/>
      <x:c r="V260" s="191"/>
      <x:c r="W260" s="191"/>
      <x:c r="X260" s="191"/>
      <x:c r="Y260" s="191"/>
      <x:c r="Z260" s="191"/>
      <x:c r="AA260" s="191"/>
      <x:c r="AB260" s="191"/>
      <x:c r="AC260" s="191"/>
      <x:c r="AD260" s="191"/>
      <x:c r="AE260" s="191"/>
      <x:c r="AF260" s="191"/>
      <x:c r="AG260" s="191"/>
      <x:c r="AH260" s="191"/>
      <x:c r="AI260" s="191"/>
      <x:c r="AJ260" s="191"/>
      <x:c r="AK260" s="191"/>
    </x:row>
    <x:row r="261">
      <x:c r="A261" s="191"/>
      <x:c r="B261" s="191"/>
      <x:c r="C261" s="191"/>
      <x:c r="D261" s="191"/>
      <x:c r="E261" s="191"/>
      <x:c r="F261" s="191"/>
      <x:c r="G261" s="191"/>
      <x:c r="H261" s="191"/>
      <x:c r="I261" s="191"/>
      <x:c r="J261" s="191"/>
      <x:c r="K261" s="191"/>
      <x:c r="L261" s="191"/>
      <x:c r="M261" s="191"/>
      <x:c r="N261" s="191"/>
      <x:c r="O261" s="191"/>
      <x:c r="P261" s="191"/>
      <x:c r="Q261" s="191"/>
      <x:c r="R261" s="191"/>
      <x:c r="S261" s="191"/>
      <x:c r="T261" s="191"/>
      <x:c r="U261" s="191"/>
      <x:c r="V261" s="191"/>
      <x:c r="W261" s="191"/>
      <x:c r="X261" s="191"/>
      <x:c r="Y261" s="191"/>
      <x:c r="Z261" s="191"/>
      <x:c r="AA261" s="191"/>
      <x:c r="AB261" s="191"/>
      <x:c r="AC261" s="191"/>
      <x:c r="AD261" s="191"/>
      <x:c r="AE261" s="191"/>
      <x:c r="AF261" s="191"/>
      <x:c r="AG261" s="191"/>
      <x:c r="AH261" s="191"/>
      <x:c r="AI261" s="191"/>
      <x:c r="AJ261" s="191"/>
      <x:c r="AK261" s="191"/>
    </x:row>
    <x:row r="262">
      <x:c r="A262" s="191"/>
      <x:c r="B262" s="191"/>
      <x:c r="C262" s="191"/>
      <x:c r="D262" s="191"/>
      <x:c r="E262" s="191"/>
      <x:c r="F262" s="191"/>
      <x:c r="G262" s="191"/>
      <x:c r="H262" s="191"/>
      <x:c r="I262" s="191"/>
      <x:c r="J262" s="191"/>
      <x:c r="K262" s="191"/>
      <x:c r="L262" s="191"/>
      <x:c r="M262" s="191"/>
      <x:c r="N262" s="191"/>
      <x:c r="O262" s="191"/>
      <x:c r="P262" s="191"/>
      <x:c r="Q262" s="191"/>
      <x:c r="R262" s="191"/>
      <x:c r="S262" s="191"/>
      <x:c r="T262" s="191"/>
      <x:c r="U262" s="191"/>
      <x:c r="V262" s="191"/>
      <x:c r="W262" s="191"/>
      <x:c r="X262" s="191"/>
      <x:c r="Y262" s="191"/>
      <x:c r="Z262" s="191"/>
      <x:c r="AA262" s="191"/>
      <x:c r="AB262" s="191"/>
      <x:c r="AC262" s="191"/>
      <x:c r="AD262" s="191"/>
      <x:c r="AE262" s="191"/>
      <x:c r="AF262" s="191"/>
      <x:c r="AG262" s="191"/>
      <x:c r="AH262" s="191"/>
      <x:c r="AI262" s="191"/>
      <x:c r="AJ262" s="191"/>
      <x:c r="AK262" s="191"/>
    </x:row>
    <x:row r="263">
      <x:c r="A263" s="191"/>
      <x:c r="B263" s="191"/>
      <x:c r="C263" s="191"/>
      <x:c r="D263" s="191"/>
      <x:c r="E263" s="191"/>
      <x:c r="F263" s="191"/>
      <x:c r="G263" s="191"/>
      <x:c r="H263" s="191"/>
      <x:c r="I263" s="191"/>
      <x:c r="J263" s="191"/>
      <x:c r="K263" s="191"/>
      <x:c r="L263" s="191"/>
      <x:c r="M263" s="191"/>
      <x:c r="N263" s="191"/>
      <x:c r="O263" s="191"/>
      <x:c r="P263" s="191"/>
      <x:c r="Q263" s="191"/>
      <x:c r="R263" s="191"/>
      <x:c r="S263" s="191"/>
      <x:c r="T263" s="191"/>
      <x:c r="U263" s="191"/>
      <x:c r="V263" s="191"/>
      <x:c r="W263" s="191"/>
      <x:c r="X263" s="191"/>
      <x:c r="Y263" s="191"/>
      <x:c r="Z263" s="191"/>
      <x:c r="AA263" s="191"/>
      <x:c r="AB263" s="191"/>
      <x:c r="AC263" s="191"/>
      <x:c r="AD263" s="191"/>
      <x:c r="AE263" s="191"/>
      <x:c r="AF263" s="191"/>
      <x:c r="AG263" s="191"/>
      <x:c r="AH263" s="191"/>
      <x:c r="AI263" s="191"/>
      <x:c r="AJ263" s="191"/>
      <x:c r="AK263" s="191"/>
    </x:row>
    <x:row r="264">
      <x:c r="A264" s="191"/>
      <x:c r="B264" s="191"/>
      <x:c r="C264" s="191"/>
      <x:c r="D264" s="191"/>
      <x:c r="E264" s="191"/>
      <x:c r="F264" s="191"/>
      <x:c r="G264" s="191"/>
      <x:c r="H264" s="191"/>
      <x:c r="I264" s="191"/>
      <x:c r="J264" s="191"/>
      <x:c r="K264" s="191"/>
      <x:c r="L264" s="191"/>
      <x:c r="M264" s="191"/>
      <x:c r="N264" s="191"/>
      <x:c r="O264" s="191"/>
      <x:c r="P264" s="191"/>
      <x:c r="Q264" s="191"/>
      <x:c r="R264" s="191"/>
      <x:c r="S264" s="191"/>
      <x:c r="T264" s="191"/>
      <x:c r="U264" s="191"/>
      <x:c r="V264" s="191"/>
      <x:c r="W264" s="191"/>
      <x:c r="X264" s="191"/>
      <x:c r="Y264" s="191"/>
      <x:c r="Z264" s="191"/>
      <x:c r="AA264" s="191"/>
      <x:c r="AB264" s="191"/>
      <x:c r="AC264" s="191"/>
      <x:c r="AD264" s="191"/>
      <x:c r="AE264" s="191"/>
      <x:c r="AF264" s="191"/>
      <x:c r="AG264" s="191"/>
      <x:c r="AH264" s="191"/>
      <x:c r="AI264" s="191"/>
      <x:c r="AJ264" s="191"/>
      <x:c r="AK264" s="191"/>
    </x:row>
    <x:row r="265">
      <x:c r="A265" s="191"/>
      <x:c r="B265" s="191"/>
      <x:c r="C265" s="191"/>
      <x:c r="D265" s="191"/>
      <x:c r="E265" s="191"/>
      <x:c r="F265" s="191"/>
      <x:c r="G265" s="191"/>
      <x:c r="H265" s="191"/>
      <x:c r="I265" s="191"/>
      <x:c r="J265" s="191"/>
      <x:c r="K265" s="191"/>
      <x:c r="L265" s="191"/>
      <x:c r="M265" s="191"/>
      <x:c r="N265" s="191"/>
      <x:c r="O265" s="191"/>
      <x:c r="P265" s="191"/>
      <x:c r="Q265" s="191"/>
      <x:c r="R265" s="191"/>
      <x:c r="S265" s="191"/>
      <x:c r="T265" s="191"/>
      <x:c r="U265" s="191"/>
      <x:c r="V265" s="191"/>
      <x:c r="W265" s="191"/>
      <x:c r="X265" s="191"/>
      <x:c r="Y265" s="191"/>
      <x:c r="Z265" s="191"/>
      <x:c r="AA265" s="191"/>
      <x:c r="AB265" s="191"/>
      <x:c r="AC265" s="191"/>
      <x:c r="AD265" s="191"/>
      <x:c r="AE265" s="191"/>
      <x:c r="AF265" s="191"/>
      <x:c r="AG265" s="191"/>
      <x:c r="AH265" s="191"/>
      <x:c r="AI265" s="191"/>
      <x:c r="AJ265" s="191"/>
      <x:c r="AK265" s="191"/>
    </x:row>
    <x:row r="266">
      <x:c r="A266" s="191"/>
      <x:c r="B266" s="191"/>
      <x:c r="C266" s="191"/>
      <x:c r="D266" s="191"/>
      <x:c r="E266" s="191"/>
      <x:c r="F266" s="191"/>
      <x:c r="G266" s="191"/>
      <x:c r="H266" s="191"/>
      <x:c r="I266" s="191"/>
      <x:c r="J266" s="191"/>
      <x:c r="K266" s="191"/>
      <x:c r="L266" s="191"/>
      <x:c r="M266" s="191"/>
      <x:c r="N266" s="191"/>
      <x:c r="O266" s="191"/>
      <x:c r="P266" s="191"/>
      <x:c r="Q266" s="191"/>
      <x:c r="R266" s="191"/>
      <x:c r="S266" s="191"/>
      <x:c r="T266" s="191"/>
      <x:c r="U266" s="191"/>
      <x:c r="V266" s="191"/>
      <x:c r="W266" s="191"/>
      <x:c r="X266" s="191"/>
      <x:c r="Y266" s="191"/>
      <x:c r="Z266" s="191"/>
      <x:c r="AA266" s="191"/>
      <x:c r="AB266" s="191"/>
      <x:c r="AC266" s="191"/>
      <x:c r="AD266" s="191"/>
      <x:c r="AE266" s="191"/>
      <x:c r="AF266" s="191"/>
      <x:c r="AG266" s="191"/>
      <x:c r="AH266" s="191"/>
      <x:c r="AI266" s="191"/>
      <x:c r="AJ266" s="191"/>
      <x:c r="AK266" s="191"/>
    </x:row>
    <x:row r="267">
      <x:c r="A267" s="191"/>
      <x:c r="B267" s="191"/>
      <x:c r="C267" s="191"/>
      <x:c r="D267" s="191"/>
      <x:c r="E267" s="191"/>
      <x:c r="F267" s="191"/>
      <x:c r="G267" s="191"/>
      <x:c r="H267" s="191"/>
      <x:c r="I267" s="191"/>
      <x:c r="J267" s="191"/>
      <x:c r="K267" s="191"/>
      <x:c r="L267" s="191"/>
      <x:c r="M267" s="191"/>
      <x:c r="N267" s="191"/>
      <x:c r="O267" s="191"/>
      <x:c r="P267" s="191"/>
      <x:c r="Q267" s="191"/>
      <x:c r="R267" s="191"/>
      <x:c r="S267" s="191"/>
      <x:c r="T267" s="191"/>
      <x:c r="U267" s="191"/>
      <x:c r="V267" s="191"/>
      <x:c r="W267" s="191"/>
      <x:c r="X267" s="191"/>
      <x:c r="Y267" s="191"/>
      <x:c r="Z267" s="191"/>
      <x:c r="AA267" s="191"/>
      <x:c r="AB267" s="191"/>
      <x:c r="AC267" s="191"/>
      <x:c r="AD267" s="191"/>
      <x:c r="AE267" s="191"/>
      <x:c r="AF267" s="191"/>
      <x:c r="AG267" s="191"/>
      <x:c r="AH267" s="191"/>
      <x:c r="AI267" s="191"/>
      <x:c r="AJ267" s="191"/>
      <x:c r="AK267" s="191"/>
    </x:row>
    <x:row r="268">
      <x:c r="A268" s="191"/>
      <x:c r="B268" s="191"/>
      <x:c r="C268" s="191"/>
      <x:c r="D268" s="191"/>
      <x:c r="E268" s="191"/>
      <x:c r="F268" s="191"/>
      <x:c r="G268" s="191"/>
      <x:c r="H268" s="191"/>
      <x:c r="I268" s="191"/>
      <x:c r="J268" s="191"/>
      <x:c r="K268" s="191"/>
      <x:c r="L268" s="191"/>
      <x:c r="M268" s="191"/>
      <x:c r="N268" s="191"/>
      <x:c r="O268" s="191"/>
      <x:c r="P268" s="191"/>
      <x:c r="Q268" s="191"/>
      <x:c r="R268" s="191"/>
      <x:c r="S268" s="191"/>
      <x:c r="T268" s="191"/>
      <x:c r="U268" s="191"/>
      <x:c r="V268" s="191"/>
      <x:c r="W268" s="191"/>
      <x:c r="X268" s="191"/>
      <x:c r="Y268" s="191"/>
      <x:c r="Z268" s="191"/>
      <x:c r="AA268" s="191"/>
      <x:c r="AB268" s="191"/>
      <x:c r="AC268" s="191"/>
      <x:c r="AD268" s="191"/>
      <x:c r="AE268" s="191"/>
      <x:c r="AF268" s="191"/>
      <x:c r="AG268" s="191"/>
      <x:c r="AH268" s="191"/>
      <x:c r="AI268" s="191"/>
      <x:c r="AJ268" s="191"/>
      <x:c r="AK268" s="191"/>
    </x:row>
    <x:row r="269">
      <x:c r="A269" s="191"/>
      <x:c r="B269" s="191"/>
      <x:c r="C269" s="191"/>
      <x:c r="D269" s="191"/>
      <x:c r="E269" s="191"/>
      <x:c r="F269" s="191"/>
      <x:c r="G269" s="191"/>
      <x:c r="H269" s="191"/>
      <x:c r="I269" s="191"/>
      <x:c r="J269" s="191"/>
      <x:c r="K269" s="191"/>
      <x:c r="L269" s="191"/>
      <x:c r="M269" s="191"/>
      <x:c r="N269" s="191"/>
      <x:c r="O269" s="191"/>
      <x:c r="P269" s="191"/>
      <x:c r="Q269" s="191"/>
      <x:c r="R269" s="191"/>
      <x:c r="S269" s="191"/>
      <x:c r="T269" s="191"/>
      <x:c r="U269" s="191"/>
      <x:c r="V269" s="191"/>
      <x:c r="W269" s="191"/>
      <x:c r="X269" s="191"/>
      <x:c r="Y269" s="191"/>
      <x:c r="Z269" s="191"/>
      <x:c r="AA269" s="191"/>
      <x:c r="AB269" s="191"/>
      <x:c r="AC269" s="191"/>
      <x:c r="AD269" s="191"/>
      <x:c r="AE269" s="191"/>
      <x:c r="AF269" s="191"/>
      <x:c r="AG269" s="191"/>
      <x:c r="AH269" s="191"/>
      <x:c r="AI269" s="191"/>
      <x:c r="AJ269" s="191"/>
      <x:c r="AK269" s="191"/>
    </x:row>
    <x:row r="270">
      <x:c r="A270" s="191"/>
      <x:c r="B270" s="191"/>
      <x:c r="C270" s="191"/>
      <x:c r="D270" s="191"/>
      <x:c r="E270" s="191"/>
      <x:c r="F270" s="191"/>
      <x:c r="G270" s="191"/>
      <x:c r="H270" s="191"/>
      <x:c r="I270" s="191"/>
      <x:c r="J270" s="191"/>
      <x:c r="K270" s="191"/>
      <x:c r="L270" s="191"/>
      <x:c r="M270" s="191"/>
      <x:c r="N270" s="191"/>
      <x:c r="O270" s="191"/>
      <x:c r="P270" s="191"/>
      <x:c r="Q270" s="191"/>
      <x:c r="R270" s="191"/>
      <x:c r="S270" s="191"/>
      <x:c r="T270" s="191"/>
      <x:c r="U270" s="191"/>
      <x:c r="V270" s="191"/>
      <x:c r="W270" s="191"/>
      <x:c r="X270" s="191"/>
      <x:c r="Y270" s="191"/>
      <x:c r="Z270" s="191"/>
      <x:c r="AA270" s="191"/>
      <x:c r="AB270" s="191"/>
      <x:c r="AC270" s="191"/>
      <x:c r="AD270" s="191"/>
      <x:c r="AE270" s="191"/>
      <x:c r="AF270" s="191"/>
      <x:c r="AG270" s="191"/>
      <x:c r="AH270" s="191"/>
      <x:c r="AI270" s="191"/>
      <x:c r="AJ270" s="191"/>
      <x:c r="AK270" s="191"/>
    </x:row>
    <x:row r="271">
      <x:c r="A271" s="191"/>
      <x:c r="B271" s="191"/>
      <x:c r="C271" s="191"/>
      <x:c r="D271" s="191"/>
      <x:c r="E271" s="191"/>
      <x:c r="F271" s="191"/>
      <x:c r="G271" s="191"/>
      <x:c r="H271" s="191"/>
      <x:c r="I271" s="191"/>
      <x:c r="J271" s="191"/>
      <x:c r="K271" s="191"/>
      <x:c r="L271" s="191"/>
      <x:c r="M271" s="191"/>
      <x:c r="N271" s="191"/>
      <x:c r="O271" s="191"/>
      <x:c r="P271" s="191"/>
      <x:c r="Q271" s="191"/>
      <x:c r="R271" s="191"/>
      <x:c r="S271" s="191"/>
      <x:c r="T271" s="191"/>
      <x:c r="U271" s="191"/>
      <x:c r="V271" s="191"/>
      <x:c r="W271" s="191"/>
      <x:c r="X271" s="191"/>
      <x:c r="Y271" s="191"/>
      <x:c r="Z271" s="191"/>
      <x:c r="AA271" s="191"/>
      <x:c r="AB271" s="191"/>
      <x:c r="AC271" s="191"/>
      <x:c r="AD271" s="191"/>
      <x:c r="AE271" s="191"/>
      <x:c r="AF271" s="191"/>
      <x:c r="AG271" s="191"/>
      <x:c r="AH271" s="191"/>
      <x:c r="AI271" s="191"/>
      <x:c r="AJ271" s="191"/>
      <x:c r="AK271" s="191"/>
    </x:row>
    <x:row r="272">
      <x:c r="A272" s="191"/>
      <x:c r="B272" s="191"/>
      <x:c r="C272" s="191"/>
      <x:c r="D272" s="191"/>
      <x:c r="E272" s="191"/>
      <x:c r="F272" s="191"/>
      <x:c r="G272" s="191"/>
      <x:c r="H272" s="191"/>
      <x:c r="I272" s="191"/>
      <x:c r="J272" s="191"/>
      <x:c r="K272" s="191"/>
      <x:c r="L272" s="191"/>
      <x:c r="M272" s="191"/>
      <x:c r="N272" s="191"/>
      <x:c r="O272" s="191"/>
      <x:c r="P272" s="191"/>
      <x:c r="Q272" s="191"/>
      <x:c r="R272" s="191"/>
      <x:c r="S272" s="191"/>
      <x:c r="T272" s="191"/>
      <x:c r="U272" s="191"/>
      <x:c r="V272" s="191"/>
      <x:c r="W272" s="191"/>
      <x:c r="X272" s="191"/>
      <x:c r="Y272" s="191"/>
      <x:c r="Z272" s="191"/>
      <x:c r="AA272" s="191"/>
      <x:c r="AB272" s="191"/>
      <x:c r="AC272" s="191"/>
      <x:c r="AD272" s="191"/>
      <x:c r="AE272" s="191"/>
      <x:c r="AF272" s="191"/>
      <x:c r="AG272" s="191"/>
      <x:c r="AH272" s="191"/>
      <x:c r="AI272" s="191"/>
      <x:c r="AJ272" s="191"/>
      <x:c r="AK272" s="191"/>
    </x:row>
    <x:row r="273">
      <x:c r="A273" s="191"/>
      <x:c r="B273" s="191"/>
      <x:c r="C273" s="191"/>
      <x:c r="D273" s="191"/>
      <x:c r="E273" s="191"/>
      <x:c r="F273" s="191"/>
      <x:c r="G273" s="191"/>
      <x:c r="H273" s="191"/>
      <x:c r="I273" s="191"/>
      <x:c r="J273" s="191"/>
      <x:c r="K273" s="191"/>
      <x:c r="L273" s="191"/>
      <x:c r="M273" s="191"/>
      <x:c r="N273" s="191"/>
      <x:c r="O273" s="191"/>
      <x:c r="P273" s="191"/>
      <x:c r="Q273" s="191"/>
      <x:c r="R273" s="191"/>
      <x:c r="S273" s="191"/>
      <x:c r="T273" s="191"/>
      <x:c r="U273" s="191"/>
      <x:c r="V273" s="191"/>
      <x:c r="W273" s="191"/>
      <x:c r="X273" s="191"/>
      <x:c r="Y273" s="191"/>
      <x:c r="Z273" s="191"/>
      <x:c r="AA273" s="191"/>
      <x:c r="AB273" s="191"/>
      <x:c r="AC273" s="191"/>
      <x:c r="AD273" s="191"/>
      <x:c r="AE273" s="191"/>
      <x:c r="AF273" s="191"/>
      <x:c r="AG273" s="191"/>
      <x:c r="AH273" s="191"/>
      <x:c r="AI273" s="191"/>
      <x:c r="AJ273" s="191"/>
      <x:c r="AK273" s="191"/>
    </x:row>
    <x:row r="274">
      <x:c r="A274" s="191"/>
      <x:c r="B274" s="191"/>
      <x:c r="C274" s="191"/>
      <x:c r="D274" s="191"/>
      <x:c r="E274" s="191"/>
      <x:c r="F274" s="191"/>
      <x:c r="G274" s="191"/>
      <x:c r="H274" s="191"/>
      <x:c r="I274" s="191"/>
      <x:c r="J274" s="191"/>
      <x:c r="K274" s="191"/>
      <x:c r="L274" s="191"/>
      <x:c r="M274" s="191"/>
      <x:c r="N274" s="191"/>
      <x:c r="O274" s="191"/>
      <x:c r="P274" s="191"/>
      <x:c r="Q274" s="191"/>
      <x:c r="R274" s="191"/>
      <x:c r="S274" s="191"/>
      <x:c r="T274" s="191"/>
      <x:c r="U274" s="191"/>
      <x:c r="V274" s="191"/>
      <x:c r="W274" s="191"/>
      <x:c r="X274" s="191"/>
      <x:c r="Y274" s="191"/>
      <x:c r="Z274" s="191"/>
      <x:c r="AA274" s="191"/>
      <x:c r="AB274" s="191"/>
      <x:c r="AC274" s="191"/>
      <x:c r="AD274" s="191"/>
      <x:c r="AE274" s="191"/>
      <x:c r="AF274" s="191"/>
      <x:c r="AG274" s="191"/>
      <x:c r="AH274" s="191"/>
      <x:c r="AI274" s="191"/>
      <x:c r="AJ274" s="191"/>
      <x:c r="AK274" s="191"/>
    </x:row>
    <x:row r="275">
      <x:c r="A275" s="191"/>
      <x:c r="B275" s="191"/>
      <x:c r="C275" s="191"/>
      <x:c r="D275" s="191"/>
      <x:c r="E275" s="191"/>
      <x:c r="F275" s="191"/>
      <x:c r="G275" s="191"/>
      <x:c r="H275" s="191"/>
      <x:c r="I275" s="191"/>
      <x:c r="J275" s="191"/>
      <x:c r="K275" s="191"/>
      <x:c r="L275" s="191"/>
      <x:c r="M275" s="191"/>
      <x:c r="N275" s="191"/>
      <x:c r="O275" s="191"/>
      <x:c r="P275" s="191"/>
      <x:c r="Q275" s="191"/>
      <x:c r="R275" s="191"/>
      <x:c r="S275" s="191"/>
      <x:c r="T275" s="191"/>
      <x:c r="U275" s="191"/>
      <x:c r="V275" s="191"/>
      <x:c r="W275" s="191"/>
      <x:c r="X275" s="191"/>
      <x:c r="Y275" s="191"/>
      <x:c r="Z275" s="191"/>
      <x:c r="AA275" s="191"/>
      <x:c r="AB275" s="191"/>
      <x:c r="AC275" s="191"/>
      <x:c r="AD275" s="191"/>
      <x:c r="AE275" s="191"/>
      <x:c r="AF275" s="191"/>
      <x:c r="AG275" s="191"/>
      <x:c r="AH275" s="191"/>
      <x:c r="AI275" s="191"/>
      <x:c r="AJ275" s="191"/>
      <x:c r="AK275" s="191"/>
    </x:row>
    <x:row r="276">
      <x:c r="A276" s="191"/>
      <x:c r="B276" s="191"/>
      <x:c r="C276" s="191"/>
      <x:c r="D276" s="191"/>
      <x:c r="E276" s="191"/>
      <x:c r="F276" s="191"/>
      <x:c r="G276" s="191"/>
      <x:c r="H276" s="191"/>
      <x:c r="I276" s="191"/>
      <x:c r="J276" s="191"/>
      <x:c r="K276" s="191"/>
      <x:c r="L276" s="191"/>
      <x:c r="M276" s="191"/>
      <x:c r="N276" s="191"/>
      <x:c r="O276" s="191"/>
      <x:c r="P276" s="191"/>
      <x:c r="Q276" s="191"/>
      <x:c r="R276" s="191"/>
      <x:c r="S276" s="191"/>
      <x:c r="T276" s="191"/>
      <x:c r="U276" s="191"/>
      <x:c r="V276" s="191"/>
      <x:c r="W276" s="191"/>
      <x:c r="X276" s="191"/>
      <x:c r="Y276" s="191"/>
      <x:c r="Z276" s="191"/>
      <x:c r="AA276" s="191"/>
      <x:c r="AB276" s="191"/>
      <x:c r="AC276" s="191"/>
      <x:c r="AD276" s="191"/>
      <x:c r="AE276" s="191"/>
      <x:c r="AF276" s="191"/>
      <x:c r="AG276" s="191"/>
      <x:c r="AH276" s="191"/>
      <x:c r="AI276" s="191"/>
      <x:c r="AJ276" s="191"/>
      <x:c r="AK276" s="191"/>
    </x:row>
    <x:row r="277">
      <x:c r="A277" s="191"/>
      <x:c r="B277" s="191"/>
      <x:c r="C277" s="191"/>
      <x:c r="D277" s="191"/>
      <x:c r="E277" s="191"/>
      <x:c r="F277" s="191"/>
      <x:c r="G277" s="191"/>
      <x:c r="H277" s="191"/>
      <x:c r="I277" s="191"/>
      <x:c r="J277" s="191"/>
      <x:c r="K277" s="191"/>
      <x:c r="L277" s="191"/>
      <x:c r="M277" s="191"/>
      <x:c r="N277" s="191"/>
      <x:c r="O277" s="191"/>
      <x:c r="P277" s="191"/>
      <x:c r="Q277" s="191"/>
      <x:c r="R277" s="191"/>
      <x:c r="S277" s="191"/>
      <x:c r="T277" s="191"/>
      <x:c r="U277" s="191"/>
      <x:c r="V277" s="191"/>
      <x:c r="W277" s="191"/>
      <x:c r="X277" s="191"/>
      <x:c r="Y277" s="191"/>
      <x:c r="Z277" s="191"/>
      <x:c r="AA277" s="191"/>
      <x:c r="AB277" s="191"/>
      <x:c r="AC277" s="191"/>
      <x:c r="AD277" s="191"/>
      <x:c r="AE277" s="191"/>
      <x:c r="AF277" s="191"/>
      <x:c r="AG277" s="191"/>
      <x:c r="AH277" s="191"/>
      <x:c r="AI277" s="191"/>
      <x:c r="AJ277" s="191"/>
      <x:c r="AK277" s="191"/>
    </x:row>
    <x:row r="278">
      <x:c r="A278" s="191"/>
      <x:c r="B278" s="191"/>
      <x:c r="C278" s="191"/>
      <x:c r="D278" s="191"/>
      <x:c r="E278" s="191"/>
      <x:c r="F278" s="191"/>
      <x:c r="G278" s="191"/>
      <x:c r="H278" s="191"/>
      <x:c r="I278" s="191"/>
      <x:c r="J278" s="191"/>
      <x:c r="K278" s="191"/>
      <x:c r="L278" s="191"/>
      <x:c r="M278" s="191"/>
      <x:c r="N278" s="191"/>
      <x:c r="O278" s="191"/>
      <x:c r="P278" s="191"/>
      <x:c r="Q278" s="191"/>
      <x:c r="R278" s="191"/>
      <x:c r="S278" s="191"/>
      <x:c r="T278" s="191"/>
      <x:c r="U278" s="191"/>
      <x:c r="V278" s="191"/>
      <x:c r="W278" s="191"/>
      <x:c r="X278" s="191"/>
      <x:c r="Y278" s="191"/>
      <x:c r="Z278" s="191"/>
      <x:c r="AA278" s="191"/>
      <x:c r="AB278" s="191"/>
      <x:c r="AC278" s="191"/>
      <x:c r="AD278" s="191"/>
      <x:c r="AE278" s="191"/>
      <x:c r="AF278" s="191"/>
      <x:c r="AG278" s="191"/>
      <x:c r="AH278" s="191"/>
      <x:c r="AI278" s="191"/>
      <x:c r="AJ278" s="191"/>
      <x:c r="AK278" s="191"/>
    </x:row>
    <x:row r="279">
      <x:c r="A279" s="191"/>
      <x:c r="B279" s="191"/>
      <x:c r="C279" s="191"/>
      <x:c r="D279" s="191"/>
      <x:c r="E279" s="191"/>
      <x:c r="F279" s="191"/>
      <x:c r="G279" s="191"/>
      <x:c r="H279" s="191"/>
      <x:c r="I279" s="191"/>
      <x:c r="J279" s="191"/>
      <x:c r="K279" s="191"/>
      <x:c r="L279" s="191"/>
      <x:c r="M279" s="191"/>
      <x:c r="N279" s="191"/>
      <x:c r="O279" s="191"/>
      <x:c r="P279" s="191"/>
      <x:c r="Q279" s="191"/>
      <x:c r="R279" s="191"/>
      <x:c r="S279" s="191"/>
      <x:c r="T279" s="191"/>
      <x:c r="U279" s="191"/>
      <x:c r="V279" s="191"/>
      <x:c r="W279" s="191"/>
      <x:c r="X279" s="191"/>
      <x:c r="Y279" s="191"/>
      <x:c r="Z279" s="191"/>
      <x:c r="AA279" s="191"/>
      <x:c r="AB279" s="191"/>
      <x:c r="AC279" s="191"/>
      <x:c r="AD279" s="191"/>
      <x:c r="AE279" s="191"/>
      <x:c r="AF279" s="191"/>
      <x:c r="AG279" s="191"/>
      <x:c r="AH279" s="191"/>
      <x:c r="AI279" s="191"/>
      <x:c r="AJ279" s="191"/>
      <x:c r="AK279" s="191"/>
    </x:row>
    <x:row r="280">
      <x:c r="A280" s="191"/>
      <x:c r="B280" s="191"/>
      <x:c r="C280" s="191"/>
      <x:c r="D280" s="191"/>
      <x:c r="E280" s="191"/>
      <x:c r="F280" s="191"/>
      <x:c r="G280" s="191"/>
      <x:c r="H280" s="191"/>
      <x:c r="I280" s="191"/>
      <x:c r="J280" s="191"/>
      <x:c r="K280" s="191"/>
      <x:c r="L280" s="191"/>
      <x:c r="M280" s="191"/>
      <x:c r="N280" s="191"/>
      <x:c r="O280" s="191"/>
      <x:c r="P280" s="191"/>
      <x:c r="Q280" s="191"/>
      <x:c r="R280" s="191"/>
      <x:c r="S280" s="191"/>
      <x:c r="T280" s="191"/>
      <x:c r="U280" s="191"/>
      <x:c r="V280" s="191"/>
      <x:c r="W280" s="191"/>
      <x:c r="X280" s="191"/>
      <x:c r="Y280" s="191"/>
      <x:c r="Z280" s="191"/>
      <x:c r="AA280" s="191"/>
      <x:c r="AB280" s="191"/>
      <x:c r="AC280" s="191"/>
      <x:c r="AD280" s="191"/>
      <x:c r="AE280" s="191"/>
      <x:c r="AF280" s="191"/>
      <x:c r="AG280" s="191"/>
      <x:c r="AH280" s="191"/>
      <x:c r="AI280" s="191"/>
      <x:c r="AJ280" s="191"/>
      <x:c r="AK280" s="191"/>
    </x:row>
    <x:row r="281">
      <x:c r="A281" s="191"/>
      <x:c r="B281" s="191"/>
      <x:c r="C281" s="191"/>
      <x:c r="D281" s="191"/>
      <x:c r="E281" s="191"/>
      <x:c r="F281" s="191"/>
      <x:c r="G281" s="191"/>
      <x:c r="H281" s="191"/>
      <x:c r="I281" s="191"/>
      <x:c r="J281" s="191"/>
      <x:c r="K281" s="191"/>
      <x:c r="L281" s="191"/>
      <x:c r="M281" s="191"/>
      <x:c r="N281" s="191"/>
      <x:c r="O281" s="191"/>
      <x:c r="P281" s="191"/>
      <x:c r="Q281" s="191"/>
      <x:c r="R281" s="191"/>
      <x:c r="S281" s="191"/>
      <x:c r="T281" s="191"/>
      <x:c r="U281" s="191"/>
      <x:c r="V281" s="191"/>
      <x:c r="W281" s="191"/>
      <x:c r="X281" s="191"/>
      <x:c r="Y281" s="191"/>
      <x:c r="Z281" s="191"/>
      <x:c r="AA281" s="191"/>
      <x:c r="AB281" s="191"/>
      <x:c r="AC281" s="191"/>
      <x:c r="AD281" s="191"/>
      <x:c r="AE281" s="191"/>
      <x:c r="AF281" s="191"/>
      <x:c r="AG281" s="191"/>
      <x:c r="AH281" s="191"/>
      <x:c r="AI281" s="191"/>
      <x:c r="AJ281" s="191"/>
      <x:c r="AK281" s="191"/>
    </x:row>
    <x:row r="282">
      <x:c r="A282" s="191"/>
      <x:c r="B282" s="191"/>
      <x:c r="C282" s="191"/>
      <x:c r="D282" s="191"/>
      <x:c r="E282" s="191"/>
      <x:c r="F282" s="191"/>
      <x:c r="G282" s="191"/>
      <x:c r="H282" s="191"/>
      <x:c r="I282" s="191"/>
      <x:c r="J282" s="191"/>
      <x:c r="K282" s="191"/>
      <x:c r="L282" s="191"/>
      <x:c r="M282" s="191"/>
      <x:c r="N282" s="191"/>
      <x:c r="O282" s="191"/>
      <x:c r="P282" s="191"/>
      <x:c r="Q282" s="191"/>
      <x:c r="R282" s="191"/>
      <x:c r="S282" s="191"/>
      <x:c r="T282" s="191"/>
      <x:c r="U282" s="191"/>
      <x:c r="V282" s="191"/>
      <x:c r="W282" s="191"/>
      <x:c r="X282" s="191"/>
      <x:c r="Y282" s="191"/>
      <x:c r="Z282" s="191"/>
      <x:c r="AA282" s="191"/>
      <x:c r="AB282" s="191"/>
      <x:c r="AC282" s="191"/>
      <x:c r="AD282" s="191"/>
      <x:c r="AE282" s="191"/>
      <x:c r="AF282" s="191"/>
      <x:c r="AG282" s="191"/>
      <x:c r="AH282" s="191"/>
      <x:c r="AI282" s="191"/>
      <x:c r="AJ282" s="191"/>
      <x:c r="AK282" s="191"/>
    </x:row>
    <x:row r="283">
      <x:c r="A283" s="191"/>
      <x:c r="B283" s="191"/>
      <x:c r="C283" s="191"/>
      <x:c r="D283" s="191"/>
      <x:c r="E283" s="191"/>
      <x:c r="F283" s="191"/>
      <x:c r="G283" s="191"/>
      <x:c r="H283" s="191"/>
      <x:c r="I283" s="191"/>
      <x:c r="J283" s="191"/>
      <x:c r="K283" s="191"/>
      <x:c r="L283" s="191"/>
      <x:c r="M283" s="191"/>
      <x:c r="N283" s="191"/>
      <x:c r="O283" s="191"/>
      <x:c r="P283" s="191"/>
      <x:c r="Q283" s="191"/>
      <x:c r="R283" s="191"/>
      <x:c r="S283" s="191"/>
      <x:c r="T283" s="191"/>
      <x:c r="U283" s="191"/>
      <x:c r="V283" s="191"/>
      <x:c r="W283" s="191"/>
      <x:c r="X283" s="191"/>
      <x:c r="Y283" s="191"/>
      <x:c r="Z283" s="191"/>
      <x:c r="AA283" s="191"/>
      <x:c r="AB283" s="191"/>
      <x:c r="AC283" s="191"/>
      <x:c r="AD283" s="191"/>
      <x:c r="AE283" s="191"/>
      <x:c r="AF283" s="191"/>
      <x:c r="AG283" s="191"/>
      <x:c r="AH283" s="191"/>
      <x:c r="AI283" s="191"/>
      <x:c r="AJ283" s="191"/>
      <x:c r="AK283" s="191"/>
    </x:row>
    <x:row r="284">
      <x:c r="A284" s="191"/>
      <x:c r="B284" s="191"/>
      <x:c r="C284" s="191"/>
      <x:c r="D284" s="191"/>
      <x:c r="E284" s="191"/>
      <x:c r="F284" s="191"/>
      <x:c r="G284" s="191"/>
      <x:c r="H284" s="191"/>
      <x:c r="I284" s="191"/>
      <x:c r="J284" s="191"/>
      <x:c r="K284" s="191"/>
      <x:c r="L284" s="191"/>
      <x:c r="M284" s="191"/>
      <x:c r="N284" s="191"/>
      <x:c r="O284" s="191"/>
      <x:c r="P284" s="191"/>
      <x:c r="Q284" s="191"/>
      <x:c r="R284" s="191"/>
      <x:c r="S284" s="191"/>
      <x:c r="T284" s="191"/>
      <x:c r="U284" s="191"/>
      <x:c r="V284" s="191"/>
      <x:c r="W284" s="191"/>
      <x:c r="X284" s="191"/>
      <x:c r="Y284" s="191"/>
      <x:c r="Z284" s="191"/>
      <x:c r="AA284" s="191"/>
      <x:c r="AB284" s="191"/>
      <x:c r="AC284" s="191"/>
      <x:c r="AD284" s="191"/>
      <x:c r="AE284" s="191"/>
      <x:c r="AF284" s="191"/>
      <x:c r="AG284" s="191"/>
      <x:c r="AH284" s="191"/>
      <x:c r="AI284" s="191"/>
      <x:c r="AJ284" s="191"/>
      <x:c r="AK284" s="191"/>
    </x:row>
    <x:row r="285">
      <x:c r="A285" s="191"/>
      <x:c r="B285" s="191"/>
      <x:c r="C285" s="191"/>
      <x:c r="D285" s="191"/>
      <x:c r="E285" s="191"/>
      <x:c r="F285" s="191"/>
      <x:c r="G285" s="191"/>
      <x:c r="H285" s="191"/>
      <x:c r="I285" s="191"/>
      <x:c r="J285" s="191"/>
      <x:c r="K285" s="191"/>
      <x:c r="L285" s="191"/>
      <x:c r="M285" s="191"/>
      <x:c r="N285" s="191"/>
      <x:c r="O285" s="191"/>
      <x:c r="P285" s="191"/>
      <x:c r="Q285" s="191"/>
      <x:c r="R285" s="191"/>
      <x:c r="S285" s="191"/>
      <x:c r="T285" s="191"/>
      <x:c r="U285" s="191"/>
      <x:c r="V285" s="191"/>
      <x:c r="W285" s="191"/>
      <x:c r="X285" s="191"/>
      <x:c r="Y285" s="191"/>
      <x:c r="Z285" s="191"/>
      <x:c r="AA285" s="191"/>
      <x:c r="AB285" s="191"/>
      <x:c r="AC285" s="191"/>
      <x:c r="AD285" s="191"/>
      <x:c r="AE285" s="191"/>
      <x:c r="AF285" s="191"/>
      <x:c r="AG285" s="191"/>
      <x:c r="AH285" s="191"/>
      <x:c r="AI285" s="191"/>
      <x:c r="AJ285" s="191"/>
      <x:c r="AK285" s="191"/>
    </x:row>
    <x:row r="286">
      <x:c r="A286" s="191"/>
      <x:c r="B286" s="191"/>
      <x:c r="C286" s="191"/>
      <x:c r="D286" s="191"/>
      <x:c r="E286" s="191"/>
      <x:c r="F286" s="191"/>
      <x:c r="G286" s="191"/>
      <x:c r="H286" s="191"/>
      <x:c r="I286" s="191"/>
      <x:c r="J286" s="191"/>
      <x:c r="K286" s="191"/>
      <x:c r="L286" s="191"/>
      <x:c r="M286" s="191"/>
      <x:c r="N286" s="191"/>
      <x:c r="O286" s="191"/>
      <x:c r="P286" s="191"/>
      <x:c r="Q286" s="191"/>
      <x:c r="R286" s="191"/>
      <x:c r="S286" s="191"/>
      <x:c r="T286" s="191"/>
      <x:c r="U286" s="191"/>
      <x:c r="V286" s="191"/>
      <x:c r="W286" s="191"/>
      <x:c r="X286" s="191"/>
      <x:c r="Y286" s="191"/>
      <x:c r="Z286" s="191"/>
      <x:c r="AA286" s="191"/>
      <x:c r="AB286" s="191"/>
      <x:c r="AC286" s="191"/>
      <x:c r="AD286" s="191"/>
      <x:c r="AE286" s="191"/>
      <x:c r="AF286" s="191"/>
      <x:c r="AG286" s="191"/>
      <x:c r="AH286" s="191"/>
      <x:c r="AI286" s="191"/>
      <x:c r="AJ286" s="191"/>
      <x:c r="AK286" s="191"/>
    </x:row>
    <x:row r="287">
      <x:c r="A287" s="191"/>
      <x:c r="B287" s="191"/>
      <x:c r="C287" s="191"/>
      <x:c r="D287" s="191"/>
      <x:c r="E287" s="191"/>
      <x:c r="F287" s="191"/>
      <x:c r="G287" s="191"/>
      <x:c r="H287" s="191"/>
      <x:c r="I287" s="191"/>
      <x:c r="J287" s="191"/>
      <x:c r="K287" s="191"/>
      <x:c r="L287" s="191"/>
      <x:c r="M287" s="191"/>
      <x:c r="N287" s="191"/>
      <x:c r="O287" s="191"/>
      <x:c r="P287" s="191"/>
      <x:c r="Q287" s="191"/>
      <x:c r="R287" s="191"/>
      <x:c r="S287" s="191"/>
      <x:c r="T287" s="191"/>
      <x:c r="U287" s="191"/>
      <x:c r="V287" s="191"/>
      <x:c r="W287" s="191"/>
      <x:c r="X287" s="191"/>
      <x:c r="Y287" s="191"/>
      <x:c r="Z287" s="191"/>
      <x:c r="AA287" s="191"/>
      <x:c r="AB287" s="191"/>
      <x:c r="AC287" s="191"/>
      <x:c r="AD287" s="191"/>
      <x:c r="AE287" s="191"/>
      <x:c r="AF287" s="191"/>
      <x:c r="AG287" s="191"/>
      <x:c r="AH287" s="191"/>
      <x:c r="AI287" s="191"/>
      <x:c r="AJ287" s="191"/>
      <x:c r="AK287" s="191"/>
    </x:row>
    <x:row r="288">
      <x:c r="A288" s="191"/>
      <x:c r="B288" s="191"/>
      <x:c r="C288" s="191"/>
      <x:c r="D288" s="191"/>
      <x:c r="E288" s="191"/>
      <x:c r="F288" s="191"/>
      <x:c r="G288" s="191"/>
      <x:c r="H288" s="191"/>
      <x:c r="I288" s="191"/>
      <x:c r="J288" s="191"/>
      <x:c r="K288" s="191"/>
      <x:c r="L288" s="191"/>
      <x:c r="M288" s="191"/>
      <x:c r="N288" s="191"/>
      <x:c r="O288" s="191"/>
      <x:c r="P288" s="191"/>
      <x:c r="Q288" s="191"/>
      <x:c r="R288" s="191"/>
      <x:c r="S288" s="191"/>
      <x:c r="T288" s="191"/>
      <x:c r="U288" s="191"/>
      <x:c r="V288" s="191"/>
      <x:c r="W288" s="191"/>
      <x:c r="X288" s="191"/>
      <x:c r="Y288" s="191"/>
      <x:c r="Z288" s="191"/>
      <x:c r="AA288" s="191"/>
      <x:c r="AB288" s="191"/>
      <x:c r="AC288" s="191"/>
      <x:c r="AD288" s="191"/>
      <x:c r="AE288" s="191"/>
      <x:c r="AF288" s="191"/>
      <x:c r="AG288" s="191"/>
      <x:c r="AH288" s="191"/>
      <x:c r="AI288" s="191"/>
      <x:c r="AJ288" s="191"/>
      <x:c r="AK288" s="191"/>
    </x:row>
    <x:row r="289">
      <x:c r="A289" s="191"/>
      <x:c r="B289" s="191"/>
      <x:c r="C289" s="191"/>
      <x:c r="D289" s="191"/>
      <x:c r="E289" s="191"/>
      <x:c r="F289" s="191"/>
      <x:c r="G289" s="191"/>
      <x:c r="H289" s="191"/>
      <x:c r="I289" s="191"/>
      <x:c r="J289" s="191"/>
      <x:c r="K289" s="191"/>
      <x:c r="L289" s="191"/>
      <x:c r="M289" s="191"/>
      <x:c r="N289" s="191"/>
      <x:c r="O289" s="191"/>
      <x:c r="P289" s="191"/>
      <x:c r="Q289" s="191"/>
      <x:c r="R289" s="191"/>
      <x:c r="S289" s="191"/>
      <x:c r="T289" s="191"/>
      <x:c r="U289" s="191"/>
      <x:c r="V289" s="191"/>
      <x:c r="W289" s="191"/>
      <x:c r="X289" s="191"/>
      <x:c r="Y289" s="191"/>
      <x:c r="Z289" s="191"/>
      <x:c r="AA289" s="191"/>
      <x:c r="AB289" s="191"/>
      <x:c r="AC289" s="191"/>
      <x:c r="AD289" s="191"/>
      <x:c r="AE289" s="191"/>
      <x:c r="AF289" s="191"/>
      <x:c r="AG289" s="191"/>
      <x:c r="AH289" s="191"/>
      <x:c r="AI289" s="191"/>
      <x:c r="AJ289" s="191"/>
      <x:c r="AK289" s="191"/>
    </x:row>
    <x:row r="290">
      <x:c r="A290" s="191"/>
      <x:c r="B290" s="191"/>
      <x:c r="C290" s="191"/>
      <x:c r="D290" s="191"/>
      <x:c r="E290" s="191"/>
      <x:c r="F290" s="191"/>
      <x:c r="G290" s="191"/>
      <x:c r="H290" s="191"/>
      <x:c r="I290" s="191"/>
      <x:c r="J290" s="191"/>
      <x:c r="K290" s="191"/>
      <x:c r="L290" s="191"/>
      <x:c r="M290" s="191"/>
      <x:c r="N290" s="191"/>
      <x:c r="O290" s="191"/>
      <x:c r="P290" s="191"/>
      <x:c r="Q290" s="191"/>
      <x:c r="R290" s="191"/>
      <x:c r="S290" s="191"/>
      <x:c r="T290" s="191"/>
      <x:c r="U290" s="191"/>
      <x:c r="V290" s="191"/>
      <x:c r="W290" s="191"/>
      <x:c r="X290" s="191"/>
      <x:c r="Y290" s="191"/>
      <x:c r="Z290" s="191"/>
      <x:c r="AA290" s="191"/>
      <x:c r="AB290" s="191"/>
      <x:c r="AC290" s="191"/>
      <x:c r="AD290" s="191"/>
      <x:c r="AE290" s="191"/>
      <x:c r="AF290" s="191"/>
      <x:c r="AG290" s="191"/>
      <x:c r="AH290" s="191"/>
      <x:c r="AI290" s="191"/>
      <x:c r="AJ290" s="191"/>
      <x:c r="AK290" s="191"/>
    </x:row>
    <x:row r="291">
      <x:c r="A291" s="191"/>
      <x:c r="B291" s="191"/>
      <x:c r="C291" s="191"/>
      <x:c r="D291" s="191"/>
      <x:c r="E291" s="191"/>
      <x:c r="F291" s="191"/>
      <x:c r="G291" s="191"/>
      <x:c r="H291" s="191"/>
      <x:c r="I291" s="191"/>
      <x:c r="J291" s="191"/>
      <x:c r="K291" s="191"/>
      <x:c r="L291" s="191"/>
      <x:c r="M291" s="191"/>
      <x:c r="N291" s="191"/>
      <x:c r="O291" s="191"/>
      <x:c r="P291" s="191"/>
      <x:c r="Q291" s="191"/>
      <x:c r="R291" s="191"/>
      <x:c r="S291" s="191"/>
      <x:c r="T291" s="191"/>
      <x:c r="U291" s="191"/>
      <x:c r="V291" s="191"/>
      <x:c r="W291" s="191"/>
      <x:c r="X291" s="191"/>
      <x:c r="Y291" s="191"/>
      <x:c r="Z291" s="191"/>
      <x:c r="AA291" s="191"/>
      <x:c r="AB291" s="191"/>
      <x:c r="AC291" s="191"/>
      <x:c r="AD291" s="191"/>
      <x:c r="AE291" s="191"/>
      <x:c r="AF291" s="191"/>
      <x:c r="AG291" s="191"/>
      <x:c r="AH291" s="191"/>
      <x:c r="AI291" s="191"/>
      <x:c r="AJ291" s="191"/>
      <x:c r="AK291" s="191"/>
    </x:row>
    <x:row r="292">
      <x:c r="A292" s="191"/>
      <x:c r="B292" s="191"/>
      <x:c r="C292" s="191"/>
      <x:c r="D292" s="191"/>
      <x:c r="E292" s="191"/>
      <x:c r="F292" s="191"/>
      <x:c r="G292" s="191"/>
      <x:c r="H292" s="191"/>
      <x:c r="I292" s="191"/>
      <x:c r="J292" s="191"/>
      <x:c r="K292" s="191"/>
      <x:c r="L292" s="191"/>
      <x:c r="M292" s="191"/>
      <x:c r="N292" s="191"/>
      <x:c r="O292" s="191"/>
      <x:c r="P292" s="191"/>
      <x:c r="Q292" s="191"/>
      <x:c r="R292" s="191"/>
      <x:c r="S292" s="191"/>
      <x:c r="T292" s="191"/>
      <x:c r="U292" s="191"/>
      <x:c r="V292" s="191"/>
      <x:c r="W292" s="191"/>
      <x:c r="X292" s="191"/>
      <x:c r="Y292" s="191"/>
      <x:c r="Z292" s="191"/>
      <x:c r="AA292" s="191"/>
      <x:c r="AB292" s="191"/>
      <x:c r="AC292" s="191"/>
      <x:c r="AD292" s="191"/>
      <x:c r="AE292" s="191"/>
      <x:c r="AF292" s="191"/>
      <x:c r="AG292" s="191"/>
      <x:c r="AH292" s="191"/>
      <x:c r="AI292" s="191"/>
      <x:c r="AJ292" s="191"/>
      <x:c r="AK292" s="191"/>
    </x:row>
    <x:row r="293">
      <x:c r="A293" s="191"/>
      <x:c r="B293" s="191"/>
      <x:c r="C293" s="191"/>
      <x:c r="D293" s="191"/>
      <x:c r="E293" s="191"/>
      <x:c r="F293" s="191"/>
      <x:c r="G293" s="191"/>
      <x:c r="H293" s="191"/>
      <x:c r="I293" s="191"/>
      <x:c r="J293" s="191"/>
      <x:c r="K293" s="191"/>
      <x:c r="L293" s="191"/>
      <x:c r="M293" s="191"/>
      <x:c r="N293" s="191"/>
      <x:c r="O293" s="191"/>
      <x:c r="P293" s="191"/>
      <x:c r="Q293" s="191"/>
      <x:c r="R293" s="191"/>
      <x:c r="S293" s="191"/>
      <x:c r="T293" s="191"/>
      <x:c r="U293" s="191"/>
      <x:c r="V293" s="191"/>
      <x:c r="W293" s="191"/>
      <x:c r="X293" s="191"/>
      <x:c r="Y293" s="191"/>
      <x:c r="Z293" s="191"/>
      <x:c r="AA293" s="191"/>
      <x:c r="AB293" s="191"/>
      <x:c r="AC293" s="191"/>
      <x:c r="AD293" s="191"/>
      <x:c r="AE293" s="191"/>
      <x:c r="AF293" s="191"/>
      <x:c r="AG293" s="191"/>
      <x:c r="AH293" s="191"/>
      <x:c r="AI293" s="191"/>
      <x:c r="AJ293" s="191"/>
      <x:c r="AK293" s="191"/>
    </x:row>
    <x:row r="294">
      <x:c r="A294" s="191"/>
      <x:c r="B294" s="191"/>
      <x:c r="C294" s="191"/>
      <x:c r="D294" s="191"/>
      <x:c r="E294" s="191"/>
      <x:c r="F294" s="191"/>
      <x:c r="G294" s="191"/>
      <x:c r="H294" s="191"/>
      <x:c r="I294" s="191"/>
      <x:c r="J294" s="191"/>
      <x:c r="K294" s="191"/>
      <x:c r="L294" s="191"/>
      <x:c r="M294" s="191"/>
      <x:c r="N294" s="191"/>
      <x:c r="O294" s="191"/>
      <x:c r="P294" s="191"/>
      <x:c r="Q294" s="191"/>
      <x:c r="R294" s="191"/>
      <x:c r="S294" s="191"/>
      <x:c r="T294" s="191"/>
      <x:c r="U294" s="191"/>
      <x:c r="V294" s="191"/>
      <x:c r="W294" s="191"/>
      <x:c r="X294" s="191"/>
      <x:c r="Y294" s="191"/>
      <x:c r="Z294" s="191"/>
      <x:c r="AA294" s="191"/>
      <x:c r="AB294" s="191"/>
      <x:c r="AC294" s="191"/>
      <x:c r="AD294" s="191"/>
      <x:c r="AE294" s="191"/>
      <x:c r="AF294" s="191"/>
      <x:c r="AG294" s="191"/>
      <x:c r="AH294" s="191"/>
      <x:c r="AI294" s="191"/>
      <x:c r="AJ294" s="191"/>
      <x:c r="AK294" s="191"/>
    </x:row>
    <x:row r="295">
      <x:c r="A295" s="191"/>
      <x:c r="B295" s="191"/>
      <x:c r="C295" s="191"/>
      <x:c r="D295" s="191"/>
      <x:c r="E295" s="191"/>
      <x:c r="F295" s="191"/>
      <x:c r="G295" s="191"/>
      <x:c r="H295" s="191"/>
      <x:c r="I295" s="191"/>
      <x:c r="J295" s="191"/>
      <x:c r="K295" s="191"/>
      <x:c r="L295" s="191"/>
      <x:c r="M295" s="191"/>
      <x:c r="N295" s="191"/>
      <x:c r="O295" s="191"/>
      <x:c r="P295" s="191"/>
      <x:c r="Q295" s="191"/>
      <x:c r="R295" s="191"/>
      <x:c r="S295" s="191"/>
      <x:c r="T295" s="191"/>
      <x:c r="U295" s="191"/>
      <x:c r="V295" s="191"/>
      <x:c r="W295" s="191"/>
      <x:c r="X295" s="191"/>
      <x:c r="Y295" s="191"/>
      <x:c r="Z295" s="191"/>
      <x:c r="AA295" s="191"/>
      <x:c r="AB295" s="191"/>
      <x:c r="AC295" s="191"/>
      <x:c r="AD295" s="191"/>
      <x:c r="AE295" s="191"/>
      <x:c r="AF295" s="191"/>
      <x:c r="AG295" s="191"/>
      <x:c r="AH295" s="191"/>
      <x:c r="AI295" s="191"/>
      <x:c r="AJ295" s="191"/>
      <x:c r="AK295" s="191"/>
    </x:row>
    <x:row r="296">
      <x:c r="A296" s="191"/>
      <x:c r="B296" s="191"/>
      <x:c r="C296" s="191"/>
      <x:c r="D296" s="191"/>
      <x:c r="E296" s="191"/>
      <x:c r="F296" s="191"/>
      <x:c r="G296" s="191"/>
      <x:c r="H296" s="191"/>
      <x:c r="I296" s="191"/>
      <x:c r="J296" s="191"/>
      <x:c r="K296" s="191"/>
      <x:c r="L296" s="191"/>
      <x:c r="M296" s="191"/>
      <x:c r="N296" s="191"/>
      <x:c r="O296" s="191"/>
      <x:c r="P296" s="191"/>
      <x:c r="Q296" s="191"/>
      <x:c r="R296" s="191"/>
      <x:c r="S296" s="191"/>
      <x:c r="T296" s="191"/>
      <x:c r="U296" s="191"/>
      <x:c r="V296" s="191"/>
      <x:c r="W296" s="191"/>
      <x:c r="X296" s="191"/>
      <x:c r="Y296" s="191"/>
      <x:c r="Z296" s="191"/>
      <x:c r="AA296" s="191"/>
      <x:c r="AB296" s="191"/>
      <x:c r="AC296" s="191"/>
      <x:c r="AD296" s="191"/>
      <x:c r="AE296" s="191"/>
      <x:c r="AF296" s="191"/>
      <x:c r="AG296" s="191"/>
      <x:c r="AH296" s="191"/>
      <x:c r="AI296" s="191"/>
      <x:c r="AJ296" s="191"/>
      <x:c r="AK296" s="191"/>
    </x:row>
    <x:row r="297">
      <x:c r="A297" s="191"/>
      <x:c r="B297" s="191"/>
      <x:c r="C297" s="191"/>
      <x:c r="D297" s="191"/>
      <x:c r="E297" s="191"/>
      <x:c r="F297" s="191"/>
      <x:c r="G297" s="191"/>
      <x:c r="H297" s="191"/>
      <x:c r="I297" s="191"/>
      <x:c r="J297" s="191"/>
      <x:c r="K297" s="191"/>
      <x:c r="L297" s="191"/>
      <x:c r="M297" s="191"/>
      <x:c r="N297" s="191"/>
      <x:c r="O297" s="191"/>
      <x:c r="P297" s="191"/>
      <x:c r="Q297" s="191"/>
      <x:c r="R297" s="191"/>
      <x:c r="S297" s="191"/>
      <x:c r="T297" s="191"/>
      <x:c r="U297" s="191"/>
      <x:c r="V297" s="191"/>
      <x:c r="W297" s="191"/>
      <x:c r="X297" s="191"/>
      <x:c r="Y297" s="191"/>
      <x:c r="Z297" s="191"/>
      <x:c r="AA297" s="191"/>
      <x:c r="AB297" s="191"/>
      <x:c r="AC297" s="191"/>
      <x:c r="AD297" s="191"/>
      <x:c r="AE297" s="191"/>
      <x:c r="AF297" s="191"/>
      <x:c r="AG297" s="191"/>
      <x:c r="AH297" s="191"/>
      <x:c r="AI297" s="191"/>
      <x:c r="AJ297" s="191"/>
      <x:c r="AK297" s="191"/>
    </x:row>
    <x:row r="298">
      <x:c r="A298" s="191"/>
      <x:c r="B298" s="191"/>
      <x:c r="C298" s="191"/>
      <x:c r="D298" s="191"/>
      <x:c r="E298" s="191"/>
      <x:c r="F298" s="191"/>
      <x:c r="G298" s="191"/>
      <x:c r="H298" s="191"/>
      <x:c r="I298" s="191"/>
      <x:c r="J298" s="191"/>
      <x:c r="K298" s="191"/>
      <x:c r="L298" s="191"/>
      <x:c r="M298" s="191"/>
      <x:c r="N298" s="191"/>
      <x:c r="O298" s="191"/>
      <x:c r="P298" s="191"/>
      <x:c r="Q298" s="191"/>
      <x:c r="R298" s="191"/>
      <x:c r="S298" s="191"/>
      <x:c r="T298" s="191"/>
      <x:c r="U298" s="191"/>
      <x:c r="V298" s="191"/>
      <x:c r="W298" s="191"/>
      <x:c r="X298" s="191"/>
      <x:c r="Y298" s="191"/>
      <x:c r="Z298" s="191"/>
      <x:c r="AA298" s="191"/>
      <x:c r="AB298" s="191"/>
      <x:c r="AC298" s="191"/>
      <x:c r="AD298" s="191"/>
      <x:c r="AE298" s="191"/>
      <x:c r="AF298" s="191"/>
      <x:c r="AG298" s="191"/>
      <x:c r="AH298" s="191"/>
      <x:c r="AI298" s="191"/>
      <x:c r="AJ298" s="191"/>
      <x:c r="AK298" s="191"/>
    </x:row>
    <x:row r="299">
      <x:c r="A299" s="191"/>
      <x:c r="B299" s="191"/>
      <x:c r="C299" s="191"/>
      <x:c r="D299" s="191"/>
      <x:c r="E299" s="191"/>
      <x:c r="F299" s="191"/>
      <x:c r="G299" s="191"/>
      <x:c r="H299" s="191"/>
      <x:c r="I299" s="191"/>
      <x:c r="J299" s="191"/>
      <x:c r="K299" s="191"/>
      <x:c r="L299" s="191"/>
      <x:c r="M299" s="191"/>
      <x:c r="N299" s="191"/>
      <x:c r="O299" s="191"/>
      <x:c r="P299" s="191"/>
      <x:c r="Q299" s="191"/>
      <x:c r="R299" s="191"/>
      <x:c r="S299" s="191"/>
      <x:c r="T299" s="191"/>
      <x:c r="U299" s="191"/>
      <x:c r="V299" s="191"/>
      <x:c r="W299" s="191"/>
      <x:c r="X299" s="191"/>
      <x:c r="Y299" s="191"/>
      <x:c r="Z299" s="191"/>
      <x:c r="AA299" s="191"/>
      <x:c r="AB299" s="191"/>
      <x:c r="AC299" s="191"/>
      <x:c r="AD299" s="191"/>
      <x:c r="AE299" s="191"/>
      <x:c r="AF299" s="191"/>
      <x:c r="AG299" s="191"/>
      <x:c r="AH299" s="191"/>
      <x:c r="AI299" s="191"/>
      <x:c r="AJ299" s="191"/>
      <x:c r="AK299" s="191"/>
    </x:row>
    <x:row r="300">
      <x:c r="A300" s="191"/>
      <x:c r="B300" s="191"/>
      <x:c r="C300" s="191"/>
      <x:c r="D300" s="191"/>
      <x:c r="E300" s="191"/>
      <x:c r="F300" s="191"/>
      <x:c r="G300" s="191"/>
      <x:c r="H300" s="191"/>
      <x:c r="I300" s="191"/>
      <x:c r="J300" s="191"/>
      <x:c r="K300" s="191"/>
      <x:c r="L300" s="191"/>
      <x:c r="M300" s="191"/>
      <x:c r="N300" s="191"/>
      <x:c r="O300" s="191"/>
      <x:c r="P300" s="191"/>
      <x:c r="Q300" s="191"/>
      <x:c r="R300" s="191"/>
      <x:c r="S300" s="191"/>
      <x:c r="T300" s="191"/>
      <x:c r="U300" s="191"/>
      <x:c r="V300" s="191"/>
      <x:c r="W300" s="191"/>
      <x:c r="X300" s="191"/>
      <x:c r="Y300" s="191"/>
      <x:c r="Z300" s="191"/>
      <x:c r="AA300" s="191"/>
      <x:c r="AB300" s="191"/>
      <x:c r="AC300" s="191"/>
      <x:c r="AD300" s="191"/>
      <x:c r="AE300" s="191"/>
      <x:c r="AF300" s="191"/>
      <x:c r="AG300" s="191"/>
      <x:c r="AH300" s="191"/>
      <x:c r="AI300" s="191"/>
      <x:c r="AJ300" s="191"/>
      <x:c r="AK300" s="191"/>
    </x:row>
  </x:sheetData>
  <x:mergeCells>
    <x:mergeCell ref="A1:L1"/>
    <x:mergeCell ref="A3:L5"/>
    <x:mergeCell ref="A7:B7"/>
    <x:mergeCell ref="D7:E7"/>
    <x:mergeCell ref="G7:H7"/>
    <x:mergeCell ref="J7:K7"/>
    <x:mergeCell ref="A11:B11"/>
    <x:mergeCell ref="D11:E11"/>
    <x:mergeCell ref="G11:H11"/>
    <x:mergeCell ref="J11:K11"/>
    <x:mergeCell ref="A8:B9"/>
    <x:mergeCell ref="D8:E9"/>
    <x:mergeCell ref="G8:H9"/>
    <x:mergeCell ref="J8:K9"/>
    <x:mergeCell ref="A12:B13"/>
    <x:mergeCell ref="D12:E13"/>
    <x:mergeCell ref="G12:H13"/>
    <x:mergeCell ref="J12:K13"/>
    <x:mergeCell ref="A16:L16"/>
    <x:mergeCell ref="A25:L25"/>
    <x:mergeCell ref="A17:B17"/>
    <x:mergeCell ref="C17:D17"/>
    <x:mergeCell ref="E17:F17"/>
    <x:mergeCell ref="G17:H17"/>
    <x:mergeCell ref="I17:J17"/>
    <x:mergeCell ref="K17:L17"/>
    <x:mergeCell ref="A18:B18"/>
    <x:mergeCell ref="C18:D18"/>
    <x:mergeCell ref="E18:F18"/>
    <x:mergeCell ref="G18:H18"/>
    <x:mergeCell ref="I18:J18"/>
    <x:mergeCell ref="K18:L18"/>
    <x:mergeCell ref="A19:B19"/>
    <x:mergeCell ref="C19:D19"/>
    <x:mergeCell ref="E19:F19"/>
    <x:mergeCell ref="G19:H19"/>
    <x:mergeCell ref="I19:J19"/>
    <x:mergeCell ref="K19:L19"/>
    <x:mergeCell ref="A20:B20"/>
    <x:mergeCell ref="C20:D20"/>
    <x:mergeCell ref="E20:F20"/>
    <x:mergeCell ref="G20:H20"/>
    <x:mergeCell ref="I20:J20"/>
    <x:mergeCell ref="K20:L20"/>
    <x:mergeCell ref="A21:B21"/>
    <x:mergeCell ref="C21:D21"/>
    <x:mergeCell ref="E21:F21"/>
    <x:mergeCell ref="G21:H21"/>
    <x:mergeCell ref="I21:J21"/>
    <x:mergeCell ref="K21:L21"/>
    <x:mergeCell ref="A22:B22"/>
    <x:mergeCell ref="C22:D22"/>
    <x:mergeCell ref="E22:F22"/>
    <x:mergeCell ref="G22:H22"/>
    <x:mergeCell ref="I22:J22"/>
    <x:mergeCell ref="K22:L22"/>
    <x:mergeCell ref="A26:C26"/>
    <x:mergeCell ref="D26:L26"/>
    <x:mergeCell ref="A27:C27"/>
    <x:mergeCell ref="D27:L27"/>
    <x:mergeCell ref="A28:C28"/>
    <x:mergeCell ref="D28:L28"/>
    <x:mergeCell ref="A29:C29"/>
    <x:mergeCell ref="D29:L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3" hidden="0" customWidth="1"/>
    <x:col min="3" max="3" width="24" hidden="0" customWidth="1"/>
    <x:col min="4" max="4" width="24" hidden="0" customWidth="1"/>
    <x:col min="5" max="5" width="3" hidden="0" customWidth="1"/>
    <x:col min="6" max="6" width="10" hidden="0" customWidth="1"/>
    <x:col min="7" max="7" width="12" hidden="0" customWidth="1"/>
    <x:col min="8" max="8" width="17" hidden="0" customWidth="1"/>
    <x:col min="9" max="9" width="14" hidden="0" customWidth="1"/>
    <x:col min="10" max="10" width="12" hidden="0" customWidth="1"/>
  </x:cols>
  <x:sheetData>
    <x:row r="1" ht="28" customHeight="1">
      <x:c r="A1" s="5" t="str">
        <x:v>Assumptions, Curve Taxonomy and Build-Step Mapping</x:v>
      </x:c>
      <x:c r="B1" s="5"/>
      <x:c r="C1" s="5"/>
      <x:c r="D1" s="5"/>
      <x:c r="E1" s="5"/>
      <x:c r="F1" s="5"/>
      <x:c r="G1" s="5"/>
      <x:c r="H1" s="5"/>
      <x:c r="I1" s="5"/>
      <x:c r="J1" s="5"/>
      <x:c r="K1" s="191"/>
      <x:c r="L1" s="191"/>
      <x:c r="M1" s="191"/>
      <x:c r="N1" s="191"/>
      <x:c r="O1" s="191"/>
      <x:c r="P1" s="191"/>
      <x:c r="Q1" s="191"/>
      <x:c r="R1" s="191"/>
      <x:c r="S1" s="191"/>
      <x:c r="T1" s="191"/>
      <x:c r="U1" s="191"/>
      <x:c r="V1" s="191"/>
      <x:c r="W1" s="191"/>
      <x:c r="X1" s="191"/>
      <x:c r="Y1" s="191"/>
      <x:c r="Z1" s="191"/>
      <x:c r="AA1" s="191"/>
      <x:c r="AB1" s="191"/>
      <x:c r="AC1" s="191"/>
      <x:c r="AD1" s="191"/>
      <x:c r="AE1" s="191"/>
      <x:c r="AF1" s="191"/>
      <x:c r="AG1" s="191"/>
      <x:c r="AH1" s="191"/>
      <x:c r="AI1" s="191"/>
      <x:c r="AJ1" s="191"/>
      <x:c r="AK1" s="191"/>
    </x:row>
    <x:row r="2">
      <x:c r="A2" s="191"/>
      <x:c r="B2" s="191"/>
      <x:c r="C2" s="191"/>
      <x:c r="D2" s="191"/>
      <x:c r="E2" s="191"/>
      <x:c r="F2" s="191"/>
      <x:c r="G2" s="191"/>
      <x:c r="H2" s="191"/>
      <x:c r="I2" s="191"/>
      <x:c r="J2" s="191"/>
      <x:c r="K2" s="191"/>
      <x:c r="L2" s="191"/>
      <x:c r="M2" s="191"/>
      <x:c r="N2" s="191"/>
      <x:c r="O2" s="191"/>
      <x:c r="P2" s="191"/>
      <x:c r="Q2" s="191"/>
      <x:c r="R2" s="191"/>
      <x:c r="S2" s="191"/>
      <x:c r="T2" s="191"/>
      <x:c r="U2" s="191"/>
      <x:c r="V2" s="191"/>
      <x:c r="W2" s="191"/>
      <x:c r="X2" s="191"/>
      <x:c r="Y2" s="191"/>
      <x:c r="Z2" s="191"/>
      <x:c r="AA2" s="191"/>
      <x:c r="AB2" s="191"/>
      <x:c r="AC2" s="191"/>
      <x:c r="AD2" s="191"/>
      <x:c r="AE2" s="191"/>
      <x:c r="AF2" s="191"/>
      <x:c r="AG2" s="191"/>
      <x:c r="AH2" s="191"/>
      <x:c r="AI2" s="191"/>
      <x:c r="AJ2" s="191"/>
      <x:c r="AK2" s="191"/>
    </x:row>
    <x:row r="3" ht="22" customHeight="1">
      <x:c r="A3" s="21" t="str">
        <x:v>Scenario controls</x:v>
      </x:c>
      <x:c r="B3" s="21"/>
      <x:c r="C3" s="21"/>
      <x:c r="D3" s="21"/>
      <x:c r="E3" s="191"/>
      <x:c r="F3" s="21" t="str">
        <x:v>Non-volatility curve nodes</x:v>
      </x:c>
      <x:c r="G3" s="21"/>
      <x:c r="H3" s="21"/>
      <x:c r="I3" s="21"/>
      <x:c r="J3" s="21"/>
      <x:c r="K3" s="191"/>
      <x:c r="L3" s="191"/>
      <x:c r="M3" s="191"/>
      <x:c r="N3" s="191"/>
      <x:c r="O3" s="191"/>
      <x:c r="P3" s="191"/>
      <x:c r="Q3" s="191"/>
      <x:c r="R3" s="191"/>
      <x:c r="S3" s="191"/>
      <x:c r="T3" s="191"/>
      <x:c r="U3" s="191"/>
      <x:c r="V3" s="191"/>
      <x:c r="W3" s="191"/>
      <x:c r="X3" s="191"/>
      <x:c r="Y3" s="191"/>
      <x:c r="Z3" s="191"/>
      <x:c r="AA3" s="191"/>
      <x:c r="AB3" s="191"/>
      <x:c r="AC3" s="191"/>
      <x:c r="AD3" s="191"/>
      <x:c r="AE3" s="191"/>
      <x:c r="AF3" s="191"/>
      <x:c r="AG3" s="191"/>
      <x:c r="AH3" s="191"/>
      <x:c r="AI3" s="191"/>
      <x:c r="AJ3" s="191"/>
      <x:c r="AK3" s="191"/>
    </x:row>
    <x:row r="4">
      <x:c r="A4" s="193" t="str">
        <x:v>Valuation Date</x:v>
      </x:c>
      <x:c r="B4" s="197" t="n">
        <x:v>46226</x:v>
      </x:c>
      <x:c r="C4" s="66" t="str">
        <x:v>All market levels, discount factors, shocks and pricing coefficients in this workbook are illustrative. Replace them with production market objects, historical shocks and the approved pricing function.</x:v>
      </x:c>
      <x:c r="D4" s="66"/>
      <x:c r="E4" s="191"/>
      <x:c r="F4" s="45" t="str">
        <x:v>Node #</x:v>
      </x:c>
      <x:c r="G4" s="45" t="str">
        <x:v>Tenor</x:v>
      </x:c>
      <x:c r="H4" s="45" t="str">
        <x:v>Maturity Date</x:v>
      </x:c>
      <x:c r="I4" s="45" t="str">
        <x:v>Year Fraction</x:v>
      </x:c>
      <x:c r="J4" s="45" t="str">
        <x:v>Apply Step</x:v>
      </x:c>
      <x:c r="K4" s="191"/>
      <x:c r="L4" s="191"/>
      <x:c r="M4" s="191"/>
      <x:c r="N4" s="191"/>
      <x:c r="O4" s="191"/>
      <x:c r="P4" s="191"/>
      <x:c r="Q4" s="191"/>
      <x:c r="R4" s="191"/>
      <x:c r="S4" s="191"/>
      <x:c r="T4" s="191"/>
      <x:c r="U4" s="191"/>
      <x:c r="V4" s="191"/>
      <x:c r="W4" s="191"/>
      <x:c r="X4" s="191"/>
      <x:c r="Y4" s="191"/>
      <x:c r="Z4" s="191"/>
      <x:c r="AA4" s="191"/>
      <x:c r="AB4" s="191"/>
      <x:c r="AC4" s="191"/>
      <x:c r="AD4" s="191"/>
      <x:c r="AE4" s="191"/>
      <x:c r="AF4" s="191"/>
      <x:c r="AG4" s="191"/>
      <x:c r="AH4" s="191"/>
      <x:c r="AI4" s="191"/>
      <x:c r="AJ4" s="191"/>
      <x:c r="AK4" s="191"/>
    </x:row>
    <x:row r="5">
      <x:c r="A5" s="193" t="str">
        <x:v>Stress / Shock Date</x:v>
      </x:c>
      <x:c r="B5" s="197" t="n">
        <x:v>39772</x:v>
      </x:c>
      <x:c r="C5" s="66"/>
      <x:c r="D5" s="66"/>
      <x:c r="E5" s="191"/>
      <x:c r="F5" s="198" t="n">
        <x:v>1</x:v>
      </x:c>
      <x:c r="G5" s="198" t="str">
        <x:v>3M</x:v>
      </x:c>
      <x:c r="H5" s="197" t="n">
        <x:v>46318</x:v>
      </x:c>
      <x:c r="I5" s="199" t="n">
        <x:v>0.25205479452054796</x:v>
      </x:c>
      <x:c r="J5" s="198" t="n">
        <x:v>1</x:v>
      </x:c>
      <x:c r="K5" s="191"/>
      <x:c r="L5" s="191"/>
      <x:c r="M5" s="191"/>
      <x:c r="N5" s="191"/>
      <x:c r="O5" s="191"/>
      <x:c r="P5" s="191"/>
      <x:c r="Q5" s="191"/>
      <x:c r="R5" s="191"/>
      <x:c r="S5" s="191"/>
      <x:c r="T5" s="191"/>
      <x:c r="U5" s="191"/>
      <x:c r="V5" s="191"/>
      <x:c r="W5" s="191"/>
      <x:c r="X5" s="191"/>
      <x:c r="Y5" s="191"/>
      <x:c r="Z5" s="191"/>
      <x:c r="AA5" s="191"/>
      <x:c r="AB5" s="191"/>
      <x:c r="AC5" s="191"/>
      <x:c r="AD5" s="191"/>
      <x:c r="AE5" s="191"/>
      <x:c r="AF5" s="191"/>
      <x:c r="AG5" s="191"/>
      <x:c r="AH5" s="191"/>
      <x:c r="AI5" s="191"/>
      <x:c r="AJ5" s="191"/>
      <x:c r="AK5" s="191"/>
    </x:row>
    <x:row r="6">
      <x:c r="A6" s="193" t="str">
        <x:v>Trade ID</x:v>
      </x:c>
      <x:c r="B6" s="200" t="n">
        <x:v>123456</x:v>
      </x:c>
      <x:c r="C6" s="66"/>
      <x:c r="D6" s="66"/>
      <x:c r="E6" s="191"/>
      <x:c r="F6" s="198" t="n">
        <x:v>2</x:v>
      </x:c>
      <x:c r="G6" s="198" t="str">
        <x:v>6M</x:v>
      </x:c>
      <x:c r="H6" s="197" t="n">
        <x:v>46410</x:v>
      </x:c>
      <x:c r="I6" s="199" t="n">
        <x:v>0.5041095890410959</x:v>
      </x:c>
      <x:c r="J6" s="198" t="n">
        <x:v>2</x:v>
      </x:c>
      <x:c r="K6" s="191"/>
      <x:c r="L6" s="191"/>
      <x:c r="M6" s="191"/>
      <x:c r="N6" s="191"/>
      <x:c r="O6" s="191"/>
      <x:c r="P6" s="191"/>
      <x:c r="Q6" s="191"/>
      <x:c r="R6" s="191"/>
      <x:c r="S6" s="191"/>
      <x:c r="T6" s="191"/>
      <x:c r="U6" s="191"/>
      <x:c r="V6" s="191"/>
      <x:c r="W6" s="191"/>
      <x:c r="X6" s="191"/>
      <x:c r="Y6" s="191"/>
      <x:c r="Z6" s="191"/>
      <x:c r="AA6" s="191"/>
      <x:c r="AB6" s="191"/>
      <x:c r="AC6" s="191"/>
      <x:c r="AD6" s="191"/>
      <x:c r="AE6" s="191"/>
      <x:c r="AF6" s="191"/>
      <x:c r="AG6" s="191"/>
      <x:c r="AH6" s="191"/>
      <x:c r="AI6" s="191"/>
      <x:c r="AJ6" s="191"/>
      <x:c r="AK6" s="191"/>
    </x:row>
    <x:row r="7">
      <x:c r="A7" s="193" t="str">
        <x:v>Base NPV ($)</x:v>
      </x:c>
      <x:c r="B7" s="201" t="n">
        <x:v>10000000</x:v>
      </x:c>
      <x:c r="C7" s="66"/>
      <x:c r="D7" s="66"/>
      <x:c r="E7" s="191"/>
      <x:c r="F7" s="198" t="n">
        <x:v>3</x:v>
      </x:c>
      <x:c r="G7" s="198" t="str">
        <x:v>1Y</x:v>
      </x:c>
      <x:c r="H7" s="197" t="n">
        <x:v>46591</x:v>
      </x:c>
      <x:c r="I7" s="199" t="n">
        <x:v>1</x:v>
      </x:c>
      <x:c r="J7" s="198" t="n">
        <x:v>3</x:v>
      </x:c>
      <x:c r="K7" s="191"/>
      <x:c r="L7" s="191"/>
      <x:c r="M7" s="191"/>
      <x:c r="N7" s="191"/>
      <x:c r="O7" s="191"/>
      <x:c r="P7" s="191"/>
      <x:c r="Q7" s="191"/>
      <x:c r="R7" s="191"/>
      <x:c r="S7" s="191"/>
      <x:c r="T7" s="191"/>
      <x:c r="U7" s="191"/>
      <x:c r="V7" s="191"/>
      <x:c r="W7" s="191"/>
      <x:c r="X7" s="191"/>
      <x:c r="Y7" s="191"/>
      <x:c r="Z7" s="191"/>
      <x:c r="AA7" s="191"/>
      <x:c r="AB7" s="191"/>
      <x:c r="AC7" s="191"/>
      <x:c r="AD7" s="191"/>
      <x:c r="AE7" s="191"/>
      <x:c r="AF7" s="191"/>
      <x:c r="AG7" s="191"/>
      <x:c r="AH7" s="191"/>
      <x:c r="AI7" s="191"/>
      <x:c r="AJ7" s="191"/>
      <x:c r="AK7" s="191"/>
    </x:row>
    <x:row r="8">
      <x:c r="A8" s="191"/>
      <x:c r="B8" s="191"/>
      <x:c r="C8" s="191"/>
      <x:c r="D8" s="191"/>
      <x:c r="E8" s="191"/>
      <x:c r="F8" s="198" t="n">
        <x:v>4</x:v>
      </x:c>
      <x:c r="G8" s="198" t="str">
        <x:v>2Y</x:v>
      </x:c>
      <x:c r="H8" s="197" t="n">
        <x:v>46957</x:v>
      </x:c>
      <x:c r="I8" s="199" t="n">
        <x:v>2.0027397260273974</x:v>
      </x:c>
      <x:c r="J8" s="198" t="n">
        <x:v>4</x:v>
      </x:c>
      <x:c r="K8" s="191"/>
      <x:c r="L8" s="191"/>
      <x:c r="M8" s="191"/>
      <x:c r="N8" s="191"/>
      <x:c r="O8" s="191"/>
      <x:c r="P8" s="191"/>
      <x:c r="Q8" s="191"/>
      <x:c r="R8" s="191"/>
      <x:c r="S8" s="191"/>
      <x:c r="T8" s="191"/>
      <x:c r="U8" s="191"/>
      <x:c r="V8" s="191"/>
      <x:c r="W8" s="191"/>
      <x:c r="X8" s="191"/>
      <x:c r="Y8" s="191"/>
      <x:c r="Z8" s="191"/>
      <x:c r="AA8" s="191"/>
      <x:c r="AB8" s="191"/>
      <x:c r="AC8" s="191"/>
      <x:c r="AD8" s="191"/>
      <x:c r="AE8" s="191"/>
      <x:c r="AF8" s="191"/>
      <x:c r="AG8" s="191"/>
      <x:c r="AH8" s="191"/>
      <x:c r="AI8" s="191"/>
      <x:c r="AJ8" s="191"/>
      <x:c r="AK8" s="191"/>
    </x:row>
    <x:row r="9" ht="22" customHeight="1">
      <x:c r="A9" s="21" t="str">
        <x:v>Curve inventory</x:v>
      </x:c>
      <x:c r="B9" s="21"/>
      <x:c r="C9" s="21"/>
      <x:c r="D9" s="21"/>
      <x:c r="E9" s="191"/>
      <x:c r="F9" s="198" t="n">
        <x:v>5</x:v>
      </x:c>
      <x:c r="G9" s="198" t="str">
        <x:v>3Y</x:v>
      </x:c>
      <x:c r="H9" s="197" t="n">
        <x:v>47322</x:v>
      </x:c>
      <x:c r="I9" s="199" t="n">
        <x:v>3.0027397260273974</x:v>
      </x:c>
      <x:c r="J9" s="198" t="n">
        <x:v>5</x:v>
      </x:c>
      <x:c r="K9" s="191"/>
      <x:c r="L9" s="191"/>
      <x:c r="M9" s="191"/>
      <x:c r="N9" s="191"/>
      <x:c r="O9" s="191"/>
      <x:c r="P9" s="191"/>
      <x:c r="Q9" s="191"/>
      <x:c r="R9" s="191"/>
      <x:c r="S9" s="191"/>
      <x:c r="T9" s="191"/>
      <x:c r="U9" s="191"/>
      <x:c r="V9" s="191"/>
      <x:c r="W9" s="191"/>
      <x:c r="X9" s="191"/>
      <x:c r="Y9" s="191"/>
      <x:c r="Z9" s="191"/>
      <x:c r="AA9" s="191"/>
      <x:c r="AB9" s="191"/>
      <x:c r="AC9" s="191"/>
      <x:c r="AD9" s="191"/>
      <x:c r="AE9" s="191"/>
      <x:c r="AF9" s="191"/>
      <x:c r="AG9" s="191"/>
      <x:c r="AH9" s="191"/>
      <x:c r="AI9" s="191"/>
      <x:c r="AJ9" s="191"/>
      <x:c r="AK9" s="191"/>
    </x:row>
    <x:row r="10">
      <x:c r="A10" s="45" t="str">
        <x:v>Curve / Surface</x:v>
      </x:c>
      <x:c r="B10" s="45" t="str">
        <x:v>Risk Class</x:v>
      </x:c>
      <x:c r="C10" s="45" t="str">
        <x:v>Base Object</x:v>
      </x:c>
      <x:c r="D10" s="45" t="str">
        <x:v>Shocked Object Pattern</x:v>
      </x:c>
      <x:c r="E10" s="191"/>
      <x:c r="F10" s="198" t="n">
        <x:v>6</x:v>
      </x:c>
      <x:c r="G10" s="198" t="str">
        <x:v>5Y</x:v>
      </x:c>
      <x:c r="H10" s="197" t="n">
        <x:v>48052</x:v>
      </x:c>
      <x:c r="I10" s="199" t="n">
        <x:v>5.002739726027397</x:v>
      </x:c>
      <x:c r="J10" s="198" t="n">
        <x:v>6</x:v>
      </x:c>
      <x:c r="K10" s="191"/>
      <x:c r="L10" s="191"/>
      <x:c r="M10" s="191"/>
      <x:c r="N10" s="191"/>
      <x:c r="O10" s="191"/>
      <x:c r="P10" s="191"/>
      <x:c r="Q10" s="191"/>
      <x:c r="R10" s="191"/>
      <x:c r="S10" s="191"/>
      <x:c r="T10" s="191"/>
      <x:c r="U10" s="191"/>
      <x:c r="V10" s="191"/>
      <x:c r="W10" s="191"/>
      <x:c r="X10" s="191"/>
      <x:c r="Y10" s="191"/>
      <x:c r="Z10" s="191"/>
      <x:c r="AA10" s="191"/>
      <x:c r="AB10" s="191"/>
      <x:c r="AC10" s="191"/>
      <x:c r="AD10" s="191"/>
      <x:c r="AE10" s="191"/>
      <x:c r="AF10" s="191"/>
      <x:c r="AG10" s="191"/>
      <x:c r="AH10" s="191"/>
      <x:c r="AI10" s="191"/>
      <x:c r="AJ10" s="191"/>
      <x:c r="AK10" s="191"/>
    </x:row>
    <x:row r="11">
      <x:c r="A11" s="198" t="str">
        <x:v>Agency_FNMA</x:v>
      </x:c>
      <x:c r="B11" s="198" t="str">
        <x:v>Credit</x:v>
      </x:c>
      <x:c r="C11" s="202" t="str">
        <x:v>Base_Agency_FNMA</x:v>
      </x:c>
      <x:c r="D11" s="202" t="str">
        <x:v>Agency_FNMA_StepNN</x:v>
      </x:c>
      <x:c r="E11" s="191"/>
      <x:c r="F11" s="198" t="n">
        <x:v>7</x:v>
      </x:c>
      <x:c r="G11" s="198" t="str">
        <x:v>10Y</x:v>
      </x:c>
      <x:c r="H11" s="197" t="n">
        <x:v>49879</x:v>
      </x:c>
      <x:c r="I11" s="199" t="n">
        <x:v>10.008219178082191</x:v>
      </x:c>
      <x:c r="J11" s="198" t="n">
        <x:v>7</x:v>
      </x:c>
      <x:c r="K11" s="191"/>
      <x:c r="L11" s="191"/>
      <x:c r="M11" s="191"/>
      <x:c r="N11" s="191"/>
      <x:c r="O11" s="191"/>
      <x:c r="P11" s="191"/>
      <x:c r="Q11" s="191"/>
      <x:c r="R11" s="191"/>
      <x:c r="S11" s="191"/>
      <x:c r="T11" s="191"/>
      <x:c r="U11" s="191"/>
      <x:c r="V11" s="191"/>
      <x:c r="W11" s="191"/>
      <x:c r="X11" s="191"/>
      <x:c r="Y11" s="191"/>
      <x:c r="Z11" s="191"/>
      <x:c r="AA11" s="191"/>
      <x:c r="AB11" s="191"/>
      <x:c r="AC11" s="191"/>
      <x:c r="AD11" s="191"/>
      <x:c r="AE11" s="191"/>
      <x:c r="AF11" s="191"/>
      <x:c r="AG11" s="191"/>
      <x:c r="AH11" s="191"/>
      <x:c r="AI11" s="191"/>
      <x:c r="AJ11" s="191"/>
      <x:c r="AK11" s="191"/>
    </x:row>
    <x:row r="12">
      <x:c r="A12" s="198" t="str">
        <x:v>Eur_Govt</x:v>
      </x:c>
      <x:c r="B12" s="198" t="str">
        <x:v>Credit</x:v>
      </x:c>
      <x:c r="C12" s="202" t="str">
        <x:v>Base_Eur_Govt</x:v>
      </x:c>
      <x:c r="D12" s="202" t="str">
        <x:v>Eur_Govt_StepNN</x:v>
      </x:c>
      <x:c r="E12" s="191"/>
      <x:c r="F12" s="198" t="n">
        <x:v>8</x:v>
      </x:c>
      <x:c r="G12" s="198" t="str">
        <x:v>20Y</x:v>
      </x:c>
      <x:c r="H12" s="197" t="n">
        <x:v>53531</x:v>
      </x:c>
      <x:c r="I12" s="199" t="n">
        <x:v>20.013698630136986</x:v>
      </x:c>
      <x:c r="J12" s="198" t="n">
        <x:v>8</x:v>
      </x:c>
      <x:c r="K12" s="191"/>
      <x:c r="L12" s="191"/>
      <x:c r="M12" s="191"/>
      <x:c r="N12" s="191"/>
      <x:c r="O12" s="191"/>
      <x:c r="P12" s="191"/>
      <x:c r="Q12" s="191"/>
      <x:c r="R12" s="191"/>
      <x:c r="S12" s="191"/>
      <x:c r="T12" s="191"/>
      <x:c r="U12" s="191"/>
      <x:c r="V12" s="191"/>
      <x:c r="W12" s="191"/>
      <x:c r="X12" s="191"/>
      <x:c r="Y12" s="191"/>
      <x:c r="Z12" s="191"/>
      <x:c r="AA12" s="191"/>
      <x:c r="AB12" s="191"/>
      <x:c r="AC12" s="191"/>
      <x:c r="AD12" s="191"/>
      <x:c r="AE12" s="191"/>
      <x:c r="AF12" s="191"/>
      <x:c r="AG12" s="191"/>
      <x:c r="AH12" s="191"/>
      <x:c r="AI12" s="191"/>
      <x:c r="AJ12" s="191"/>
      <x:c r="AK12" s="191"/>
    </x:row>
    <x:row r="13">
      <x:c r="A13" s="198" t="str">
        <x:v>SOFR</x:v>
      </x:c>
      <x:c r="B13" s="198" t="str">
        <x:v>IR_RATE</x:v>
      </x:c>
      <x:c r="C13" s="202" t="str">
        <x:v>Base_SOFR</x:v>
      </x:c>
      <x:c r="D13" s="202" t="str">
        <x:v>SOFR_StepNN</x:v>
      </x:c>
      <x:c r="E13" s="191"/>
      <x:c r="F13" s="198" t="n">
        <x:v>9</x:v>
      </x:c>
      <x:c r="G13" s="198" t="str">
        <x:v>30Y</x:v>
      </x:c>
      <x:c r="H13" s="197" t="n">
        <x:v>57184</x:v>
      </x:c>
      <x:c r="I13" s="199" t="n">
        <x:v>30.02191780821918</x:v>
      </x:c>
      <x:c r="J13" s="198" t="n">
        <x:v>9</x:v>
      </x:c>
      <x:c r="K13" s="191"/>
      <x:c r="L13" s="191"/>
      <x:c r="M13" s="191"/>
      <x:c r="N13" s="191"/>
      <x:c r="O13" s="191"/>
      <x:c r="P13" s="191"/>
      <x:c r="Q13" s="191"/>
      <x:c r="R13" s="191"/>
      <x:c r="S13" s="191"/>
      <x:c r="T13" s="191"/>
      <x:c r="U13" s="191"/>
      <x:c r="V13" s="191"/>
      <x:c r="W13" s="191"/>
      <x:c r="X13" s="191"/>
      <x:c r="Y13" s="191"/>
      <x:c r="Z13" s="191"/>
      <x:c r="AA13" s="191"/>
      <x:c r="AB13" s="191"/>
      <x:c r="AC13" s="191"/>
      <x:c r="AD13" s="191"/>
      <x:c r="AE13" s="191"/>
      <x:c r="AF13" s="191"/>
      <x:c r="AG13" s="191"/>
      <x:c r="AH13" s="191"/>
      <x:c r="AI13" s="191"/>
      <x:c r="AJ13" s="191"/>
      <x:c r="AK13" s="191"/>
    </x:row>
    <x:row r="14">
      <x:c r="A14" s="198" t="str">
        <x:v>Treasury</x:v>
      </x:c>
      <x:c r="B14" s="198" t="str">
        <x:v>Credit</x:v>
      </x:c>
      <x:c r="C14" s="202" t="str">
        <x:v>Base_Treasury</x:v>
      </x:c>
      <x:c r="D14" s="202" t="str">
        <x:v>Treasury_StepNN</x:v>
      </x:c>
      <x:c r="E14" s="191"/>
      <x:c r="F14" s="191"/>
      <x:c r="G14" s="191"/>
      <x:c r="H14" s="191"/>
      <x:c r="I14" s="191"/>
      <x:c r="J14" s="191"/>
      <x:c r="K14" s="191"/>
      <x:c r="L14" s="191"/>
      <x:c r="M14" s="191"/>
      <x:c r="N14" s="191"/>
      <x:c r="O14" s="191"/>
      <x:c r="P14" s="191"/>
      <x:c r="Q14" s="191"/>
      <x:c r="R14" s="191"/>
      <x:c r="S14" s="191"/>
      <x:c r="T14" s="191"/>
      <x:c r="U14" s="191"/>
      <x:c r="V14" s="191"/>
      <x:c r="W14" s="191"/>
      <x:c r="X14" s="191"/>
      <x:c r="Y14" s="191"/>
      <x:c r="Z14" s="191"/>
      <x:c r="AA14" s="191"/>
      <x:c r="AB14" s="191"/>
      <x:c r="AC14" s="191"/>
      <x:c r="AD14" s="191"/>
      <x:c r="AE14" s="191"/>
      <x:c r="AF14" s="191"/>
      <x:c r="AG14" s="191"/>
      <x:c r="AH14" s="191"/>
      <x:c r="AI14" s="191"/>
      <x:c r="AJ14" s="191"/>
      <x:c r="AK14" s="191"/>
    </x:row>
    <x:row r="15">
      <x:c r="A15" s="198" t="str">
        <x:v>Swabr_Swaption</x:v>
      </x:c>
      <x:c r="B15" s="198" t="str">
        <x:v>IR_VOL</x:v>
      </x:c>
      <x:c r="C15" s="202" t="str">
        <x:v>Base_Swabr_Swaption</x:v>
      </x:c>
      <x:c r="D15" s="202" t="str">
        <x:v>Swabr_Swaption_StepNN</x:v>
      </x:c>
      <x:c r="E15" s="191"/>
      <x:c r="F15" s="191"/>
      <x:c r="G15" s="191"/>
      <x:c r="H15" s="191"/>
      <x:c r="I15" s="191"/>
      <x:c r="J15" s="191"/>
      <x:c r="K15" s="191"/>
      <x:c r="L15" s="191"/>
      <x:c r="M15" s="191"/>
      <x:c r="N15" s="191"/>
      <x:c r="O15" s="191"/>
      <x:c r="P15" s="191"/>
      <x:c r="Q15" s="191"/>
      <x:c r="R15" s="191"/>
      <x:c r="S15" s="191"/>
      <x:c r="T15" s="191"/>
      <x:c r="U15" s="191"/>
      <x:c r="V15" s="191"/>
      <x:c r="W15" s="191"/>
      <x:c r="X15" s="191"/>
      <x:c r="Y15" s="191"/>
      <x:c r="Z15" s="191"/>
      <x:c r="AA15" s="191"/>
      <x:c r="AB15" s="191"/>
      <x:c r="AC15" s="191"/>
      <x:c r="AD15" s="191"/>
      <x:c r="AE15" s="191"/>
      <x:c r="AF15" s="191"/>
      <x:c r="AG15" s="191"/>
      <x:c r="AH15" s="191"/>
      <x:c r="AI15" s="191"/>
      <x:c r="AJ15" s="191"/>
      <x:c r="AK15" s="191"/>
    </x:row>
    <x:row r="16">
      <x:c r="A16" s="198" t="str">
        <x:v>EURUSD</x:v>
      </x:c>
      <x:c r="B16" s="198" t="str">
        <x:v>FX_RATE</x:v>
      </x:c>
      <x:c r="C16" s="202" t="str">
        <x:v>Base_EURUSD</x:v>
      </x:c>
      <x:c r="D16" s="202" t="str">
        <x:v>EURUSD_StepNN</x:v>
      </x:c>
      <x:c r="E16" s="191"/>
      <x:c r="F16" s="191"/>
      <x:c r="G16" s="191"/>
      <x:c r="H16" s="191"/>
      <x:c r="I16" s="191"/>
      <x:c r="J16" s="191"/>
      <x:c r="K16" s="191"/>
      <x:c r="L16" s="191"/>
      <x:c r="M16" s="191"/>
      <x:c r="N16" s="191"/>
      <x:c r="O16" s="191"/>
      <x:c r="P16" s="191"/>
      <x:c r="Q16" s="191"/>
      <x:c r="R16" s="191"/>
      <x:c r="S16" s="191"/>
      <x:c r="T16" s="191"/>
      <x:c r="U16" s="191"/>
      <x:c r="V16" s="191"/>
      <x:c r="W16" s="191"/>
      <x:c r="X16" s="191"/>
      <x:c r="Y16" s="191"/>
      <x:c r="Z16" s="191"/>
      <x:c r="AA16" s="191"/>
      <x:c r="AB16" s="191"/>
      <x:c r="AC16" s="191"/>
      <x:c r="AD16" s="191"/>
      <x:c r="AE16" s="191"/>
      <x:c r="AF16" s="191"/>
      <x:c r="AG16" s="191"/>
      <x:c r="AH16" s="191"/>
      <x:c r="AI16" s="191"/>
      <x:c r="AJ16" s="191"/>
      <x:c r="AK16" s="191"/>
    </x:row>
    <x:row r="17">
      <x:c r="A17" s="198" t="str">
        <x:v>ESTRN</x:v>
      </x:c>
      <x:c r="B17" s="198" t="str">
        <x:v>IR_RATE</x:v>
      </x:c>
      <x:c r="C17" s="202" t="str">
        <x:v>Base_ESTRN</x:v>
      </x:c>
      <x:c r="D17" s="202" t="str">
        <x:v>ESTRN_StepNN</x:v>
      </x:c>
      <x:c r="E17" s="191"/>
      <x:c r="F17" s="191"/>
      <x:c r="G17" s="191"/>
      <x:c r="H17" s="191"/>
      <x:c r="I17" s="191"/>
      <x:c r="J17" s="191"/>
      <x:c r="K17" s="191"/>
      <x:c r="L17" s="191"/>
      <x:c r="M17" s="191"/>
      <x:c r="N17" s="191"/>
      <x:c r="O17" s="191"/>
      <x:c r="P17" s="191"/>
      <x:c r="Q17" s="191"/>
      <x:c r="R17" s="191"/>
      <x:c r="S17" s="191"/>
      <x:c r="T17" s="191"/>
      <x:c r="U17" s="191"/>
      <x:c r="V17" s="191"/>
      <x:c r="W17" s="191"/>
      <x:c r="X17" s="191"/>
      <x:c r="Y17" s="191"/>
      <x:c r="Z17" s="191"/>
      <x:c r="AA17" s="191"/>
      <x:c r="AB17" s="191"/>
      <x:c r="AC17" s="191"/>
      <x:c r="AD17" s="191"/>
      <x:c r="AE17" s="191"/>
      <x:c r="AF17" s="191"/>
      <x:c r="AG17" s="191"/>
      <x:c r="AH17" s="191"/>
      <x:c r="AI17" s="191"/>
      <x:c r="AJ17" s="191"/>
      <x:c r="AK17" s="191"/>
    </x:row>
    <x:row r="18">
      <x:c r="A18" s="191"/>
      <x:c r="B18" s="191"/>
      <x:c r="C18" s="191"/>
      <x:c r="D18" s="191"/>
      <x:c r="E18" s="191"/>
      <x:c r="F18" s="191"/>
      <x:c r="G18" s="191"/>
      <x:c r="H18" s="191"/>
      <x:c r="I18" s="191"/>
      <x:c r="J18" s="191"/>
      <x:c r="K18" s="191"/>
      <x:c r="L18" s="191"/>
      <x:c r="M18" s="191"/>
      <x:c r="N18" s="191"/>
      <x:c r="O18" s="191"/>
      <x:c r="P18" s="191"/>
      <x:c r="Q18" s="191"/>
      <x:c r="R18" s="191"/>
      <x:c r="S18" s="191"/>
      <x:c r="T18" s="191"/>
      <x:c r="U18" s="191"/>
      <x:c r="V18" s="191"/>
      <x:c r="W18" s="191"/>
      <x:c r="X18" s="191"/>
      <x:c r="Y18" s="191"/>
      <x:c r="Z18" s="191"/>
      <x:c r="AA18" s="191"/>
      <x:c r="AB18" s="191"/>
      <x:c r="AC18" s="191"/>
      <x:c r="AD18" s="191"/>
      <x:c r="AE18" s="191"/>
      <x:c r="AF18" s="191"/>
      <x:c r="AG18" s="191"/>
      <x:c r="AH18" s="191"/>
      <x:c r="AI18" s="191"/>
      <x:c r="AJ18" s="191"/>
      <x:c r="AK18" s="191"/>
    </x:row>
    <x:row r="19">
      <x:c r="A19" s="191"/>
      <x:c r="B19" s="191"/>
      <x:c r="C19" s="191"/>
      <x:c r="D19" s="191"/>
      <x:c r="E19" s="191"/>
      <x:c r="F19" s="191"/>
      <x:c r="G19" s="191"/>
      <x:c r="H19" s="191"/>
      <x:c r="I19" s="191"/>
      <x:c r="J19" s="191"/>
      <x:c r="K19" s="191"/>
      <x:c r="L19" s="191"/>
      <x:c r="M19" s="191"/>
      <x:c r="N19" s="191"/>
      <x:c r="O19" s="191"/>
      <x:c r="P19" s="191"/>
      <x:c r="Q19" s="191"/>
      <x:c r="R19" s="191"/>
      <x:c r="S19" s="191"/>
      <x:c r="T19" s="191"/>
      <x:c r="U19" s="191"/>
      <x:c r="V19" s="191"/>
      <x:c r="W19" s="191"/>
      <x:c r="X19" s="191"/>
      <x:c r="Y19" s="191"/>
      <x:c r="Z19" s="191"/>
      <x:c r="AA19" s="191"/>
      <x:c r="AB19" s="191"/>
      <x:c r="AC19" s="191"/>
      <x:c r="AD19" s="191"/>
      <x:c r="AE19" s="191"/>
      <x:c r="AF19" s="191"/>
      <x:c r="AG19" s="191"/>
      <x:c r="AH19" s="191"/>
      <x:c r="AI19" s="191"/>
      <x:c r="AJ19" s="191"/>
      <x:c r="AK19" s="191"/>
    </x:row>
    <x:row r="20" ht="22" customHeight="1">
      <x:c r="A20" s="21" t="str">
        <x:v>Combined build-step mapping</x:v>
      </x:c>
      <x:c r="B20" s="21"/>
      <x:c r="C20" s="21"/>
      <x:c r="D20" s="21"/>
      <x:c r="E20" s="21"/>
      <x:c r="F20" s="21"/>
      <x:c r="G20" s="191"/>
      <x:c r="H20" s="191"/>
      <x:c r="I20" s="191"/>
      <x:c r="J20" s="191"/>
      <x:c r="K20" s="191"/>
      <x:c r="L20" s="191"/>
      <x:c r="M20" s="191"/>
      <x:c r="N20" s="191"/>
      <x:c r="O20" s="191"/>
      <x:c r="P20" s="191"/>
      <x:c r="Q20" s="191"/>
      <x:c r="R20" s="191"/>
      <x:c r="S20" s="191"/>
      <x:c r="T20" s="191"/>
      <x:c r="U20" s="191"/>
      <x:c r="V20" s="191"/>
      <x:c r="W20" s="191"/>
      <x:c r="X20" s="191"/>
      <x:c r="Y20" s="191"/>
      <x:c r="Z20" s="191"/>
      <x:c r="AA20" s="191"/>
      <x:c r="AB20" s="191"/>
      <x:c r="AC20" s="191"/>
      <x:c r="AD20" s="191"/>
      <x:c r="AE20" s="191"/>
      <x:c r="AF20" s="191"/>
      <x:c r="AG20" s="191"/>
      <x:c r="AH20" s="191"/>
      <x:c r="AI20" s="191"/>
      <x:c r="AJ20" s="191"/>
      <x:c r="AK20" s="191"/>
    </x:row>
    <x:row r="21">
      <x:c r="A21" s="45" t="str">
        <x:v>Step</x:v>
      </x:c>
      <x:c r="B21" s="45" t="str">
        <x:v>Non-vol Curve Action</x:v>
      </x:c>
      <x:c r="C21" s="45" t="str">
        <x:v>Swaption Surface Action</x:v>
      </x:c>
      <x:c r="D21" s="45" t="str">
        <x:v>Non-vol State Used</x:v>
      </x:c>
      <x:c r="E21" s="45" t="str">
        <x:v>Vol State Used</x:v>
      </x:c>
      <x:c r="F21" s="45" t="str">
        <x:v>Purpose</x:v>
      </x:c>
      <x:c r="G21" s="191"/>
      <x:c r="H21" s="191"/>
      <x:c r="I21" s="191"/>
      <x:c r="J21" s="191"/>
      <x:c r="K21" s="191"/>
      <x:c r="L21" s="191"/>
      <x:c r="M21" s="191"/>
      <x:c r="N21" s="191"/>
      <x:c r="O21" s="191"/>
      <x:c r="P21" s="191"/>
      <x:c r="Q21" s="191"/>
      <x:c r="R21" s="191"/>
      <x:c r="S21" s="191"/>
      <x:c r="T21" s="191"/>
      <x:c r="U21" s="191"/>
      <x:c r="V21" s="191"/>
      <x:c r="W21" s="191"/>
      <x:c r="X21" s="191"/>
      <x:c r="Y21" s="191"/>
      <x:c r="Z21" s="191"/>
      <x:c r="AA21" s="191"/>
      <x:c r="AB21" s="191"/>
      <x:c r="AC21" s="191"/>
      <x:c r="AD21" s="191"/>
      <x:c r="AE21" s="191"/>
      <x:c r="AF21" s="191"/>
      <x:c r="AG21" s="191"/>
      <x:c r="AH21" s="191"/>
      <x:c r="AI21" s="191"/>
      <x:c r="AJ21" s="191"/>
      <x:c r="AK21" s="191"/>
    </x:row>
    <x:row r="22">
      <x:c r="A22" s="192" t="n">
        <x:v>0</x:v>
      </x:c>
      <x:c r="B22" s="192" t="str">
        <x:v>Base — no shift</x:v>
      </x:c>
      <x:c r="C22" s="192" t="str">
        <x:v>Base — no shift</x:v>
      </x:c>
      <x:c r="D22" s="192" t="str">
        <x:v>Step00</x:v>
      </x:c>
      <x:c r="E22" s="192" t="str">
        <x:v>Step00</x:v>
      </x:c>
      <x:c r="F22" s="192" t="str">
        <x:v>Base NPV</x:v>
      </x:c>
      <x:c r="G22" s="191"/>
      <x:c r="H22" s="191"/>
      <x:c r="I22" s="191"/>
      <x:c r="J22" s="191"/>
      <x:c r="K22" s="191"/>
      <x:c r="L22" s="191"/>
      <x:c r="M22" s="191"/>
      <x:c r="N22" s="191"/>
      <x:c r="O22" s="191"/>
      <x:c r="P22" s="191"/>
      <x:c r="Q22" s="191"/>
      <x:c r="R22" s="191"/>
      <x:c r="S22" s="191"/>
      <x:c r="T22" s="191"/>
      <x:c r="U22" s="191"/>
      <x:c r="V22" s="191"/>
      <x:c r="W22" s="191"/>
      <x:c r="X22" s="191"/>
      <x:c r="Y22" s="191"/>
      <x:c r="Z22" s="191"/>
      <x:c r="AA22" s="191"/>
      <x:c r="AB22" s="191"/>
      <x:c r="AC22" s="191"/>
      <x:c r="AD22" s="191"/>
      <x:c r="AE22" s="191"/>
      <x:c r="AF22" s="191"/>
      <x:c r="AG22" s="191"/>
      <x:c r="AH22" s="191"/>
      <x:c r="AI22" s="191"/>
      <x:c r="AJ22" s="191"/>
      <x:c r="AK22" s="191"/>
    </x:row>
    <x:row r="23">
      <x:c r="A23" s="192" t="n">
        <x:v>1</x:v>
      </x:c>
      <x:c r="B23" s="192" t="str">
        <x:v>Add 3M node shift</x:v>
      </x:c>
      <x:c r="C23" s="192" t="str">
        <x:v>Add 1M expiry row shocks</x:v>
      </x:c>
      <x:c r="D23" s="192" t="str">
        <x:v>Step01</x:v>
      </x:c>
      <x:c r="E23" s="192" t="str">
        <x:v>Step01</x:v>
      </x:c>
      <x:c r="F23" s="192" t="str">
        <x:v>Intermediate audit state</x:v>
      </x:c>
      <x:c r="G23" s="191"/>
      <x:c r="H23" s="191"/>
      <x:c r="I23" s="191"/>
      <x:c r="J23" s="191"/>
      <x:c r="K23" s="191"/>
      <x:c r="L23" s="191"/>
      <x:c r="M23" s="191"/>
      <x:c r="N23" s="191"/>
      <x:c r="O23" s="191"/>
      <x:c r="P23" s="191"/>
      <x:c r="Q23" s="191"/>
      <x:c r="R23" s="191"/>
      <x:c r="S23" s="191"/>
      <x:c r="T23" s="191"/>
      <x:c r="U23" s="191"/>
      <x:c r="V23" s="191"/>
      <x:c r="W23" s="191"/>
      <x:c r="X23" s="191"/>
      <x:c r="Y23" s="191"/>
      <x:c r="Z23" s="191"/>
      <x:c r="AA23" s="191"/>
      <x:c r="AB23" s="191"/>
      <x:c r="AC23" s="191"/>
      <x:c r="AD23" s="191"/>
      <x:c r="AE23" s="191"/>
      <x:c r="AF23" s="191"/>
      <x:c r="AG23" s="191"/>
      <x:c r="AH23" s="191"/>
      <x:c r="AI23" s="191"/>
      <x:c r="AJ23" s="191"/>
      <x:c r="AK23" s="191"/>
    </x:row>
    <x:row r="24">
      <x:c r="A24" s="192" t="n">
        <x:v>2</x:v>
      </x:c>
      <x:c r="B24" s="192" t="str">
        <x:v>Add 6M node shift</x:v>
      </x:c>
      <x:c r="C24" s="192" t="str">
        <x:v>Add 3M expiry row shocks</x:v>
      </x:c>
      <x:c r="D24" s="192" t="str">
        <x:v>Step02</x:v>
      </x:c>
      <x:c r="E24" s="192" t="str">
        <x:v>Step02</x:v>
      </x:c>
      <x:c r="F24" s="192" t="str">
        <x:v>Intermediate audit state</x:v>
      </x:c>
      <x:c r="G24" s="191"/>
      <x:c r="H24" s="191"/>
      <x:c r="I24" s="191"/>
      <x:c r="J24" s="191"/>
      <x:c r="K24" s="191"/>
      <x:c r="L24" s="191"/>
      <x:c r="M24" s="191"/>
      <x:c r="N24" s="191"/>
      <x:c r="O24" s="191"/>
      <x:c r="P24" s="191"/>
      <x:c r="Q24" s="191"/>
      <x:c r="R24" s="191"/>
      <x:c r="S24" s="191"/>
      <x:c r="T24" s="191"/>
      <x:c r="U24" s="191"/>
      <x:c r="V24" s="191"/>
      <x:c r="W24" s="191"/>
      <x:c r="X24" s="191"/>
      <x:c r="Y24" s="191"/>
      <x:c r="Z24" s="191"/>
      <x:c r="AA24" s="191"/>
      <x:c r="AB24" s="191"/>
      <x:c r="AC24" s="191"/>
      <x:c r="AD24" s="191"/>
      <x:c r="AE24" s="191"/>
      <x:c r="AF24" s="191"/>
      <x:c r="AG24" s="191"/>
      <x:c r="AH24" s="191"/>
      <x:c r="AI24" s="191"/>
      <x:c r="AJ24" s="191"/>
      <x:c r="AK24" s="191"/>
    </x:row>
    <x:row r="25">
      <x:c r="A25" s="192" t="n">
        <x:v>3</x:v>
      </x:c>
      <x:c r="B25" s="192" t="str">
        <x:v>Add 1Y node shift</x:v>
      </x:c>
      <x:c r="C25" s="192" t="str">
        <x:v>Add 6M expiry row shocks</x:v>
      </x:c>
      <x:c r="D25" s="192" t="str">
        <x:v>Step03</x:v>
      </x:c>
      <x:c r="E25" s="192" t="str">
        <x:v>Step03</x:v>
      </x:c>
      <x:c r="F25" s="192" t="str">
        <x:v>Intermediate audit state</x:v>
      </x:c>
      <x:c r="G25" s="191"/>
      <x:c r="H25" s="191"/>
      <x:c r="I25" s="191"/>
      <x:c r="J25" s="191"/>
      <x:c r="K25" s="191"/>
      <x:c r="L25" s="191"/>
      <x:c r="M25" s="191"/>
      <x:c r="N25" s="191"/>
      <x:c r="O25" s="191"/>
      <x:c r="P25" s="191"/>
      <x:c r="Q25" s="191"/>
      <x:c r="R25" s="191"/>
      <x:c r="S25" s="191"/>
      <x:c r="T25" s="191"/>
      <x:c r="U25" s="191"/>
      <x:c r="V25" s="191"/>
      <x:c r="W25" s="191"/>
      <x:c r="X25" s="191"/>
      <x:c r="Y25" s="191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</x:row>
    <x:row r="26">
      <x:c r="A26" s="192" t="n">
        <x:v>4</x:v>
      </x:c>
      <x:c r="B26" s="192" t="str">
        <x:v>Add 2Y node shift</x:v>
      </x:c>
      <x:c r="C26" s="192" t="str">
        <x:v>Add 1Y expiry row shocks</x:v>
      </x:c>
      <x:c r="D26" s="192" t="str">
        <x:v>Step04</x:v>
      </x:c>
      <x:c r="E26" s="192" t="str">
        <x:v>Step04</x:v>
      </x:c>
      <x:c r="F26" s="192" t="str">
        <x:v>Intermediate audit state</x:v>
      </x:c>
      <x:c r="G26" s="191"/>
      <x:c r="H26" s="191"/>
      <x:c r="I26" s="191"/>
      <x:c r="J26" s="191"/>
      <x:c r="K26" s="191"/>
      <x:c r="L26" s="191"/>
      <x:c r="M26" s="191"/>
      <x:c r="N26" s="191"/>
      <x:c r="O26" s="191"/>
      <x:c r="P26" s="191"/>
      <x:c r="Q26" s="191"/>
      <x:c r="R26" s="191"/>
      <x:c r="S26" s="191"/>
      <x:c r="T26" s="191"/>
      <x:c r="U26" s="191"/>
      <x:c r="V26" s="191"/>
      <x:c r="W26" s="191"/>
      <x:c r="X26" s="191"/>
      <x:c r="Y26" s="191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</x:row>
    <x:row r="27">
      <x:c r="A27" s="192" t="n">
        <x:v>5</x:v>
      </x:c>
      <x:c r="B27" s="192" t="str">
        <x:v>Add 3Y node shift</x:v>
      </x:c>
      <x:c r="C27" s="192" t="str">
        <x:v>Add 2Y expiry row shocks</x:v>
      </x:c>
      <x:c r="D27" s="192" t="str">
        <x:v>Step05</x:v>
      </x:c>
      <x:c r="E27" s="192" t="str">
        <x:v>Step05</x:v>
      </x:c>
      <x:c r="F27" s="192" t="str">
        <x:v>Intermediate audit state</x:v>
      </x:c>
      <x:c r="G27" s="191"/>
      <x:c r="H27" s="191"/>
      <x:c r="I27" s="191"/>
      <x:c r="J27" s="191"/>
      <x:c r="K27" s="191"/>
      <x:c r="L27" s="191"/>
      <x:c r="M27" s="191"/>
      <x:c r="N27" s="191"/>
      <x:c r="O27" s="191"/>
      <x:c r="P27" s="191"/>
      <x:c r="Q27" s="191"/>
      <x:c r="R27" s="191"/>
      <x:c r="S27" s="191"/>
      <x:c r="T27" s="191"/>
      <x:c r="U27" s="191"/>
      <x:c r="V27" s="191"/>
      <x:c r="W27" s="191"/>
      <x:c r="X27" s="191"/>
      <x:c r="Y27" s="191"/>
      <x:c r="Z27" s="191"/>
      <x:c r="AA27" s="191"/>
      <x:c r="AB27" s="191"/>
      <x:c r="AC27" s="191"/>
      <x:c r="AD27" s="191"/>
      <x:c r="AE27" s="191"/>
      <x:c r="AF27" s="191"/>
      <x:c r="AG27" s="191"/>
      <x:c r="AH27" s="191"/>
      <x:c r="AI27" s="191"/>
      <x:c r="AJ27" s="191"/>
      <x:c r="AK27" s="191"/>
    </x:row>
    <x:row r="28">
      <x:c r="A28" s="192" t="n">
        <x:v>6</x:v>
      </x:c>
      <x:c r="B28" s="192" t="str">
        <x:v>Add 5Y node shift</x:v>
      </x:c>
      <x:c r="C28" s="192" t="str">
        <x:v>Add 3Y expiry row shocks</x:v>
      </x:c>
      <x:c r="D28" s="192" t="str">
        <x:v>Step06</x:v>
      </x:c>
      <x:c r="E28" s="192" t="str">
        <x:v>Step06</x:v>
      </x:c>
      <x:c r="F28" s="192" t="str">
        <x:v>Intermediate audit state</x:v>
      </x:c>
      <x:c r="G28" s="191"/>
      <x:c r="H28" s="191"/>
      <x:c r="I28" s="191"/>
      <x:c r="J28" s="191"/>
      <x:c r="K28" s="191"/>
      <x:c r="L28" s="191"/>
      <x:c r="M28" s="191"/>
      <x:c r="N28" s="191"/>
      <x:c r="O28" s="191"/>
      <x:c r="P28" s="191"/>
      <x:c r="Q28" s="191"/>
      <x:c r="R28" s="191"/>
      <x:c r="S28" s="191"/>
      <x:c r="T28" s="191"/>
      <x:c r="U28" s="191"/>
      <x:c r="V28" s="191"/>
      <x:c r="W28" s="191"/>
      <x:c r="X28" s="191"/>
      <x:c r="Y28" s="191"/>
      <x:c r="Z28" s="191"/>
      <x:c r="AA28" s="191"/>
      <x:c r="AB28" s="191"/>
      <x:c r="AC28" s="191"/>
      <x:c r="AD28" s="191"/>
      <x:c r="AE28" s="191"/>
      <x:c r="AF28" s="191"/>
      <x:c r="AG28" s="191"/>
      <x:c r="AH28" s="191"/>
      <x:c r="AI28" s="191"/>
      <x:c r="AJ28" s="191"/>
      <x:c r="AK28" s="191"/>
    </x:row>
    <x:row r="29">
      <x:c r="A29" s="192" t="n">
        <x:v>7</x:v>
      </x:c>
      <x:c r="B29" s="192" t="str">
        <x:v>Add 10Y node shift</x:v>
      </x:c>
      <x:c r="C29" s="192" t="str">
        <x:v>Add 5Y expiry row shocks</x:v>
      </x:c>
      <x:c r="D29" s="192" t="str">
        <x:v>Step07</x:v>
      </x:c>
      <x:c r="E29" s="192" t="str">
        <x:v>Step07</x:v>
      </x:c>
      <x:c r="F29" s="192" t="str">
        <x:v>Intermediate audit state</x:v>
      </x:c>
      <x:c r="G29" s="191"/>
      <x:c r="H29" s="191"/>
      <x:c r="I29" s="191"/>
      <x:c r="J29" s="191"/>
      <x:c r="K29" s="191"/>
      <x:c r="L29" s="191"/>
      <x:c r="M29" s="191"/>
      <x:c r="N29" s="191"/>
      <x:c r="O29" s="191"/>
      <x:c r="P29" s="191"/>
      <x:c r="Q29" s="191"/>
      <x:c r="R29" s="191"/>
      <x:c r="S29" s="191"/>
      <x:c r="T29" s="191"/>
      <x:c r="U29" s="191"/>
      <x:c r="V29" s="191"/>
      <x:c r="W29" s="191"/>
      <x:c r="X29" s="191"/>
      <x:c r="Y29" s="191"/>
      <x:c r="Z29" s="191"/>
      <x:c r="AA29" s="191"/>
      <x:c r="AB29" s="191"/>
      <x:c r="AC29" s="191"/>
      <x:c r="AD29" s="191"/>
      <x:c r="AE29" s="191"/>
      <x:c r="AF29" s="191"/>
      <x:c r="AG29" s="191"/>
      <x:c r="AH29" s="191"/>
      <x:c r="AI29" s="191"/>
      <x:c r="AJ29" s="191"/>
      <x:c r="AK29" s="191"/>
    </x:row>
    <x:row r="30">
      <x:c r="A30" s="192" t="n">
        <x:v>8</x:v>
      </x:c>
      <x:c r="B30" s="192" t="str">
        <x:v>Add 20Y node shift</x:v>
      </x:c>
      <x:c r="C30" s="192" t="str">
        <x:v>Add 10Y expiry row shocks</x:v>
      </x:c>
      <x:c r="D30" s="192" t="str">
        <x:v>Step08</x:v>
      </x:c>
      <x:c r="E30" s="192" t="str">
        <x:v>Step08</x:v>
      </x:c>
      <x:c r="F30" s="192" t="str">
        <x:v>Intermediate audit state</x:v>
      </x:c>
      <x:c r="G30" s="191"/>
      <x:c r="H30" s="191"/>
      <x:c r="I30" s="191"/>
      <x:c r="J30" s="191"/>
      <x:c r="K30" s="191"/>
      <x:c r="L30" s="191"/>
      <x:c r="M30" s="191"/>
      <x:c r="N30" s="191"/>
      <x:c r="O30" s="191"/>
      <x:c r="P30" s="191"/>
      <x:c r="Q30" s="191"/>
      <x:c r="R30" s="191"/>
      <x:c r="S30" s="191"/>
      <x:c r="T30" s="191"/>
      <x:c r="U30" s="191"/>
      <x:c r="V30" s="191"/>
      <x:c r="W30" s="191"/>
      <x:c r="X30" s="191"/>
      <x:c r="Y30" s="191"/>
      <x:c r="Z30" s="191"/>
      <x:c r="AA30" s="191"/>
      <x:c r="AB30" s="191"/>
      <x:c r="AC30" s="191"/>
      <x:c r="AD30" s="191"/>
      <x:c r="AE30" s="191"/>
      <x:c r="AF30" s="191"/>
      <x:c r="AG30" s="191"/>
      <x:c r="AH30" s="191"/>
      <x:c r="AI30" s="191"/>
      <x:c r="AJ30" s="191"/>
      <x:c r="AK30" s="191"/>
    </x:row>
    <x:row r="31">
      <x:c r="A31" s="192" t="n">
        <x:v>9</x:v>
      </x:c>
      <x:c r="B31" s="192" t="str">
        <x:v>Add 30Y node shift</x:v>
      </x:c>
      <x:c r="C31" s="192" t="str">
        <x:v>Add 20Y expiry row shocks</x:v>
      </x:c>
      <x:c r="D31" s="192" t="str">
        <x:v>Step09</x:v>
      </x:c>
      <x:c r="E31" s="192" t="str">
        <x:v>Step09</x:v>
      </x:c>
      <x:c r="F31" s="192" t="str">
        <x:v>Intermediate audit state</x:v>
      </x:c>
      <x:c r="G31" s="191"/>
      <x:c r="H31" s="191"/>
      <x:c r="I31" s="191"/>
      <x:c r="J31" s="191"/>
      <x:c r="K31" s="191"/>
      <x:c r="L31" s="191"/>
      <x:c r="M31" s="191"/>
      <x:c r="N31" s="191"/>
      <x:c r="O31" s="191"/>
      <x:c r="P31" s="191"/>
      <x:c r="Q31" s="191"/>
      <x:c r="R31" s="191"/>
      <x:c r="S31" s="191"/>
      <x:c r="T31" s="191"/>
      <x:c r="U31" s="191"/>
      <x:c r="V31" s="191"/>
      <x:c r="W31" s="191"/>
      <x:c r="X31" s="191"/>
      <x:c r="Y31" s="191"/>
      <x:c r="Z31" s="191"/>
      <x:c r="AA31" s="191"/>
      <x:c r="AB31" s="191"/>
      <x:c r="AC31" s="191"/>
      <x:c r="AD31" s="191"/>
      <x:c r="AE31" s="191"/>
      <x:c r="AF31" s="191"/>
      <x:c r="AG31" s="191"/>
      <x:c r="AH31" s="191"/>
      <x:c r="AI31" s="191"/>
      <x:c r="AJ31" s="191"/>
      <x:c r="AK31" s="191"/>
    </x:row>
    <x:row r="32">
      <x:c r="A32" s="203" t="n">
        <x:v>10</x:v>
      </x:c>
      <x:c r="B32" s="203" t="str">
        <x:v>Hold final 30Y-shocked curve</x:v>
      </x:c>
      <x:c r="C32" s="203" t="str">
        <x:v>Add 30Y expiry row shocks</x:v>
      </x:c>
      <x:c r="D32" s="203" t="str">
        <x:v>Step09</x:v>
      </x:c>
      <x:c r="E32" s="203" t="str">
        <x:v>Step10</x:v>
      </x:c>
      <x:c r="F32" s="203" t="str">
        <x:v>Final fully shocked scenario</x:v>
      </x:c>
      <x:c r="G32" s="191"/>
      <x:c r="H32" s="191"/>
      <x:c r="I32" s="191"/>
      <x:c r="J32" s="191"/>
      <x:c r="K32" s="191"/>
      <x:c r="L32" s="191"/>
      <x:c r="M32" s="191"/>
      <x:c r="N32" s="191"/>
      <x:c r="O32" s="191"/>
      <x:c r="P32" s="191"/>
      <x:c r="Q32" s="191"/>
      <x:c r="R32" s="191"/>
      <x:c r="S32" s="191"/>
      <x:c r="T32" s="191"/>
      <x:c r="U32" s="191"/>
      <x:c r="V32" s="191"/>
      <x:c r="W32" s="191"/>
      <x:c r="X32" s="191"/>
      <x:c r="Y32" s="191"/>
      <x:c r="Z32" s="191"/>
      <x:c r="AA32" s="191"/>
      <x:c r="AB32" s="191"/>
      <x:c r="AC32" s="191"/>
      <x:c r="AD32" s="191"/>
      <x:c r="AE32" s="191"/>
      <x:c r="AF32" s="191"/>
      <x:c r="AG32" s="191"/>
      <x:c r="AH32" s="191"/>
      <x:c r="AI32" s="191"/>
      <x:c r="AJ32" s="191"/>
      <x:c r="AK32" s="191"/>
    </x:row>
    <x:row r="33">
      <x:c r="A33" s="191"/>
      <x:c r="B33" s="191"/>
      <x:c r="C33" s="191"/>
      <x:c r="D33" s="191"/>
      <x:c r="E33" s="191"/>
      <x:c r="F33" s="191"/>
      <x:c r="G33" s="191"/>
      <x:c r="H33" s="191"/>
      <x:c r="I33" s="191"/>
      <x:c r="J33" s="191"/>
      <x:c r="K33" s="191"/>
      <x:c r="L33" s="191"/>
      <x:c r="M33" s="191"/>
      <x:c r="N33" s="191"/>
      <x:c r="O33" s="191"/>
      <x:c r="P33" s="191"/>
      <x:c r="Q33" s="191"/>
      <x:c r="R33" s="191"/>
      <x:c r="S33" s="191"/>
      <x:c r="T33" s="191"/>
      <x:c r="U33" s="191"/>
      <x:c r="V33" s="191"/>
      <x:c r="W33" s="191"/>
      <x:c r="X33" s="191"/>
      <x:c r="Y33" s="191"/>
      <x:c r="Z33" s="191"/>
      <x:c r="AA33" s="191"/>
      <x:c r="AB33" s="191"/>
      <x:c r="AC33" s="191"/>
      <x:c r="AD33" s="191"/>
      <x:c r="AE33" s="191"/>
      <x:c r="AF33" s="191"/>
      <x:c r="AG33" s="191"/>
      <x:c r="AH33" s="191"/>
      <x:c r="AI33" s="191"/>
      <x:c r="AJ33" s="191"/>
      <x:c r="AK33" s="191"/>
    </x:row>
    <x:row r="34">
      <x:c r="A34" s="191"/>
      <x:c r="B34" s="191"/>
      <x:c r="C34" s="191"/>
      <x:c r="D34" s="191"/>
      <x:c r="E34" s="191"/>
      <x:c r="F34" s="191"/>
      <x:c r="G34" s="191"/>
      <x:c r="H34" s="191"/>
      <x:c r="I34" s="191"/>
      <x:c r="J34" s="191"/>
      <x:c r="K34" s="191"/>
      <x:c r="L34" s="191"/>
      <x:c r="M34" s="191"/>
      <x:c r="N34" s="191"/>
      <x:c r="O34" s="191"/>
      <x:c r="P34" s="191"/>
      <x:c r="Q34" s="191"/>
      <x:c r="R34" s="191"/>
      <x:c r="S34" s="191"/>
      <x:c r="T34" s="191"/>
      <x:c r="U34" s="191"/>
      <x:c r="V34" s="191"/>
      <x:c r="W34" s="191"/>
      <x:c r="X34" s="191"/>
      <x:c r="Y34" s="191"/>
      <x:c r="Z34" s="191"/>
      <x:c r="AA34" s="191"/>
      <x:c r="AB34" s="191"/>
      <x:c r="AC34" s="191"/>
      <x:c r="AD34" s="191"/>
      <x:c r="AE34" s="191"/>
      <x:c r="AF34" s="191"/>
      <x:c r="AG34" s="191"/>
      <x:c r="AH34" s="191"/>
      <x:c r="AI34" s="191"/>
      <x:c r="AJ34" s="191"/>
      <x:c r="AK34" s="191"/>
    </x:row>
    <x:row r="35" ht="22" customHeight="1">
      <x:c r="A35" s="21" t="str">
        <x:v>Interpretation notes</x:v>
      </x:c>
      <x:c r="B35" s="21"/>
      <x:c r="C35" s="21"/>
      <x:c r="D35" s="21"/>
      <x:c r="E35" s="21"/>
      <x:c r="F35" s="21"/>
      <x:c r="G35" s="21"/>
      <x:c r="H35" s="21"/>
      <x:c r="I35" s="21"/>
      <x:c r="J35" s="21"/>
      <x:c r="K35" s="191"/>
      <x:c r="L35" s="191"/>
      <x:c r="M35" s="191"/>
      <x:c r="N35" s="191"/>
      <x:c r="O35" s="191"/>
      <x:c r="P35" s="191"/>
      <x:c r="Q35" s="191"/>
      <x:c r="R35" s="191"/>
      <x:c r="S35" s="191"/>
      <x:c r="T35" s="191"/>
      <x:c r="U35" s="191"/>
      <x:c r="V35" s="191"/>
      <x:c r="W35" s="191"/>
      <x:c r="X35" s="191"/>
      <x:c r="Y35" s="191"/>
      <x:c r="Z35" s="191"/>
      <x:c r="AA35" s="191"/>
      <x:c r="AB35" s="191"/>
      <x:c r="AC35" s="191"/>
      <x:c r="AD35" s="191"/>
      <x:c r="AE35" s="191"/>
      <x:c r="AF35" s="191"/>
      <x:c r="AG35" s="191"/>
      <x:c r="AH35" s="191"/>
      <x:c r="AI35" s="191"/>
      <x:c r="AJ35" s="191"/>
      <x:c r="AK35" s="191"/>
    </x:row>
    <x:row r="36">
      <x:c r="A36" s="79" t="str">
        <x:v>The user supplied nine non-volatility tenors. Therefore the non-vol curve has nine sequential bump operations. The table displays ten stressed build steps because the swaption surface has ten expiry rows; at Step 10 the non-vol curves remain at their final Step 09 state while the 30Y swaption expiry row is added. The supplied swaption parameters are ATM, RHO and NU (three shockable grids).</x:v>
      </x:c>
      <x:c r="B36" s="79"/>
      <x:c r="C36" s="79"/>
      <x:c r="D36" s="79"/>
      <x:c r="E36" s="79"/>
      <x:c r="F36" s="79"/>
      <x:c r="G36" s="79"/>
      <x:c r="H36" s="79"/>
      <x:c r="I36" s="79"/>
      <x:c r="J36" s="79"/>
      <x:c r="K36" s="191"/>
      <x:c r="L36" s="191"/>
      <x:c r="M36" s="191"/>
      <x:c r="N36" s="191"/>
      <x:c r="O36" s="191"/>
      <x:c r="P36" s="191"/>
      <x:c r="Q36" s="191"/>
      <x:c r="R36" s="191"/>
      <x:c r="S36" s="191"/>
      <x:c r="T36" s="191"/>
      <x:c r="U36" s="191"/>
      <x:c r="V36" s="191"/>
      <x:c r="W36" s="191"/>
      <x:c r="X36" s="191"/>
      <x:c r="Y36" s="191"/>
      <x:c r="Z36" s="191"/>
      <x:c r="AA36" s="191"/>
      <x:c r="AB36" s="191"/>
      <x:c r="AC36" s="191"/>
      <x:c r="AD36" s="191"/>
      <x:c r="AE36" s="191"/>
      <x:c r="AF36" s="191"/>
      <x:c r="AG36" s="191"/>
      <x:c r="AH36" s="191"/>
      <x:c r="AI36" s="191"/>
      <x:c r="AJ36" s="191"/>
      <x:c r="AK36" s="191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191"/>
      <x:c r="L37" s="191"/>
      <x:c r="M37" s="191"/>
      <x:c r="N37" s="191"/>
      <x:c r="O37" s="191"/>
      <x:c r="P37" s="191"/>
      <x:c r="Q37" s="191"/>
      <x:c r="R37" s="191"/>
      <x:c r="S37" s="191"/>
      <x:c r="T37" s="191"/>
      <x:c r="U37" s="191"/>
      <x:c r="V37" s="191"/>
      <x:c r="W37" s="191"/>
      <x:c r="X37" s="191"/>
      <x:c r="Y37" s="191"/>
      <x:c r="Z37" s="191"/>
      <x:c r="AA37" s="191"/>
      <x:c r="AB37" s="191"/>
      <x:c r="AC37" s="191"/>
      <x:c r="AD37" s="191"/>
      <x:c r="AE37" s="191"/>
      <x:c r="AF37" s="191"/>
      <x:c r="AG37" s="191"/>
      <x:c r="AH37" s="191"/>
      <x:c r="AI37" s="191"/>
      <x:c r="AJ37" s="191"/>
      <x:c r="AK37" s="191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191"/>
      <x:c r="L38" s="191"/>
      <x:c r="M38" s="191"/>
      <x:c r="N38" s="191"/>
      <x:c r="O38" s="191"/>
      <x:c r="P38" s="191"/>
      <x:c r="Q38" s="191"/>
      <x:c r="R38" s="191"/>
      <x:c r="S38" s="191"/>
      <x:c r="T38" s="191"/>
      <x:c r="U38" s="191"/>
      <x:c r="V38" s="191"/>
      <x:c r="W38" s="191"/>
      <x:c r="X38" s="191"/>
      <x:c r="Y38" s="191"/>
      <x:c r="Z38" s="191"/>
      <x:c r="AA38" s="191"/>
      <x:c r="AB38" s="191"/>
      <x:c r="AC38" s="191"/>
      <x:c r="AD38" s="191"/>
      <x:c r="AE38" s="191"/>
      <x:c r="AF38" s="191"/>
      <x:c r="AG38" s="191"/>
      <x:c r="AH38" s="191"/>
      <x:c r="AI38" s="191"/>
      <x:c r="AJ38" s="191"/>
      <x:c r="AK38" s="191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191"/>
      <x:c r="L39" s="191"/>
      <x:c r="M39" s="191"/>
      <x:c r="N39" s="191"/>
      <x:c r="O39" s="191"/>
      <x:c r="P39" s="191"/>
      <x:c r="Q39" s="191"/>
      <x:c r="R39" s="191"/>
      <x:c r="S39" s="191"/>
      <x:c r="T39" s="191"/>
      <x:c r="U39" s="191"/>
      <x:c r="V39" s="191"/>
      <x:c r="W39" s="191"/>
      <x:c r="X39" s="191"/>
      <x:c r="Y39" s="191"/>
      <x:c r="Z39" s="191"/>
      <x:c r="AA39" s="191"/>
      <x:c r="AB39" s="191"/>
      <x:c r="AC39" s="191"/>
      <x:c r="AD39" s="191"/>
      <x:c r="AE39" s="191"/>
      <x:c r="AF39" s="191"/>
      <x:c r="AG39" s="191"/>
      <x:c r="AH39" s="191"/>
      <x:c r="AI39" s="191"/>
      <x:c r="AJ39" s="191"/>
      <x:c r="AK39" s="191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  <x:c r="K40" s="191"/>
      <x:c r="L40" s="191"/>
      <x:c r="M40" s="191"/>
      <x:c r="N40" s="191"/>
      <x:c r="O40" s="191"/>
      <x:c r="P40" s="191"/>
      <x:c r="Q40" s="191"/>
      <x:c r="R40" s="191"/>
      <x:c r="S40" s="191"/>
      <x:c r="T40" s="191"/>
      <x:c r="U40" s="191"/>
      <x:c r="V40" s="191"/>
      <x:c r="W40" s="191"/>
      <x:c r="X40" s="191"/>
      <x:c r="Y40" s="191"/>
      <x:c r="Z40" s="191"/>
      <x:c r="AA40" s="191"/>
      <x:c r="AB40" s="191"/>
      <x:c r="AC40" s="191"/>
      <x:c r="AD40" s="191"/>
      <x:c r="AE40" s="191"/>
      <x:c r="AF40" s="191"/>
      <x:c r="AG40" s="191"/>
      <x:c r="AH40" s="191"/>
      <x:c r="AI40" s="191"/>
      <x:c r="AJ40" s="191"/>
      <x:c r="AK40" s="191"/>
    </x:row>
    <x:row r="41">
      <x:c r="A41" s="191"/>
      <x:c r="B41" s="191"/>
      <x:c r="C41" s="191"/>
      <x:c r="D41" s="191"/>
      <x:c r="E41" s="191"/>
      <x:c r="F41" s="191"/>
      <x:c r="G41" s="191"/>
      <x:c r="H41" s="191"/>
      <x:c r="I41" s="191"/>
      <x:c r="J41" s="191"/>
      <x:c r="K41" s="191"/>
      <x:c r="L41" s="191"/>
      <x:c r="M41" s="191"/>
      <x:c r="N41" s="191"/>
      <x:c r="O41" s="191"/>
      <x:c r="P41" s="191"/>
      <x:c r="Q41" s="191"/>
      <x:c r="R41" s="191"/>
      <x:c r="S41" s="191"/>
      <x:c r="T41" s="191"/>
      <x:c r="U41" s="191"/>
      <x:c r="V41" s="191"/>
      <x:c r="W41" s="191"/>
      <x:c r="X41" s="191"/>
      <x:c r="Y41" s="191"/>
      <x:c r="Z41" s="191"/>
      <x:c r="AA41" s="191"/>
      <x:c r="AB41" s="191"/>
      <x:c r="AC41" s="191"/>
      <x:c r="AD41" s="191"/>
      <x:c r="AE41" s="191"/>
      <x:c r="AF41" s="191"/>
      <x:c r="AG41" s="191"/>
      <x:c r="AH41" s="191"/>
      <x:c r="AI41" s="191"/>
      <x:c r="AJ41" s="191"/>
      <x:c r="AK41" s="191"/>
    </x:row>
    <x:row r="42">
      <x:c r="A42" s="191"/>
      <x:c r="B42" s="191"/>
      <x:c r="C42" s="191"/>
      <x:c r="D42" s="191"/>
      <x:c r="E42" s="191"/>
      <x:c r="F42" s="191"/>
      <x:c r="G42" s="191"/>
      <x:c r="H42" s="191"/>
      <x:c r="I42" s="191"/>
      <x:c r="J42" s="191"/>
      <x:c r="K42" s="191"/>
      <x:c r="L42" s="191"/>
      <x:c r="M42" s="191"/>
      <x:c r="N42" s="191"/>
      <x:c r="O42" s="191"/>
      <x:c r="P42" s="191"/>
      <x:c r="Q42" s="191"/>
      <x:c r="R42" s="191"/>
      <x:c r="S42" s="191"/>
      <x:c r="T42" s="191"/>
      <x:c r="U42" s="191"/>
      <x:c r="V42" s="191"/>
      <x:c r="W42" s="191"/>
      <x:c r="X42" s="191"/>
      <x:c r="Y42" s="191"/>
      <x:c r="Z42" s="191"/>
      <x:c r="AA42" s="191"/>
      <x:c r="AB42" s="191"/>
      <x:c r="AC42" s="191"/>
      <x:c r="AD42" s="191"/>
      <x:c r="AE42" s="191"/>
      <x:c r="AF42" s="191"/>
      <x:c r="AG42" s="191"/>
      <x:c r="AH42" s="191"/>
      <x:c r="AI42" s="191"/>
      <x:c r="AJ42" s="191"/>
      <x:c r="AK42" s="191"/>
    </x:row>
    <x:row r="43">
      <x:c r="A43" s="191"/>
      <x:c r="B43" s="191"/>
      <x:c r="C43" s="191"/>
      <x:c r="D43" s="191"/>
      <x:c r="E43" s="191"/>
      <x:c r="F43" s="191"/>
      <x:c r="G43" s="191"/>
      <x:c r="H43" s="191"/>
      <x:c r="I43" s="191"/>
      <x:c r="J43" s="191"/>
      <x:c r="K43" s="191"/>
      <x:c r="L43" s="191"/>
      <x:c r="M43" s="191"/>
      <x:c r="N43" s="191"/>
      <x:c r="O43" s="191"/>
      <x:c r="P43" s="191"/>
      <x:c r="Q43" s="191"/>
      <x:c r="R43" s="191"/>
      <x:c r="S43" s="191"/>
      <x:c r="T43" s="191"/>
      <x:c r="U43" s="191"/>
      <x:c r="V43" s="191"/>
      <x:c r="W43" s="191"/>
      <x:c r="X43" s="191"/>
      <x:c r="Y43" s="191"/>
      <x:c r="Z43" s="191"/>
      <x:c r="AA43" s="191"/>
      <x:c r="AB43" s="191"/>
      <x:c r="AC43" s="191"/>
      <x:c r="AD43" s="191"/>
      <x:c r="AE43" s="191"/>
      <x:c r="AF43" s="191"/>
      <x:c r="AG43" s="191"/>
      <x:c r="AH43" s="191"/>
      <x:c r="AI43" s="191"/>
      <x:c r="AJ43" s="191"/>
      <x:c r="AK43" s="191"/>
    </x:row>
    <x:row r="44">
      <x:c r="A44" s="191"/>
      <x:c r="B44" s="191"/>
      <x:c r="C44" s="191"/>
      <x:c r="D44" s="191"/>
      <x:c r="E44" s="191"/>
      <x:c r="F44" s="191"/>
      <x:c r="G44" s="191"/>
      <x:c r="H44" s="191"/>
      <x:c r="I44" s="191"/>
      <x:c r="J44" s="191"/>
      <x:c r="K44" s="191"/>
      <x:c r="L44" s="191"/>
      <x:c r="M44" s="191"/>
      <x:c r="N44" s="191"/>
      <x:c r="O44" s="191"/>
      <x:c r="P44" s="191"/>
      <x:c r="Q44" s="191"/>
      <x:c r="R44" s="191"/>
      <x:c r="S44" s="191"/>
      <x:c r="T44" s="191"/>
      <x:c r="U44" s="191"/>
      <x:c r="V44" s="191"/>
      <x:c r="W44" s="191"/>
      <x:c r="X44" s="191"/>
      <x:c r="Y44" s="191"/>
      <x:c r="Z44" s="191"/>
      <x:c r="AA44" s="191"/>
      <x:c r="AB44" s="191"/>
      <x:c r="AC44" s="191"/>
      <x:c r="AD44" s="191"/>
      <x:c r="AE44" s="191"/>
      <x:c r="AF44" s="191"/>
      <x:c r="AG44" s="191"/>
      <x:c r="AH44" s="191"/>
      <x:c r="AI44" s="191"/>
      <x:c r="AJ44" s="191"/>
      <x:c r="AK44" s="191"/>
    </x:row>
    <x:row r="45">
      <x:c r="A45" s="191"/>
      <x:c r="B45" s="191"/>
      <x:c r="C45" s="191"/>
      <x:c r="D45" s="191"/>
      <x:c r="E45" s="191"/>
      <x:c r="F45" s="191"/>
      <x:c r="G45" s="191"/>
      <x:c r="H45" s="191"/>
      <x:c r="I45" s="191"/>
      <x:c r="J45" s="191"/>
      <x:c r="K45" s="191"/>
      <x:c r="L45" s="191"/>
      <x:c r="M45" s="191"/>
      <x:c r="N45" s="191"/>
      <x:c r="O45" s="191"/>
      <x:c r="P45" s="191"/>
      <x:c r="Q45" s="191"/>
      <x:c r="R45" s="191"/>
      <x:c r="S45" s="191"/>
      <x:c r="T45" s="191"/>
      <x:c r="U45" s="191"/>
      <x:c r="V45" s="191"/>
      <x:c r="W45" s="191"/>
      <x:c r="X45" s="191"/>
      <x:c r="Y45" s="191"/>
      <x:c r="Z45" s="191"/>
      <x:c r="AA45" s="191"/>
      <x:c r="AB45" s="191"/>
      <x:c r="AC45" s="191"/>
      <x:c r="AD45" s="191"/>
      <x:c r="AE45" s="191"/>
      <x:c r="AF45" s="191"/>
      <x:c r="AG45" s="191"/>
      <x:c r="AH45" s="191"/>
      <x:c r="AI45" s="191"/>
      <x:c r="AJ45" s="191"/>
      <x:c r="AK45" s="191"/>
    </x:row>
    <x:row r="46">
      <x:c r="A46" s="191"/>
      <x:c r="B46" s="191"/>
      <x:c r="C46" s="191"/>
      <x:c r="D46" s="191"/>
      <x:c r="E46" s="191"/>
      <x:c r="F46" s="191"/>
      <x:c r="G46" s="191"/>
      <x:c r="H46" s="191"/>
      <x:c r="I46" s="191"/>
      <x:c r="J46" s="191"/>
      <x:c r="K46" s="191"/>
      <x:c r="L46" s="191"/>
      <x:c r="M46" s="191"/>
      <x:c r="N46" s="191"/>
      <x:c r="O46" s="191"/>
      <x:c r="P46" s="191"/>
      <x:c r="Q46" s="191"/>
      <x:c r="R46" s="191"/>
      <x:c r="S46" s="191"/>
      <x:c r="T46" s="191"/>
      <x:c r="U46" s="191"/>
      <x:c r="V46" s="191"/>
      <x:c r="W46" s="191"/>
      <x:c r="X46" s="191"/>
      <x:c r="Y46" s="191"/>
      <x:c r="Z46" s="191"/>
      <x:c r="AA46" s="191"/>
      <x:c r="AB46" s="191"/>
      <x:c r="AC46" s="191"/>
      <x:c r="AD46" s="191"/>
      <x:c r="AE46" s="191"/>
      <x:c r="AF46" s="191"/>
      <x:c r="AG46" s="191"/>
      <x:c r="AH46" s="191"/>
      <x:c r="AI46" s="191"/>
      <x:c r="AJ46" s="191"/>
      <x:c r="AK46" s="191"/>
    </x:row>
    <x:row r="47">
      <x:c r="A47" s="191"/>
      <x:c r="B47" s="191"/>
      <x:c r="C47" s="191"/>
      <x:c r="D47" s="191"/>
      <x:c r="E47" s="191"/>
      <x:c r="F47" s="191"/>
      <x:c r="G47" s="191"/>
      <x:c r="H47" s="191"/>
      <x:c r="I47" s="191"/>
      <x:c r="J47" s="191"/>
      <x:c r="K47" s="191"/>
      <x:c r="L47" s="191"/>
      <x:c r="M47" s="191"/>
      <x:c r="N47" s="191"/>
      <x:c r="O47" s="191"/>
      <x:c r="P47" s="191"/>
      <x:c r="Q47" s="191"/>
      <x:c r="R47" s="191"/>
      <x:c r="S47" s="191"/>
      <x:c r="T47" s="191"/>
      <x:c r="U47" s="191"/>
      <x:c r="V47" s="191"/>
      <x:c r="W47" s="191"/>
      <x:c r="X47" s="191"/>
      <x:c r="Y47" s="191"/>
      <x:c r="Z47" s="191"/>
      <x:c r="AA47" s="191"/>
      <x:c r="AB47" s="191"/>
      <x:c r="AC47" s="191"/>
      <x:c r="AD47" s="191"/>
      <x:c r="AE47" s="191"/>
      <x:c r="AF47" s="191"/>
      <x:c r="AG47" s="191"/>
      <x:c r="AH47" s="191"/>
      <x:c r="AI47" s="191"/>
      <x:c r="AJ47" s="191"/>
      <x:c r="AK47" s="191"/>
    </x:row>
    <x:row r="48">
      <x:c r="A48" s="191"/>
      <x:c r="B48" s="191"/>
      <x:c r="C48" s="191"/>
      <x:c r="D48" s="191"/>
      <x:c r="E48" s="191"/>
      <x:c r="F48" s="191"/>
      <x:c r="G48" s="191"/>
      <x:c r="H48" s="191"/>
      <x:c r="I48" s="191"/>
      <x:c r="J48" s="191"/>
      <x:c r="K48" s="191"/>
      <x:c r="L48" s="191"/>
      <x:c r="M48" s="191"/>
      <x:c r="N48" s="191"/>
      <x:c r="O48" s="191"/>
      <x:c r="P48" s="191"/>
      <x:c r="Q48" s="191"/>
      <x:c r="R48" s="191"/>
      <x:c r="S48" s="191"/>
      <x:c r="T48" s="191"/>
      <x:c r="U48" s="191"/>
      <x:c r="V48" s="191"/>
      <x:c r="W48" s="191"/>
      <x:c r="X48" s="191"/>
      <x:c r="Y48" s="191"/>
      <x:c r="Z48" s="191"/>
      <x:c r="AA48" s="191"/>
      <x:c r="AB48" s="191"/>
      <x:c r="AC48" s="191"/>
      <x:c r="AD48" s="191"/>
      <x:c r="AE48" s="191"/>
      <x:c r="AF48" s="191"/>
      <x:c r="AG48" s="191"/>
      <x:c r="AH48" s="191"/>
      <x:c r="AI48" s="191"/>
      <x:c r="AJ48" s="191"/>
      <x:c r="AK48" s="191"/>
    </x:row>
    <x:row r="49">
      <x:c r="A49" s="191"/>
      <x:c r="B49" s="191"/>
      <x:c r="C49" s="191"/>
      <x:c r="D49" s="191"/>
      <x:c r="E49" s="191"/>
      <x:c r="F49" s="191"/>
      <x:c r="G49" s="191"/>
      <x:c r="H49" s="191"/>
      <x:c r="I49" s="191"/>
      <x:c r="J49" s="191"/>
      <x:c r="K49" s="191"/>
      <x:c r="L49" s="191"/>
      <x:c r="M49" s="191"/>
      <x:c r="N49" s="191"/>
      <x:c r="O49" s="191"/>
      <x:c r="P49" s="191"/>
      <x:c r="Q49" s="191"/>
      <x:c r="R49" s="191"/>
      <x:c r="S49" s="191"/>
      <x:c r="T49" s="191"/>
      <x:c r="U49" s="191"/>
      <x:c r="V49" s="191"/>
      <x:c r="W49" s="191"/>
      <x:c r="X49" s="191"/>
      <x:c r="Y49" s="191"/>
      <x:c r="Z49" s="191"/>
      <x:c r="AA49" s="191"/>
      <x:c r="AB49" s="191"/>
      <x:c r="AC49" s="191"/>
      <x:c r="AD49" s="191"/>
      <x:c r="AE49" s="191"/>
      <x:c r="AF49" s="191"/>
      <x:c r="AG49" s="191"/>
      <x:c r="AH49" s="191"/>
      <x:c r="AI49" s="191"/>
      <x:c r="AJ49" s="191"/>
      <x:c r="AK49" s="191"/>
    </x:row>
    <x:row r="50">
      <x:c r="A50" s="191"/>
      <x:c r="B50" s="191"/>
      <x:c r="C50" s="191"/>
      <x:c r="D50" s="191"/>
      <x:c r="E50" s="191"/>
      <x:c r="F50" s="191"/>
      <x:c r="G50" s="191"/>
      <x:c r="H50" s="191"/>
      <x:c r="I50" s="191"/>
      <x:c r="J50" s="191"/>
      <x:c r="K50" s="191"/>
      <x:c r="L50" s="191"/>
      <x:c r="M50" s="191"/>
      <x:c r="N50" s="191"/>
      <x:c r="O50" s="191"/>
      <x:c r="P50" s="191"/>
      <x:c r="Q50" s="191"/>
      <x:c r="R50" s="191"/>
      <x:c r="S50" s="191"/>
      <x:c r="T50" s="191"/>
      <x:c r="U50" s="191"/>
      <x:c r="V50" s="191"/>
      <x:c r="W50" s="191"/>
      <x:c r="X50" s="191"/>
      <x:c r="Y50" s="191"/>
      <x:c r="Z50" s="191"/>
      <x:c r="AA50" s="191"/>
      <x:c r="AB50" s="191"/>
      <x:c r="AC50" s="191"/>
      <x:c r="AD50" s="191"/>
      <x:c r="AE50" s="191"/>
      <x:c r="AF50" s="191"/>
      <x:c r="AG50" s="191"/>
      <x:c r="AH50" s="191"/>
      <x:c r="AI50" s="191"/>
      <x:c r="AJ50" s="191"/>
      <x:c r="AK50" s="191"/>
    </x:row>
    <x:row r="51">
      <x:c r="A51" s="191"/>
      <x:c r="B51" s="191"/>
      <x:c r="C51" s="191"/>
      <x:c r="D51" s="191"/>
      <x:c r="E51" s="191"/>
      <x:c r="F51" s="191"/>
      <x:c r="G51" s="191"/>
      <x:c r="H51" s="191"/>
      <x:c r="I51" s="191"/>
      <x:c r="J51" s="191"/>
      <x:c r="K51" s="191"/>
      <x:c r="L51" s="191"/>
      <x:c r="M51" s="191"/>
      <x:c r="N51" s="191"/>
      <x:c r="O51" s="191"/>
      <x:c r="P51" s="191"/>
      <x:c r="Q51" s="191"/>
      <x:c r="R51" s="191"/>
      <x:c r="S51" s="191"/>
      <x:c r="T51" s="191"/>
      <x:c r="U51" s="191"/>
      <x:c r="V51" s="191"/>
      <x:c r="W51" s="191"/>
      <x:c r="X51" s="191"/>
      <x:c r="Y51" s="191"/>
      <x:c r="Z51" s="191"/>
      <x:c r="AA51" s="191"/>
      <x:c r="AB51" s="191"/>
      <x:c r="AC51" s="191"/>
      <x:c r="AD51" s="191"/>
      <x:c r="AE51" s="191"/>
      <x:c r="AF51" s="191"/>
      <x:c r="AG51" s="191"/>
      <x:c r="AH51" s="191"/>
      <x:c r="AI51" s="191"/>
      <x:c r="AJ51" s="191"/>
      <x:c r="AK51" s="191"/>
    </x:row>
    <x:row r="52">
      <x:c r="A52" s="191"/>
      <x:c r="B52" s="191"/>
      <x:c r="C52" s="191"/>
      <x:c r="D52" s="191"/>
      <x:c r="E52" s="191"/>
      <x:c r="F52" s="191"/>
      <x:c r="G52" s="191"/>
      <x:c r="H52" s="191"/>
      <x:c r="I52" s="191"/>
      <x:c r="J52" s="191"/>
      <x:c r="K52" s="191"/>
      <x:c r="L52" s="191"/>
      <x:c r="M52" s="191"/>
      <x:c r="N52" s="191"/>
      <x:c r="O52" s="191"/>
      <x:c r="P52" s="191"/>
      <x:c r="Q52" s="191"/>
      <x:c r="R52" s="191"/>
      <x:c r="S52" s="191"/>
      <x:c r="T52" s="191"/>
      <x:c r="U52" s="191"/>
      <x:c r="V52" s="191"/>
      <x:c r="W52" s="191"/>
      <x:c r="X52" s="191"/>
      <x:c r="Y52" s="191"/>
      <x:c r="Z52" s="191"/>
      <x:c r="AA52" s="191"/>
      <x:c r="AB52" s="191"/>
      <x:c r="AC52" s="191"/>
      <x:c r="AD52" s="191"/>
      <x:c r="AE52" s="191"/>
      <x:c r="AF52" s="191"/>
      <x:c r="AG52" s="191"/>
      <x:c r="AH52" s="191"/>
      <x:c r="AI52" s="191"/>
      <x:c r="AJ52" s="191"/>
      <x:c r="AK52" s="191"/>
    </x:row>
    <x:row r="53">
      <x:c r="A53" s="191"/>
      <x:c r="B53" s="191"/>
      <x:c r="C53" s="191"/>
      <x:c r="D53" s="191"/>
      <x:c r="E53" s="191"/>
      <x:c r="F53" s="191"/>
      <x:c r="G53" s="191"/>
      <x:c r="H53" s="191"/>
      <x:c r="I53" s="191"/>
      <x:c r="J53" s="191"/>
      <x:c r="K53" s="191"/>
      <x:c r="L53" s="191"/>
      <x:c r="M53" s="191"/>
      <x:c r="N53" s="191"/>
      <x:c r="O53" s="191"/>
      <x:c r="P53" s="191"/>
      <x:c r="Q53" s="191"/>
      <x:c r="R53" s="191"/>
      <x:c r="S53" s="191"/>
      <x:c r="T53" s="191"/>
      <x:c r="U53" s="191"/>
      <x:c r="V53" s="191"/>
      <x:c r="W53" s="191"/>
      <x:c r="X53" s="191"/>
      <x:c r="Y53" s="191"/>
      <x:c r="Z53" s="191"/>
      <x:c r="AA53" s="191"/>
      <x:c r="AB53" s="191"/>
      <x:c r="AC53" s="191"/>
      <x:c r="AD53" s="191"/>
      <x:c r="AE53" s="191"/>
      <x:c r="AF53" s="191"/>
      <x:c r="AG53" s="191"/>
      <x:c r="AH53" s="191"/>
      <x:c r="AI53" s="191"/>
      <x:c r="AJ53" s="191"/>
      <x:c r="AK53" s="191"/>
    </x:row>
    <x:row r="54">
      <x:c r="A54" s="191"/>
      <x:c r="B54" s="191"/>
      <x:c r="C54" s="191"/>
      <x:c r="D54" s="191"/>
      <x:c r="E54" s="191"/>
      <x:c r="F54" s="191"/>
      <x:c r="G54" s="191"/>
      <x:c r="H54" s="191"/>
      <x:c r="I54" s="191"/>
      <x:c r="J54" s="191"/>
      <x:c r="K54" s="191"/>
      <x:c r="L54" s="191"/>
      <x:c r="M54" s="191"/>
      <x:c r="N54" s="191"/>
      <x:c r="O54" s="191"/>
      <x:c r="P54" s="191"/>
      <x:c r="Q54" s="191"/>
      <x:c r="R54" s="191"/>
      <x:c r="S54" s="191"/>
      <x:c r="T54" s="191"/>
      <x:c r="U54" s="191"/>
      <x:c r="V54" s="191"/>
      <x:c r="W54" s="191"/>
      <x:c r="X54" s="191"/>
      <x:c r="Y54" s="191"/>
      <x:c r="Z54" s="191"/>
      <x:c r="AA54" s="191"/>
      <x:c r="AB54" s="191"/>
      <x:c r="AC54" s="191"/>
      <x:c r="AD54" s="191"/>
      <x:c r="AE54" s="191"/>
      <x:c r="AF54" s="191"/>
      <x:c r="AG54" s="191"/>
      <x:c r="AH54" s="191"/>
      <x:c r="AI54" s="191"/>
      <x:c r="AJ54" s="191"/>
      <x:c r="AK54" s="191"/>
    </x:row>
    <x:row r="55">
      <x:c r="A55" s="191"/>
      <x:c r="B55" s="191"/>
      <x:c r="C55" s="191"/>
      <x:c r="D55" s="191"/>
      <x:c r="E55" s="191"/>
      <x:c r="F55" s="191"/>
      <x:c r="G55" s="191"/>
      <x:c r="H55" s="191"/>
      <x:c r="I55" s="191"/>
      <x:c r="J55" s="191"/>
      <x:c r="K55" s="191"/>
      <x:c r="L55" s="191"/>
      <x:c r="M55" s="191"/>
      <x:c r="N55" s="191"/>
      <x:c r="O55" s="191"/>
      <x:c r="P55" s="191"/>
      <x:c r="Q55" s="191"/>
      <x:c r="R55" s="191"/>
      <x:c r="S55" s="191"/>
      <x:c r="T55" s="191"/>
      <x:c r="U55" s="191"/>
      <x:c r="V55" s="191"/>
      <x:c r="W55" s="191"/>
      <x:c r="X55" s="191"/>
      <x:c r="Y55" s="191"/>
      <x:c r="Z55" s="191"/>
      <x:c r="AA55" s="191"/>
      <x:c r="AB55" s="191"/>
      <x:c r="AC55" s="191"/>
      <x:c r="AD55" s="191"/>
      <x:c r="AE55" s="191"/>
      <x:c r="AF55" s="191"/>
      <x:c r="AG55" s="191"/>
      <x:c r="AH55" s="191"/>
      <x:c r="AI55" s="191"/>
      <x:c r="AJ55" s="191"/>
      <x:c r="AK55" s="191"/>
    </x:row>
    <x:row r="56">
      <x:c r="A56" s="191"/>
      <x:c r="B56" s="191"/>
      <x:c r="C56" s="191"/>
      <x:c r="D56" s="191"/>
      <x:c r="E56" s="191"/>
      <x:c r="F56" s="191"/>
      <x:c r="G56" s="191"/>
      <x:c r="H56" s="191"/>
      <x:c r="I56" s="191"/>
      <x:c r="J56" s="191"/>
      <x:c r="K56" s="191"/>
      <x:c r="L56" s="191"/>
      <x:c r="M56" s="191"/>
      <x:c r="N56" s="191"/>
      <x:c r="O56" s="191"/>
      <x:c r="P56" s="191"/>
      <x:c r="Q56" s="191"/>
      <x:c r="R56" s="191"/>
      <x:c r="S56" s="191"/>
      <x:c r="T56" s="191"/>
      <x:c r="U56" s="191"/>
      <x:c r="V56" s="191"/>
      <x:c r="W56" s="191"/>
      <x:c r="X56" s="191"/>
      <x:c r="Y56" s="191"/>
      <x:c r="Z56" s="191"/>
      <x:c r="AA56" s="191"/>
      <x:c r="AB56" s="191"/>
      <x:c r="AC56" s="191"/>
      <x:c r="AD56" s="191"/>
      <x:c r="AE56" s="191"/>
      <x:c r="AF56" s="191"/>
      <x:c r="AG56" s="191"/>
      <x:c r="AH56" s="191"/>
      <x:c r="AI56" s="191"/>
      <x:c r="AJ56" s="191"/>
      <x:c r="AK56" s="191"/>
    </x:row>
    <x:row r="57">
      <x:c r="A57" s="191"/>
      <x:c r="B57" s="191"/>
      <x:c r="C57" s="191"/>
      <x:c r="D57" s="191"/>
      <x:c r="E57" s="191"/>
      <x:c r="F57" s="191"/>
      <x:c r="G57" s="191"/>
      <x:c r="H57" s="191"/>
      <x:c r="I57" s="191"/>
      <x:c r="J57" s="191"/>
      <x:c r="K57" s="191"/>
      <x:c r="L57" s="191"/>
      <x:c r="M57" s="191"/>
      <x:c r="N57" s="191"/>
      <x:c r="O57" s="191"/>
      <x:c r="P57" s="191"/>
      <x:c r="Q57" s="191"/>
      <x:c r="R57" s="191"/>
      <x:c r="S57" s="191"/>
      <x:c r="T57" s="191"/>
      <x:c r="U57" s="191"/>
      <x:c r="V57" s="191"/>
      <x:c r="W57" s="191"/>
      <x:c r="X57" s="191"/>
      <x:c r="Y57" s="191"/>
      <x:c r="Z57" s="191"/>
      <x:c r="AA57" s="191"/>
      <x:c r="AB57" s="191"/>
      <x:c r="AC57" s="191"/>
      <x:c r="AD57" s="191"/>
      <x:c r="AE57" s="191"/>
      <x:c r="AF57" s="191"/>
      <x:c r="AG57" s="191"/>
      <x:c r="AH57" s="191"/>
      <x:c r="AI57" s="191"/>
      <x:c r="AJ57" s="191"/>
      <x:c r="AK57" s="191"/>
    </x:row>
    <x:row r="58">
      <x:c r="A58" s="191"/>
      <x:c r="B58" s="191"/>
      <x:c r="C58" s="191"/>
      <x:c r="D58" s="191"/>
      <x:c r="E58" s="191"/>
      <x:c r="F58" s="191"/>
      <x:c r="G58" s="191"/>
      <x:c r="H58" s="191"/>
      <x:c r="I58" s="191"/>
      <x:c r="J58" s="191"/>
      <x:c r="K58" s="191"/>
      <x:c r="L58" s="191"/>
      <x:c r="M58" s="191"/>
      <x:c r="N58" s="191"/>
      <x:c r="O58" s="191"/>
      <x:c r="P58" s="191"/>
      <x:c r="Q58" s="191"/>
      <x:c r="R58" s="191"/>
      <x:c r="S58" s="191"/>
      <x:c r="T58" s="191"/>
      <x:c r="U58" s="191"/>
      <x:c r="V58" s="191"/>
      <x:c r="W58" s="191"/>
      <x:c r="X58" s="191"/>
      <x:c r="Y58" s="191"/>
      <x:c r="Z58" s="191"/>
      <x:c r="AA58" s="191"/>
      <x:c r="AB58" s="191"/>
      <x:c r="AC58" s="191"/>
      <x:c r="AD58" s="191"/>
      <x:c r="AE58" s="191"/>
      <x:c r="AF58" s="191"/>
      <x:c r="AG58" s="191"/>
      <x:c r="AH58" s="191"/>
      <x:c r="AI58" s="191"/>
      <x:c r="AJ58" s="191"/>
      <x:c r="AK58" s="191"/>
    </x:row>
    <x:row r="59">
      <x:c r="A59" s="191"/>
      <x:c r="B59" s="191"/>
      <x:c r="C59" s="191"/>
      <x:c r="D59" s="191"/>
      <x:c r="E59" s="191"/>
      <x:c r="F59" s="191"/>
      <x:c r="G59" s="191"/>
      <x:c r="H59" s="191"/>
      <x:c r="I59" s="191"/>
      <x:c r="J59" s="191"/>
      <x:c r="K59" s="191"/>
      <x:c r="L59" s="191"/>
      <x:c r="M59" s="191"/>
      <x:c r="N59" s="191"/>
      <x:c r="O59" s="191"/>
      <x:c r="P59" s="191"/>
      <x:c r="Q59" s="191"/>
      <x:c r="R59" s="191"/>
      <x:c r="S59" s="191"/>
      <x:c r="T59" s="191"/>
      <x:c r="U59" s="191"/>
      <x:c r="V59" s="191"/>
      <x:c r="W59" s="191"/>
      <x:c r="X59" s="191"/>
      <x:c r="Y59" s="191"/>
      <x:c r="Z59" s="191"/>
      <x:c r="AA59" s="191"/>
      <x:c r="AB59" s="191"/>
      <x:c r="AC59" s="191"/>
      <x:c r="AD59" s="191"/>
      <x:c r="AE59" s="191"/>
      <x:c r="AF59" s="191"/>
      <x:c r="AG59" s="191"/>
      <x:c r="AH59" s="191"/>
      <x:c r="AI59" s="191"/>
      <x:c r="AJ59" s="191"/>
      <x:c r="AK59" s="191"/>
    </x:row>
    <x:row r="60">
      <x:c r="A60" s="191"/>
      <x:c r="B60" s="191"/>
      <x:c r="C60" s="191"/>
      <x:c r="D60" s="191"/>
      <x:c r="E60" s="191"/>
      <x:c r="F60" s="191"/>
      <x:c r="G60" s="191"/>
      <x:c r="H60" s="191"/>
      <x:c r="I60" s="191"/>
      <x:c r="J60" s="191"/>
      <x:c r="K60" s="191"/>
      <x:c r="L60" s="191"/>
      <x:c r="M60" s="191"/>
      <x:c r="N60" s="191"/>
      <x:c r="O60" s="191"/>
      <x:c r="P60" s="191"/>
      <x:c r="Q60" s="191"/>
      <x:c r="R60" s="191"/>
      <x:c r="S60" s="191"/>
      <x:c r="T60" s="191"/>
      <x:c r="U60" s="191"/>
      <x:c r="V60" s="191"/>
      <x:c r="W60" s="191"/>
      <x:c r="X60" s="191"/>
      <x:c r="Y60" s="191"/>
      <x:c r="Z60" s="191"/>
      <x:c r="AA60" s="191"/>
      <x:c r="AB60" s="191"/>
      <x:c r="AC60" s="191"/>
      <x:c r="AD60" s="191"/>
      <x:c r="AE60" s="191"/>
      <x:c r="AF60" s="191"/>
      <x:c r="AG60" s="191"/>
      <x:c r="AH60" s="191"/>
      <x:c r="AI60" s="191"/>
      <x:c r="AJ60" s="191"/>
      <x:c r="AK60" s="191"/>
    </x:row>
    <x:row r="61">
      <x:c r="A61" s="191"/>
      <x:c r="B61" s="191"/>
      <x:c r="C61" s="191"/>
      <x:c r="D61" s="191"/>
      <x:c r="E61" s="191"/>
      <x:c r="F61" s="191"/>
      <x:c r="G61" s="191"/>
      <x:c r="H61" s="191"/>
      <x:c r="I61" s="191"/>
      <x:c r="J61" s="191"/>
      <x:c r="K61" s="191"/>
      <x:c r="L61" s="191"/>
      <x:c r="M61" s="191"/>
      <x:c r="N61" s="191"/>
      <x:c r="O61" s="191"/>
      <x:c r="P61" s="191"/>
      <x:c r="Q61" s="191"/>
      <x:c r="R61" s="191"/>
      <x:c r="S61" s="191"/>
      <x:c r="T61" s="191"/>
      <x:c r="U61" s="191"/>
      <x:c r="V61" s="191"/>
      <x:c r="W61" s="191"/>
      <x:c r="X61" s="191"/>
      <x:c r="Y61" s="191"/>
      <x:c r="Z61" s="191"/>
      <x:c r="AA61" s="191"/>
      <x:c r="AB61" s="191"/>
      <x:c r="AC61" s="191"/>
      <x:c r="AD61" s="191"/>
      <x:c r="AE61" s="191"/>
      <x:c r="AF61" s="191"/>
      <x:c r="AG61" s="191"/>
      <x:c r="AH61" s="191"/>
      <x:c r="AI61" s="191"/>
      <x:c r="AJ61" s="191"/>
      <x:c r="AK61" s="191"/>
    </x:row>
    <x:row r="62">
      <x:c r="A62" s="191"/>
      <x:c r="B62" s="191"/>
      <x:c r="C62" s="191"/>
      <x:c r="D62" s="191"/>
      <x:c r="E62" s="191"/>
      <x:c r="F62" s="191"/>
      <x:c r="G62" s="191"/>
      <x:c r="H62" s="191"/>
      <x:c r="I62" s="191"/>
      <x:c r="J62" s="191"/>
      <x:c r="K62" s="191"/>
      <x:c r="L62" s="191"/>
      <x:c r="M62" s="191"/>
      <x:c r="N62" s="191"/>
      <x:c r="O62" s="191"/>
      <x:c r="P62" s="191"/>
      <x:c r="Q62" s="191"/>
      <x:c r="R62" s="191"/>
      <x:c r="S62" s="191"/>
      <x:c r="T62" s="191"/>
      <x:c r="U62" s="191"/>
      <x:c r="V62" s="191"/>
      <x:c r="W62" s="191"/>
      <x:c r="X62" s="191"/>
      <x:c r="Y62" s="191"/>
      <x:c r="Z62" s="191"/>
      <x:c r="AA62" s="191"/>
      <x:c r="AB62" s="191"/>
      <x:c r="AC62" s="191"/>
      <x:c r="AD62" s="191"/>
      <x:c r="AE62" s="191"/>
      <x:c r="AF62" s="191"/>
      <x:c r="AG62" s="191"/>
      <x:c r="AH62" s="191"/>
      <x:c r="AI62" s="191"/>
      <x:c r="AJ62" s="191"/>
      <x:c r="AK62" s="191"/>
    </x:row>
    <x:row r="63">
      <x:c r="A63" s="191"/>
      <x:c r="B63" s="191"/>
      <x:c r="C63" s="191"/>
      <x:c r="D63" s="191"/>
      <x:c r="E63" s="191"/>
      <x:c r="F63" s="191"/>
      <x:c r="G63" s="191"/>
      <x:c r="H63" s="191"/>
      <x:c r="I63" s="191"/>
      <x:c r="J63" s="191"/>
      <x:c r="K63" s="191"/>
      <x:c r="L63" s="191"/>
      <x:c r="M63" s="191"/>
      <x:c r="N63" s="191"/>
      <x:c r="O63" s="191"/>
      <x:c r="P63" s="191"/>
      <x:c r="Q63" s="191"/>
      <x:c r="R63" s="191"/>
      <x:c r="S63" s="191"/>
      <x:c r="T63" s="191"/>
      <x:c r="U63" s="191"/>
      <x:c r="V63" s="191"/>
      <x:c r="W63" s="191"/>
      <x:c r="X63" s="191"/>
      <x:c r="Y63" s="191"/>
      <x:c r="Z63" s="191"/>
      <x:c r="AA63" s="191"/>
      <x:c r="AB63" s="191"/>
      <x:c r="AC63" s="191"/>
      <x:c r="AD63" s="191"/>
      <x:c r="AE63" s="191"/>
      <x:c r="AF63" s="191"/>
      <x:c r="AG63" s="191"/>
      <x:c r="AH63" s="191"/>
      <x:c r="AI63" s="191"/>
      <x:c r="AJ63" s="191"/>
      <x:c r="AK63" s="191"/>
    </x:row>
    <x:row r="64">
      <x:c r="A64" s="191"/>
      <x:c r="B64" s="191"/>
      <x:c r="C64" s="191"/>
      <x:c r="D64" s="191"/>
      <x:c r="E64" s="191"/>
      <x:c r="F64" s="191"/>
      <x:c r="G64" s="191"/>
      <x:c r="H64" s="191"/>
      <x:c r="I64" s="191"/>
      <x:c r="J64" s="191"/>
      <x:c r="K64" s="191"/>
      <x:c r="L64" s="191"/>
      <x:c r="M64" s="191"/>
      <x:c r="N64" s="191"/>
      <x:c r="O64" s="191"/>
      <x:c r="P64" s="191"/>
      <x:c r="Q64" s="191"/>
      <x:c r="R64" s="191"/>
      <x:c r="S64" s="191"/>
      <x:c r="T64" s="191"/>
      <x:c r="U64" s="191"/>
      <x:c r="V64" s="191"/>
      <x:c r="W64" s="191"/>
      <x:c r="X64" s="191"/>
      <x:c r="Y64" s="191"/>
      <x:c r="Z64" s="191"/>
      <x:c r="AA64" s="191"/>
      <x:c r="AB64" s="191"/>
      <x:c r="AC64" s="191"/>
      <x:c r="AD64" s="191"/>
      <x:c r="AE64" s="191"/>
      <x:c r="AF64" s="191"/>
      <x:c r="AG64" s="191"/>
      <x:c r="AH64" s="191"/>
      <x:c r="AI64" s="191"/>
      <x:c r="AJ64" s="191"/>
      <x:c r="AK64" s="191"/>
    </x:row>
    <x:row r="65">
      <x:c r="A65" s="191"/>
      <x:c r="B65" s="191"/>
      <x:c r="C65" s="191"/>
      <x:c r="D65" s="191"/>
      <x:c r="E65" s="191"/>
      <x:c r="F65" s="191"/>
      <x:c r="G65" s="191"/>
      <x:c r="H65" s="191"/>
      <x:c r="I65" s="191"/>
      <x:c r="J65" s="191"/>
      <x:c r="K65" s="191"/>
      <x:c r="L65" s="191"/>
      <x:c r="M65" s="191"/>
      <x:c r="N65" s="191"/>
      <x:c r="O65" s="191"/>
      <x:c r="P65" s="191"/>
      <x:c r="Q65" s="191"/>
      <x:c r="R65" s="191"/>
      <x:c r="S65" s="191"/>
      <x:c r="T65" s="191"/>
      <x:c r="U65" s="191"/>
      <x:c r="V65" s="191"/>
      <x:c r="W65" s="191"/>
      <x:c r="X65" s="191"/>
      <x:c r="Y65" s="191"/>
      <x:c r="Z65" s="191"/>
      <x:c r="AA65" s="191"/>
      <x:c r="AB65" s="191"/>
      <x:c r="AC65" s="191"/>
      <x:c r="AD65" s="191"/>
      <x:c r="AE65" s="191"/>
      <x:c r="AF65" s="191"/>
      <x:c r="AG65" s="191"/>
      <x:c r="AH65" s="191"/>
      <x:c r="AI65" s="191"/>
      <x:c r="AJ65" s="191"/>
      <x:c r="AK65" s="191"/>
    </x:row>
    <x:row r="66">
      <x:c r="A66" s="191"/>
      <x:c r="B66" s="191"/>
      <x:c r="C66" s="191"/>
      <x:c r="D66" s="191"/>
      <x:c r="E66" s="191"/>
      <x:c r="F66" s="191"/>
      <x:c r="G66" s="191"/>
      <x:c r="H66" s="191"/>
      <x:c r="I66" s="191"/>
      <x:c r="J66" s="191"/>
      <x:c r="K66" s="191"/>
      <x:c r="L66" s="191"/>
      <x:c r="M66" s="191"/>
      <x:c r="N66" s="191"/>
      <x:c r="O66" s="191"/>
      <x:c r="P66" s="191"/>
      <x:c r="Q66" s="191"/>
      <x:c r="R66" s="191"/>
      <x:c r="S66" s="191"/>
      <x:c r="T66" s="191"/>
      <x:c r="U66" s="191"/>
      <x:c r="V66" s="191"/>
      <x:c r="W66" s="191"/>
      <x:c r="X66" s="191"/>
      <x:c r="Y66" s="191"/>
      <x:c r="Z66" s="191"/>
      <x:c r="AA66" s="191"/>
      <x:c r="AB66" s="191"/>
      <x:c r="AC66" s="191"/>
      <x:c r="AD66" s="191"/>
      <x:c r="AE66" s="191"/>
      <x:c r="AF66" s="191"/>
      <x:c r="AG66" s="191"/>
      <x:c r="AH66" s="191"/>
      <x:c r="AI66" s="191"/>
      <x:c r="AJ66" s="191"/>
      <x:c r="AK66" s="191"/>
    </x:row>
    <x:row r="67">
      <x:c r="A67" s="191"/>
      <x:c r="B67" s="191"/>
      <x:c r="C67" s="191"/>
      <x:c r="D67" s="191"/>
      <x:c r="E67" s="191"/>
      <x:c r="F67" s="191"/>
      <x:c r="G67" s="191"/>
      <x:c r="H67" s="191"/>
      <x:c r="I67" s="191"/>
      <x:c r="J67" s="191"/>
      <x:c r="K67" s="191"/>
      <x:c r="L67" s="191"/>
      <x:c r="M67" s="191"/>
      <x:c r="N67" s="191"/>
      <x:c r="O67" s="191"/>
      <x:c r="P67" s="191"/>
      <x:c r="Q67" s="191"/>
      <x:c r="R67" s="191"/>
      <x:c r="S67" s="191"/>
      <x:c r="T67" s="191"/>
      <x:c r="U67" s="191"/>
      <x:c r="V67" s="191"/>
      <x:c r="W67" s="191"/>
      <x:c r="X67" s="191"/>
      <x:c r="Y67" s="191"/>
      <x:c r="Z67" s="191"/>
      <x:c r="AA67" s="191"/>
      <x:c r="AB67" s="191"/>
      <x:c r="AC67" s="191"/>
      <x:c r="AD67" s="191"/>
      <x:c r="AE67" s="191"/>
      <x:c r="AF67" s="191"/>
      <x:c r="AG67" s="191"/>
      <x:c r="AH67" s="191"/>
      <x:c r="AI67" s="191"/>
      <x:c r="AJ67" s="191"/>
      <x:c r="AK67" s="191"/>
    </x:row>
    <x:row r="68">
      <x:c r="A68" s="191"/>
      <x:c r="B68" s="191"/>
      <x:c r="C68" s="191"/>
      <x:c r="D68" s="191"/>
      <x:c r="E68" s="191"/>
      <x:c r="F68" s="191"/>
      <x:c r="G68" s="191"/>
      <x:c r="H68" s="191"/>
      <x:c r="I68" s="191"/>
      <x:c r="J68" s="191"/>
      <x:c r="K68" s="191"/>
      <x:c r="L68" s="191"/>
      <x:c r="M68" s="191"/>
      <x:c r="N68" s="191"/>
      <x:c r="O68" s="191"/>
      <x:c r="P68" s="191"/>
      <x:c r="Q68" s="191"/>
      <x:c r="R68" s="191"/>
      <x:c r="S68" s="191"/>
      <x:c r="T68" s="191"/>
      <x:c r="U68" s="191"/>
      <x:c r="V68" s="191"/>
      <x:c r="W68" s="191"/>
      <x:c r="X68" s="191"/>
      <x:c r="Y68" s="191"/>
      <x:c r="Z68" s="191"/>
      <x:c r="AA68" s="191"/>
      <x:c r="AB68" s="191"/>
      <x:c r="AC68" s="191"/>
      <x:c r="AD68" s="191"/>
      <x:c r="AE68" s="191"/>
      <x:c r="AF68" s="191"/>
      <x:c r="AG68" s="191"/>
      <x:c r="AH68" s="191"/>
      <x:c r="AI68" s="191"/>
      <x:c r="AJ68" s="191"/>
      <x:c r="AK68" s="191"/>
    </x:row>
    <x:row r="69">
      <x:c r="A69" s="191"/>
      <x:c r="B69" s="191"/>
      <x:c r="C69" s="191"/>
      <x:c r="D69" s="191"/>
      <x:c r="E69" s="191"/>
      <x:c r="F69" s="191"/>
      <x:c r="G69" s="191"/>
      <x:c r="H69" s="191"/>
      <x:c r="I69" s="191"/>
      <x:c r="J69" s="191"/>
      <x:c r="K69" s="191"/>
      <x:c r="L69" s="191"/>
      <x:c r="M69" s="191"/>
      <x:c r="N69" s="191"/>
      <x:c r="O69" s="191"/>
      <x:c r="P69" s="191"/>
      <x:c r="Q69" s="191"/>
      <x:c r="R69" s="191"/>
      <x:c r="S69" s="191"/>
      <x:c r="T69" s="191"/>
      <x:c r="U69" s="191"/>
      <x:c r="V69" s="191"/>
      <x:c r="W69" s="191"/>
      <x:c r="X69" s="191"/>
      <x:c r="Y69" s="191"/>
      <x:c r="Z69" s="191"/>
      <x:c r="AA69" s="191"/>
      <x:c r="AB69" s="191"/>
      <x:c r="AC69" s="191"/>
      <x:c r="AD69" s="191"/>
      <x:c r="AE69" s="191"/>
      <x:c r="AF69" s="191"/>
      <x:c r="AG69" s="191"/>
      <x:c r="AH69" s="191"/>
      <x:c r="AI69" s="191"/>
      <x:c r="AJ69" s="191"/>
      <x:c r="AK69" s="191"/>
    </x:row>
    <x:row r="70">
      <x:c r="A70" s="191"/>
      <x:c r="B70" s="191"/>
      <x:c r="C70" s="191"/>
      <x:c r="D70" s="191"/>
      <x:c r="E70" s="191"/>
      <x:c r="F70" s="191"/>
      <x:c r="G70" s="191"/>
      <x:c r="H70" s="191"/>
      <x:c r="I70" s="191"/>
      <x:c r="J70" s="191"/>
      <x:c r="K70" s="191"/>
      <x:c r="L70" s="191"/>
      <x:c r="M70" s="191"/>
      <x:c r="N70" s="191"/>
      <x:c r="O70" s="191"/>
      <x:c r="P70" s="191"/>
      <x:c r="Q70" s="191"/>
      <x:c r="R70" s="191"/>
      <x:c r="S70" s="191"/>
      <x:c r="T70" s="191"/>
      <x:c r="U70" s="191"/>
      <x:c r="V70" s="191"/>
      <x:c r="W70" s="191"/>
      <x:c r="X70" s="191"/>
      <x:c r="Y70" s="191"/>
      <x:c r="Z70" s="191"/>
      <x:c r="AA70" s="191"/>
      <x:c r="AB70" s="191"/>
      <x:c r="AC70" s="191"/>
      <x:c r="AD70" s="191"/>
      <x:c r="AE70" s="191"/>
      <x:c r="AF70" s="191"/>
      <x:c r="AG70" s="191"/>
      <x:c r="AH70" s="191"/>
      <x:c r="AI70" s="191"/>
      <x:c r="AJ70" s="191"/>
      <x:c r="AK70" s="191"/>
    </x:row>
    <x:row r="71">
      <x:c r="A71" s="191"/>
      <x:c r="B71" s="191"/>
      <x:c r="C71" s="191"/>
      <x:c r="D71" s="191"/>
      <x:c r="E71" s="191"/>
      <x:c r="F71" s="191"/>
      <x:c r="G71" s="191"/>
      <x:c r="H71" s="191"/>
      <x:c r="I71" s="191"/>
      <x:c r="J71" s="191"/>
      <x:c r="K71" s="191"/>
      <x:c r="L71" s="191"/>
      <x:c r="M71" s="191"/>
      <x:c r="N71" s="191"/>
      <x:c r="O71" s="191"/>
      <x:c r="P71" s="191"/>
      <x:c r="Q71" s="191"/>
      <x:c r="R71" s="191"/>
      <x:c r="S71" s="191"/>
      <x:c r="T71" s="191"/>
      <x:c r="U71" s="191"/>
      <x:c r="V71" s="191"/>
      <x:c r="W71" s="191"/>
      <x:c r="X71" s="191"/>
      <x:c r="Y71" s="191"/>
      <x:c r="Z71" s="191"/>
      <x:c r="AA71" s="191"/>
      <x:c r="AB71" s="191"/>
      <x:c r="AC71" s="191"/>
      <x:c r="AD71" s="191"/>
      <x:c r="AE71" s="191"/>
      <x:c r="AF71" s="191"/>
      <x:c r="AG71" s="191"/>
      <x:c r="AH71" s="191"/>
      <x:c r="AI71" s="191"/>
      <x:c r="AJ71" s="191"/>
      <x:c r="AK71" s="191"/>
    </x:row>
    <x:row r="72">
      <x:c r="A72" s="191"/>
      <x:c r="B72" s="191"/>
      <x:c r="C72" s="191"/>
      <x:c r="D72" s="191"/>
      <x:c r="E72" s="191"/>
      <x:c r="F72" s="191"/>
      <x:c r="G72" s="191"/>
      <x:c r="H72" s="191"/>
      <x:c r="I72" s="191"/>
      <x:c r="J72" s="191"/>
      <x:c r="K72" s="191"/>
      <x:c r="L72" s="191"/>
      <x:c r="M72" s="191"/>
      <x:c r="N72" s="191"/>
      <x:c r="O72" s="191"/>
      <x:c r="P72" s="191"/>
      <x:c r="Q72" s="191"/>
      <x:c r="R72" s="191"/>
      <x:c r="S72" s="191"/>
      <x:c r="T72" s="191"/>
      <x:c r="U72" s="191"/>
      <x:c r="V72" s="191"/>
      <x:c r="W72" s="191"/>
      <x:c r="X72" s="191"/>
      <x:c r="Y72" s="191"/>
      <x:c r="Z72" s="191"/>
      <x:c r="AA72" s="191"/>
      <x:c r="AB72" s="191"/>
      <x:c r="AC72" s="191"/>
      <x:c r="AD72" s="191"/>
      <x:c r="AE72" s="191"/>
      <x:c r="AF72" s="191"/>
      <x:c r="AG72" s="191"/>
      <x:c r="AH72" s="191"/>
      <x:c r="AI72" s="191"/>
      <x:c r="AJ72" s="191"/>
      <x:c r="AK72" s="191"/>
    </x:row>
    <x:row r="73">
      <x:c r="A73" s="191"/>
      <x:c r="B73" s="191"/>
      <x:c r="C73" s="191"/>
      <x:c r="D73" s="191"/>
      <x:c r="E73" s="191"/>
      <x:c r="F73" s="191"/>
      <x:c r="G73" s="191"/>
      <x:c r="H73" s="191"/>
      <x:c r="I73" s="191"/>
      <x:c r="J73" s="191"/>
      <x:c r="K73" s="191"/>
      <x:c r="L73" s="191"/>
      <x:c r="M73" s="191"/>
      <x:c r="N73" s="191"/>
      <x:c r="O73" s="191"/>
      <x:c r="P73" s="191"/>
      <x:c r="Q73" s="191"/>
      <x:c r="R73" s="191"/>
      <x:c r="S73" s="191"/>
      <x:c r="T73" s="191"/>
      <x:c r="U73" s="191"/>
      <x:c r="V73" s="191"/>
      <x:c r="W73" s="191"/>
      <x:c r="X73" s="191"/>
      <x:c r="Y73" s="191"/>
      <x:c r="Z73" s="191"/>
      <x:c r="AA73" s="191"/>
      <x:c r="AB73" s="191"/>
      <x:c r="AC73" s="191"/>
      <x:c r="AD73" s="191"/>
      <x:c r="AE73" s="191"/>
      <x:c r="AF73" s="191"/>
      <x:c r="AG73" s="191"/>
      <x:c r="AH73" s="191"/>
      <x:c r="AI73" s="191"/>
      <x:c r="AJ73" s="191"/>
      <x:c r="AK73" s="191"/>
    </x:row>
    <x:row r="74">
      <x:c r="A74" s="191"/>
      <x:c r="B74" s="191"/>
      <x:c r="C74" s="191"/>
      <x:c r="D74" s="191"/>
      <x:c r="E74" s="191"/>
      <x:c r="F74" s="191"/>
      <x:c r="G74" s="191"/>
      <x:c r="H74" s="191"/>
      <x:c r="I74" s="191"/>
      <x:c r="J74" s="191"/>
      <x:c r="K74" s="191"/>
      <x:c r="L74" s="191"/>
      <x:c r="M74" s="191"/>
      <x:c r="N74" s="191"/>
      <x:c r="O74" s="191"/>
      <x:c r="P74" s="191"/>
      <x:c r="Q74" s="191"/>
      <x:c r="R74" s="191"/>
      <x:c r="S74" s="191"/>
      <x:c r="T74" s="191"/>
      <x:c r="U74" s="191"/>
      <x:c r="V74" s="191"/>
      <x:c r="W74" s="191"/>
      <x:c r="X74" s="191"/>
      <x:c r="Y74" s="191"/>
      <x:c r="Z74" s="191"/>
      <x:c r="AA74" s="191"/>
      <x:c r="AB74" s="191"/>
      <x:c r="AC74" s="191"/>
      <x:c r="AD74" s="191"/>
      <x:c r="AE74" s="191"/>
      <x:c r="AF74" s="191"/>
      <x:c r="AG74" s="191"/>
      <x:c r="AH74" s="191"/>
      <x:c r="AI74" s="191"/>
      <x:c r="AJ74" s="191"/>
      <x:c r="AK74" s="191"/>
    </x:row>
    <x:row r="75">
      <x:c r="A75" s="191"/>
      <x:c r="B75" s="191"/>
      <x:c r="C75" s="191"/>
      <x:c r="D75" s="191"/>
      <x:c r="E75" s="191"/>
      <x:c r="F75" s="191"/>
      <x:c r="G75" s="191"/>
      <x:c r="H75" s="191"/>
      <x:c r="I75" s="191"/>
      <x:c r="J75" s="191"/>
      <x:c r="K75" s="191"/>
      <x:c r="L75" s="191"/>
      <x:c r="M75" s="191"/>
      <x:c r="N75" s="191"/>
      <x:c r="O75" s="191"/>
      <x:c r="P75" s="191"/>
      <x:c r="Q75" s="191"/>
      <x:c r="R75" s="191"/>
      <x:c r="S75" s="191"/>
      <x:c r="T75" s="191"/>
      <x:c r="U75" s="191"/>
      <x:c r="V75" s="191"/>
      <x:c r="W75" s="191"/>
      <x:c r="X75" s="191"/>
      <x:c r="Y75" s="191"/>
      <x:c r="Z75" s="191"/>
      <x:c r="AA75" s="191"/>
      <x:c r="AB75" s="191"/>
      <x:c r="AC75" s="191"/>
      <x:c r="AD75" s="191"/>
      <x:c r="AE75" s="191"/>
      <x:c r="AF75" s="191"/>
      <x:c r="AG75" s="191"/>
      <x:c r="AH75" s="191"/>
      <x:c r="AI75" s="191"/>
      <x:c r="AJ75" s="191"/>
      <x:c r="AK75" s="191"/>
    </x:row>
    <x:row r="76">
      <x:c r="A76" s="191"/>
      <x:c r="B76" s="191"/>
      <x:c r="C76" s="191"/>
      <x:c r="D76" s="191"/>
      <x:c r="E76" s="191"/>
      <x:c r="F76" s="191"/>
      <x:c r="G76" s="191"/>
      <x:c r="H76" s="191"/>
      <x:c r="I76" s="191"/>
      <x:c r="J76" s="191"/>
      <x:c r="K76" s="191"/>
      <x:c r="L76" s="191"/>
      <x:c r="M76" s="191"/>
      <x:c r="N76" s="191"/>
      <x:c r="O76" s="191"/>
      <x:c r="P76" s="191"/>
      <x:c r="Q76" s="191"/>
      <x:c r="R76" s="191"/>
      <x:c r="S76" s="191"/>
      <x:c r="T76" s="191"/>
      <x:c r="U76" s="191"/>
      <x:c r="V76" s="191"/>
      <x:c r="W76" s="191"/>
      <x:c r="X76" s="191"/>
      <x:c r="Y76" s="191"/>
      <x:c r="Z76" s="191"/>
      <x:c r="AA76" s="191"/>
      <x:c r="AB76" s="191"/>
      <x:c r="AC76" s="191"/>
      <x:c r="AD76" s="191"/>
      <x:c r="AE76" s="191"/>
      <x:c r="AF76" s="191"/>
      <x:c r="AG76" s="191"/>
      <x:c r="AH76" s="191"/>
      <x:c r="AI76" s="191"/>
      <x:c r="AJ76" s="191"/>
      <x:c r="AK76" s="191"/>
    </x:row>
    <x:row r="77">
      <x:c r="A77" s="191"/>
      <x:c r="B77" s="191"/>
      <x:c r="C77" s="191"/>
      <x:c r="D77" s="191"/>
      <x:c r="E77" s="191"/>
      <x:c r="F77" s="191"/>
      <x:c r="G77" s="191"/>
      <x:c r="H77" s="191"/>
      <x:c r="I77" s="191"/>
      <x:c r="J77" s="191"/>
      <x:c r="K77" s="191"/>
      <x:c r="L77" s="191"/>
      <x:c r="M77" s="191"/>
      <x:c r="N77" s="191"/>
      <x:c r="O77" s="191"/>
      <x:c r="P77" s="191"/>
      <x:c r="Q77" s="191"/>
      <x:c r="R77" s="191"/>
      <x:c r="S77" s="191"/>
      <x:c r="T77" s="191"/>
      <x:c r="U77" s="191"/>
      <x:c r="V77" s="191"/>
      <x:c r="W77" s="191"/>
      <x:c r="X77" s="191"/>
      <x:c r="Y77" s="191"/>
      <x:c r="Z77" s="191"/>
      <x:c r="AA77" s="191"/>
      <x:c r="AB77" s="191"/>
      <x:c r="AC77" s="191"/>
      <x:c r="AD77" s="191"/>
      <x:c r="AE77" s="191"/>
      <x:c r="AF77" s="191"/>
      <x:c r="AG77" s="191"/>
      <x:c r="AH77" s="191"/>
      <x:c r="AI77" s="191"/>
      <x:c r="AJ77" s="191"/>
      <x:c r="AK77" s="191"/>
    </x:row>
    <x:row r="78">
      <x:c r="A78" s="191"/>
      <x:c r="B78" s="191"/>
      <x:c r="C78" s="191"/>
      <x:c r="D78" s="191"/>
      <x:c r="E78" s="191"/>
      <x:c r="F78" s="191"/>
      <x:c r="G78" s="191"/>
      <x:c r="H78" s="191"/>
      <x:c r="I78" s="191"/>
      <x:c r="J78" s="191"/>
      <x:c r="K78" s="191"/>
      <x:c r="L78" s="191"/>
      <x:c r="M78" s="191"/>
      <x:c r="N78" s="191"/>
      <x:c r="O78" s="191"/>
      <x:c r="P78" s="191"/>
      <x:c r="Q78" s="191"/>
      <x:c r="R78" s="191"/>
      <x:c r="S78" s="191"/>
      <x:c r="T78" s="191"/>
      <x:c r="U78" s="191"/>
      <x:c r="V78" s="191"/>
      <x:c r="W78" s="191"/>
      <x:c r="X78" s="191"/>
      <x:c r="Y78" s="191"/>
      <x:c r="Z78" s="191"/>
      <x:c r="AA78" s="191"/>
      <x:c r="AB78" s="191"/>
      <x:c r="AC78" s="191"/>
      <x:c r="AD78" s="191"/>
      <x:c r="AE78" s="191"/>
      <x:c r="AF78" s="191"/>
      <x:c r="AG78" s="191"/>
      <x:c r="AH78" s="191"/>
      <x:c r="AI78" s="191"/>
      <x:c r="AJ78" s="191"/>
      <x:c r="AK78" s="191"/>
    </x:row>
    <x:row r="79">
      <x:c r="A79" s="191"/>
      <x:c r="B79" s="191"/>
      <x:c r="C79" s="191"/>
      <x:c r="D79" s="191"/>
      <x:c r="E79" s="191"/>
      <x:c r="F79" s="191"/>
      <x:c r="G79" s="191"/>
      <x:c r="H79" s="191"/>
      <x:c r="I79" s="191"/>
      <x:c r="J79" s="191"/>
      <x:c r="K79" s="191"/>
      <x:c r="L79" s="191"/>
      <x:c r="M79" s="191"/>
      <x:c r="N79" s="191"/>
      <x:c r="O79" s="191"/>
      <x:c r="P79" s="191"/>
      <x:c r="Q79" s="191"/>
      <x:c r="R79" s="191"/>
      <x:c r="S79" s="191"/>
      <x:c r="T79" s="191"/>
      <x:c r="U79" s="191"/>
      <x:c r="V79" s="191"/>
      <x:c r="W79" s="191"/>
      <x:c r="X79" s="191"/>
      <x:c r="Y79" s="191"/>
      <x:c r="Z79" s="191"/>
      <x:c r="AA79" s="191"/>
      <x:c r="AB79" s="191"/>
      <x:c r="AC79" s="191"/>
      <x:c r="AD79" s="191"/>
      <x:c r="AE79" s="191"/>
      <x:c r="AF79" s="191"/>
      <x:c r="AG79" s="191"/>
      <x:c r="AH79" s="191"/>
      <x:c r="AI79" s="191"/>
      <x:c r="AJ79" s="191"/>
      <x:c r="AK79" s="191"/>
    </x:row>
    <x:row r="80">
      <x:c r="A80" s="191"/>
      <x:c r="B80" s="191"/>
      <x:c r="C80" s="191"/>
      <x:c r="D80" s="191"/>
      <x:c r="E80" s="191"/>
      <x:c r="F80" s="191"/>
      <x:c r="G80" s="191"/>
      <x:c r="H80" s="191"/>
      <x:c r="I80" s="191"/>
      <x:c r="J80" s="191"/>
      <x:c r="K80" s="191"/>
      <x:c r="L80" s="191"/>
      <x:c r="M80" s="191"/>
      <x:c r="N80" s="191"/>
      <x:c r="O80" s="191"/>
      <x:c r="P80" s="191"/>
      <x:c r="Q80" s="191"/>
      <x:c r="R80" s="191"/>
      <x:c r="S80" s="191"/>
      <x:c r="T80" s="191"/>
      <x:c r="U80" s="191"/>
      <x:c r="V80" s="191"/>
      <x:c r="W80" s="191"/>
      <x:c r="X80" s="191"/>
      <x:c r="Y80" s="191"/>
      <x:c r="Z80" s="191"/>
      <x:c r="AA80" s="191"/>
      <x:c r="AB80" s="191"/>
      <x:c r="AC80" s="191"/>
      <x:c r="AD80" s="191"/>
      <x:c r="AE80" s="191"/>
      <x:c r="AF80" s="191"/>
      <x:c r="AG80" s="191"/>
      <x:c r="AH80" s="191"/>
      <x:c r="AI80" s="191"/>
      <x:c r="AJ80" s="191"/>
      <x:c r="AK80" s="191"/>
    </x:row>
    <x:row r="81">
      <x:c r="A81" s="191"/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  <x:c r="S81" s="191"/>
      <x:c r="T81" s="191"/>
      <x:c r="U81" s="191"/>
      <x:c r="V81" s="191"/>
      <x:c r="W81" s="191"/>
      <x:c r="X81" s="191"/>
      <x:c r="Y81" s="191"/>
      <x:c r="Z81" s="191"/>
      <x:c r="AA81" s="191"/>
      <x:c r="AB81" s="191"/>
      <x:c r="AC81" s="191"/>
      <x:c r="AD81" s="191"/>
      <x:c r="AE81" s="191"/>
      <x:c r="AF81" s="191"/>
      <x:c r="AG81" s="191"/>
      <x:c r="AH81" s="191"/>
      <x:c r="AI81" s="191"/>
      <x:c r="AJ81" s="191"/>
      <x:c r="AK81" s="191"/>
    </x:row>
    <x:row r="82">
      <x:c r="A82" s="191"/>
      <x:c r="B82" s="191"/>
      <x:c r="C82" s="191"/>
      <x:c r="D82" s="191"/>
      <x:c r="E82" s="191"/>
      <x:c r="F82" s="191"/>
      <x:c r="G82" s="191"/>
      <x:c r="H82" s="191"/>
      <x:c r="I82" s="191"/>
      <x:c r="J82" s="191"/>
      <x:c r="K82" s="191"/>
      <x:c r="L82" s="191"/>
      <x:c r="M82" s="191"/>
      <x:c r="N82" s="191"/>
      <x:c r="O82" s="191"/>
      <x:c r="P82" s="191"/>
      <x:c r="Q82" s="191"/>
      <x:c r="R82" s="191"/>
      <x:c r="S82" s="191"/>
      <x:c r="T82" s="191"/>
      <x:c r="U82" s="191"/>
      <x:c r="V82" s="191"/>
      <x:c r="W82" s="191"/>
      <x:c r="X82" s="191"/>
      <x:c r="Y82" s="191"/>
      <x:c r="Z82" s="191"/>
      <x:c r="AA82" s="191"/>
      <x:c r="AB82" s="191"/>
      <x:c r="AC82" s="191"/>
      <x:c r="AD82" s="191"/>
      <x:c r="AE82" s="191"/>
      <x:c r="AF82" s="191"/>
      <x:c r="AG82" s="191"/>
      <x:c r="AH82" s="191"/>
      <x:c r="AI82" s="191"/>
      <x:c r="AJ82" s="191"/>
      <x:c r="AK82" s="191"/>
    </x:row>
    <x:row r="83">
      <x:c r="A83" s="191"/>
      <x:c r="B83" s="191"/>
      <x:c r="C83" s="191"/>
      <x:c r="D83" s="191"/>
      <x:c r="E83" s="191"/>
      <x:c r="F83" s="191"/>
      <x:c r="G83" s="191"/>
      <x:c r="H83" s="191"/>
      <x:c r="I83" s="191"/>
      <x:c r="J83" s="191"/>
      <x:c r="K83" s="191"/>
      <x:c r="L83" s="191"/>
      <x:c r="M83" s="191"/>
      <x:c r="N83" s="191"/>
      <x:c r="O83" s="191"/>
      <x:c r="P83" s="191"/>
      <x:c r="Q83" s="191"/>
      <x:c r="R83" s="191"/>
      <x:c r="S83" s="191"/>
      <x:c r="T83" s="191"/>
      <x:c r="U83" s="191"/>
      <x:c r="V83" s="191"/>
      <x:c r="W83" s="191"/>
      <x:c r="X83" s="191"/>
      <x:c r="Y83" s="191"/>
      <x:c r="Z83" s="191"/>
      <x:c r="AA83" s="191"/>
      <x:c r="AB83" s="191"/>
      <x:c r="AC83" s="191"/>
      <x:c r="AD83" s="191"/>
      <x:c r="AE83" s="191"/>
      <x:c r="AF83" s="191"/>
      <x:c r="AG83" s="191"/>
      <x:c r="AH83" s="191"/>
      <x:c r="AI83" s="191"/>
      <x:c r="AJ83" s="191"/>
      <x:c r="AK83" s="191"/>
    </x:row>
    <x:row r="84">
      <x:c r="A84" s="191"/>
      <x:c r="B84" s="191"/>
      <x:c r="C84" s="191"/>
      <x:c r="D84" s="191"/>
      <x:c r="E84" s="191"/>
      <x:c r="F84" s="191"/>
      <x:c r="G84" s="191"/>
      <x:c r="H84" s="191"/>
      <x:c r="I84" s="191"/>
      <x:c r="J84" s="191"/>
      <x:c r="K84" s="191"/>
      <x:c r="L84" s="191"/>
      <x:c r="M84" s="191"/>
      <x:c r="N84" s="191"/>
      <x:c r="O84" s="191"/>
      <x:c r="P84" s="191"/>
      <x:c r="Q84" s="191"/>
      <x:c r="R84" s="191"/>
      <x:c r="S84" s="191"/>
      <x:c r="T84" s="191"/>
      <x:c r="U84" s="191"/>
      <x:c r="V84" s="191"/>
      <x:c r="W84" s="191"/>
      <x:c r="X84" s="191"/>
      <x:c r="Y84" s="191"/>
      <x:c r="Z84" s="191"/>
      <x:c r="AA84" s="191"/>
      <x:c r="AB84" s="191"/>
      <x:c r="AC84" s="191"/>
      <x:c r="AD84" s="191"/>
      <x:c r="AE84" s="191"/>
      <x:c r="AF84" s="191"/>
      <x:c r="AG84" s="191"/>
      <x:c r="AH84" s="191"/>
      <x:c r="AI84" s="191"/>
      <x:c r="AJ84" s="191"/>
      <x:c r="AK84" s="191"/>
    </x:row>
    <x:row r="85">
      <x:c r="A85" s="191"/>
      <x:c r="B85" s="191"/>
      <x:c r="C85" s="191"/>
      <x:c r="D85" s="191"/>
      <x:c r="E85" s="191"/>
      <x:c r="F85" s="191"/>
      <x:c r="G85" s="191"/>
      <x:c r="H85" s="191"/>
      <x:c r="I85" s="191"/>
      <x:c r="J85" s="191"/>
      <x:c r="K85" s="191"/>
      <x:c r="L85" s="191"/>
      <x:c r="M85" s="191"/>
      <x:c r="N85" s="191"/>
      <x:c r="O85" s="191"/>
      <x:c r="P85" s="191"/>
      <x:c r="Q85" s="191"/>
      <x:c r="R85" s="191"/>
      <x:c r="S85" s="191"/>
      <x:c r="T85" s="191"/>
      <x:c r="U85" s="191"/>
      <x:c r="V85" s="191"/>
      <x:c r="W85" s="191"/>
      <x:c r="X85" s="191"/>
      <x:c r="Y85" s="191"/>
      <x:c r="Z85" s="191"/>
      <x:c r="AA85" s="191"/>
      <x:c r="AB85" s="191"/>
      <x:c r="AC85" s="191"/>
      <x:c r="AD85" s="191"/>
      <x:c r="AE85" s="191"/>
      <x:c r="AF85" s="191"/>
      <x:c r="AG85" s="191"/>
      <x:c r="AH85" s="191"/>
      <x:c r="AI85" s="191"/>
      <x:c r="AJ85" s="191"/>
      <x:c r="AK85" s="191"/>
    </x:row>
    <x:row r="86">
      <x:c r="A86" s="191"/>
      <x:c r="B86" s="191"/>
      <x:c r="C86" s="191"/>
      <x:c r="D86" s="191"/>
      <x:c r="E86" s="191"/>
      <x:c r="F86" s="191"/>
      <x:c r="G86" s="191"/>
      <x:c r="H86" s="191"/>
      <x:c r="I86" s="191"/>
      <x:c r="J86" s="191"/>
      <x:c r="K86" s="191"/>
      <x:c r="L86" s="191"/>
      <x:c r="M86" s="191"/>
      <x:c r="N86" s="191"/>
      <x:c r="O86" s="191"/>
      <x:c r="P86" s="191"/>
      <x:c r="Q86" s="191"/>
      <x:c r="R86" s="191"/>
      <x:c r="S86" s="191"/>
      <x:c r="T86" s="191"/>
      <x:c r="U86" s="191"/>
      <x:c r="V86" s="191"/>
      <x:c r="W86" s="191"/>
      <x:c r="X86" s="191"/>
      <x:c r="Y86" s="191"/>
      <x:c r="Z86" s="191"/>
      <x:c r="AA86" s="191"/>
      <x:c r="AB86" s="191"/>
      <x:c r="AC86" s="191"/>
      <x:c r="AD86" s="191"/>
      <x:c r="AE86" s="191"/>
      <x:c r="AF86" s="191"/>
      <x:c r="AG86" s="191"/>
      <x:c r="AH86" s="191"/>
      <x:c r="AI86" s="191"/>
      <x:c r="AJ86" s="191"/>
      <x:c r="AK86" s="191"/>
    </x:row>
    <x:row r="87">
      <x:c r="A87" s="191"/>
      <x:c r="B87" s="191"/>
      <x:c r="C87" s="191"/>
      <x:c r="D87" s="191"/>
      <x:c r="E87" s="191"/>
      <x:c r="F87" s="191"/>
      <x:c r="G87" s="191"/>
      <x:c r="H87" s="191"/>
      <x:c r="I87" s="191"/>
      <x:c r="J87" s="191"/>
      <x:c r="K87" s="191"/>
      <x:c r="L87" s="191"/>
      <x:c r="M87" s="191"/>
      <x:c r="N87" s="191"/>
      <x:c r="O87" s="191"/>
      <x:c r="P87" s="191"/>
      <x:c r="Q87" s="191"/>
      <x:c r="R87" s="191"/>
      <x:c r="S87" s="191"/>
      <x:c r="T87" s="191"/>
      <x:c r="U87" s="191"/>
      <x:c r="V87" s="191"/>
      <x:c r="W87" s="191"/>
      <x:c r="X87" s="191"/>
      <x:c r="Y87" s="191"/>
      <x:c r="Z87" s="191"/>
      <x:c r="AA87" s="191"/>
      <x:c r="AB87" s="191"/>
      <x:c r="AC87" s="191"/>
      <x:c r="AD87" s="191"/>
      <x:c r="AE87" s="191"/>
      <x:c r="AF87" s="191"/>
      <x:c r="AG87" s="191"/>
      <x:c r="AH87" s="191"/>
      <x:c r="AI87" s="191"/>
      <x:c r="AJ87" s="191"/>
      <x:c r="AK87" s="191"/>
    </x:row>
    <x:row r="88">
      <x:c r="A88" s="191"/>
      <x:c r="B88" s="191"/>
      <x:c r="C88" s="191"/>
      <x:c r="D88" s="191"/>
      <x:c r="E88" s="191"/>
      <x:c r="F88" s="191"/>
      <x:c r="G88" s="191"/>
      <x:c r="H88" s="191"/>
      <x:c r="I88" s="191"/>
      <x:c r="J88" s="191"/>
      <x:c r="K88" s="191"/>
      <x:c r="L88" s="191"/>
      <x:c r="M88" s="191"/>
      <x:c r="N88" s="191"/>
      <x:c r="O88" s="191"/>
      <x:c r="P88" s="191"/>
      <x:c r="Q88" s="191"/>
      <x:c r="R88" s="191"/>
      <x:c r="S88" s="191"/>
      <x:c r="T88" s="191"/>
      <x:c r="U88" s="191"/>
      <x:c r="V88" s="191"/>
      <x:c r="W88" s="191"/>
      <x:c r="X88" s="191"/>
      <x:c r="Y88" s="191"/>
      <x:c r="Z88" s="191"/>
      <x:c r="AA88" s="191"/>
      <x:c r="AB88" s="191"/>
      <x:c r="AC88" s="191"/>
      <x:c r="AD88" s="191"/>
      <x:c r="AE88" s="191"/>
      <x:c r="AF88" s="191"/>
      <x:c r="AG88" s="191"/>
      <x:c r="AH88" s="191"/>
      <x:c r="AI88" s="191"/>
      <x:c r="AJ88" s="191"/>
      <x:c r="AK88" s="191"/>
    </x:row>
    <x:row r="89">
      <x:c r="A89" s="191"/>
      <x:c r="B89" s="191"/>
      <x:c r="C89" s="191"/>
      <x:c r="D89" s="191"/>
      <x:c r="E89" s="191"/>
      <x:c r="F89" s="191"/>
      <x:c r="G89" s="191"/>
      <x:c r="H89" s="191"/>
      <x:c r="I89" s="191"/>
      <x:c r="J89" s="191"/>
      <x:c r="K89" s="191"/>
      <x:c r="L89" s="191"/>
      <x:c r="M89" s="191"/>
      <x:c r="N89" s="191"/>
      <x:c r="O89" s="191"/>
      <x:c r="P89" s="191"/>
      <x:c r="Q89" s="191"/>
      <x:c r="R89" s="191"/>
      <x:c r="S89" s="191"/>
      <x:c r="T89" s="191"/>
      <x:c r="U89" s="191"/>
      <x:c r="V89" s="191"/>
      <x:c r="W89" s="191"/>
      <x:c r="X89" s="191"/>
      <x:c r="Y89" s="191"/>
      <x:c r="Z89" s="191"/>
      <x:c r="AA89" s="191"/>
      <x:c r="AB89" s="191"/>
      <x:c r="AC89" s="191"/>
      <x:c r="AD89" s="191"/>
      <x:c r="AE89" s="191"/>
      <x:c r="AF89" s="191"/>
      <x:c r="AG89" s="191"/>
      <x:c r="AH89" s="191"/>
      <x:c r="AI89" s="191"/>
      <x:c r="AJ89" s="191"/>
      <x:c r="AK89" s="191"/>
    </x:row>
    <x:row r="90">
      <x:c r="A90" s="191"/>
      <x:c r="B90" s="191"/>
      <x:c r="C90" s="191"/>
      <x:c r="D90" s="191"/>
      <x:c r="E90" s="191"/>
      <x:c r="F90" s="191"/>
      <x:c r="G90" s="191"/>
      <x:c r="H90" s="191"/>
      <x:c r="I90" s="191"/>
      <x:c r="J90" s="191"/>
      <x:c r="K90" s="191"/>
      <x:c r="L90" s="191"/>
      <x:c r="M90" s="191"/>
      <x:c r="N90" s="191"/>
      <x:c r="O90" s="191"/>
      <x:c r="P90" s="191"/>
      <x:c r="Q90" s="191"/>
      <x:c r="R90" s="191"/>
      <x:c r="S90" s="191"/>
      <x:c r="T90" s="191"/>
      <x:c r="U90" s="191"/>
      <x:c r="V90" s="191"/>
      <x:c r="W90" s="191"/>
      <x:c r="X90" s="191"/>
      <x:c r="Y90" s="191"/>
      <x:c r="Z90" s="191"/>
      <x:c r="AA90" s="191"/>
      <x:c r="AB90" s="191"/>
      <x:c r="AC90" s="191"/>
      <x:c r="AD90" s="191"/>
      <x:c r="AE90" s="191"/>
      <x:c r="AF90" s="191"/>
      <x:c r="AG90" s="191"/>
      <x:c r="AH90" s="191"/>
      <x:c r="AI90" s="191"/>
      <x:c r="AJ90" s="191"/>
      <x:c r="AK90" s="191"/>
    </x:row>
    <x:row r="91">
      <x:c r="A91" s="191"/>
      <x:c r="B91" s="191"/>
      <x:c r="C91" s="191"/>
      <x:c r="D91" s="191"/>
      <x:c r="E91" s="191"/>
      <x:c r="F91" s="191"/>
      <x:c r="G91" s="191"/>
      <x:c r="H91" s="191"/>
      <x:c r="I91" s="191"/>
      <x:c r="J91" s="191"/>
      <x:c r="K91" s="191"/>
      <x:c r="L91" s="191"/>
      <x:c r="M91" s="191"/>
      <x:c r="N91" s="191"/>
      <x:c r="O91" s="191"/>
      <x:c r="P91" s="191"/>
      <x:c r="Q91" s="191"/>
      <x:c r="R91" s="191"/>
      <x:c r="S91" s="191"/>
      <x:c r="T91" s="191"/>
      <x:c r="U91" s="191"/>
      <x:c r="V91" s="191"/>
      <x:c r="W91" s="191"/>
      <x:c r="X91" s="191"/>
      <x:c r="Y91" s="191"/>
      <x:c r="Z91" s="191"/>
      <x:c r="AA91" s="191"/>
      <x:c r="AB91" s="191"/>
      <x:c r="AC91" s="191"/>
      <x:c r="AD91" s="191"/>
      <x:c r="AE91" s="191"/>
      <x:c r="AF91" s="191"/>
      <x:c r="AG91" s="191"/>
      <x:c r="AH91" s="191"/>
      <x:c r="AI91" s="191"/>
      <x:c r="AJ91" s="191"/>
      <x:c r="AK91" s="191"/>
    </x:row>
    <x:row r="92">
      <x:c r="A92" s="191"/>
      <x:c r="B92" s="191"/>
      <x:c r="C92" s="191"/>
      <x:c r="D92" s="191"/>
      <x:c r="E92" s="191"/>
      <x:c r="F92" s="191"/>
      <x:c r="G92" s="191"/>
      <x:c r="H92" s="191"/>
      <x:c r="I92" s="191"/>
      <x:c r="J92" s="191"/>
      <x:c r="K92" s="191"/>
      <x:c r="L92" s="191"/>
      <x:c r="M92" s="191"/>
      <x:c r="N92" s="191"/>
      <x:c r="O92" s="191"/>
      <x:c r="P92" s="191"/>
      <x:c r="Q92" s="191"/>
      <x:c r="R92" s="191"/>
      <x:c r="S92" s="191"/>
      <x:c r="T92" s="191"/>
      <x:c r="U92" s="191"/>
      <x:c r="V92" s="191"/>
      <x:c r="W92" s="191"/>
      <x:c r="X92" s="191"/>
      <x:c r="Y92" s="191"/>
      <x:c r="Z92" s="191"/>
      <x:c r="AA92" s="191"/>
      <x:c r="AB92" s="191"/>
      <x:c r="AC92" s="191"/>
      <x:c r="AD92" s="191"/>
      <x:c r="AE92" s="191"/>
      <x:c r="AF92" s="191"/>
      <x:c r="AG92" s="191"/>
      <x:c r="AH92" s="191"/>
      <x:c r="AI92" s="191"/>
      <x:c r="AJ92" s="191"/>
      <x:c r="AK92" s="191"/>
    </x:row>
    <x:row r="93">
      <x:c r="A93" s="191"/>
      <x:c r="B93" s="191"/>
      <x:c r="C93" s="191"/>
      <x:c r="D93" s="191"/>
      <x:c r="E93" s="191"/>
      <x:c r="F93" s="191"/>
      <x:c r="G93" s="191"/>
      <x:c r="H93" s="191"/>
      <x:c r="I93" s="191"/>
      <x:c r="J93" s="191"/>
      <x:c r="K93" s="191"/>
      <x:c r="L93" s="191"/>
      <x:c r="M93" s="191"/>
      <x:c r="N93" s="191"/>
      <x:c r="O93" s="191"/>
      <x:c r="P93" s="191"/>
      <x:c r="Q93" s="191"/>
      <x:c r="R93" s="191"/>
      <x:c r="S93" s="191"/>
      <x:c r="T93" s="191"/>
      <x:c r="U93" s="191"/>
      <x:c r="V93" s="191"/>
      <x:c r="W93" s="191"/>
      <x:c r="X93" s="191"/>
      <x:c r="Y93" s="191"/>
      <x:c r="Z93" s="191"/>
      <x:c r="AA93" s="191"/>
      <x:c r="AB93" s="191"/>
      <x:c r="AC93" s="191"/>
      <x:c r="AD93" s="191"/>
      <x:c r="AE93" s="191"/>
      <x:c r="AF93" s="191"/>
      <x:c r="AG93" s="191"/>
      <x:c r="AH93" s="191"/>
      <x:c r="AI93" s="191"/>
      <x:c r="AJ93" s="191"/>
      <x:c r="AK93" s="191"/>
    </x:row>
    <x:row r="94">
      <x:c r="A94" s="191"/>
      <x:c r="B94" s="191"/>
      <x:c r="C94" s="191"/>
      <x:c r="D94" s="191"/>
      <x:c r="E94" s="191"/>
      <x:c r="F94" s="191"/>
      <x:c r="G94" s="191"/>
      <x:c r="H94" s="191"/>
      <x:c r="I94" s="191"/>
      <x:c r="J94" s="191"/>
      <x:c r="K94" s="191"/>
      <x:c r="L94" s="191"/>
      <x:c r="M94" s="191"/>
      <x:c r="N94" s="191"/>
      <x:c r="O94" s="191"/>
      <x:c r="P94" s="191"/>
      <x:c r="Q94" s="191"/>
      <x:c r="R94" s="191"/>
      <x:c r="S94" s="191"/>
      <x:c r="T94" s="191"/>
      <x:c r="U94" s="191"/>
      <x:c r="V94" s="191"/>
      <x:c r="W94" s="191"/>
      <x:c r="X94" s="191"/>
      <x:c r="Y94" s="191"/>
      <x:c r="Z94" s="191"/>
      <x:c r="AA94" s="191"/>
      <x:c r="AB94" s="191"/>
      <x:c r="AC94" s="191"/>
      <x:c r="AD94" s="191"/>
      <x:c r="AE94" s="191"/>
      <x:c r="AF94" s="191"/>
      <x:c r="AG94" s="191"/>
      <x:c r="AH94" s="191"/>
      <x:c r="AI94" s="191"/>
      <x:c r="AJ94" s="191"/>
      <x:c r="AK94" s="191"/>
    </x:row>
    <x:row r="95">
      <x:c r="A95" s="191"/>
      <x:c r="B95" s="191"/>
      <x:c r="C95" s="191"/>
      <x:c r="D95" s="191"/>
      <x:c r="E95" s="191"/>
      <x:c r="F95" s="191"/>
      <x:c r="G95" s="191"/>
      <x:c r="H95" s="191"/>
      <x:c r="I95" s="191"/>
      <x:c r="J95" s="191"/>
      <x:c r="K95" s="191"/>
      <x:c r="L95" s="191"/>
      <x:c r="M95" s="191"/>
      <x:c r="N95" s="191"/>
      <x:c r="O95" s="191"/>
      <x:c r="P95" s="191"/>
      <x:c r="Q95" s="191"/>
      <x:c r="R95" s="191"/>
      <x:c r="S95" s="191"/>
      <x:c r="T95" s="191"/>
      <x:c r="U95" s="191"/>
      <x:c r="V95" s="191"/>
      <x:c r="W95" s="191"/>
      <x:c r="X95" s="191"/>
      <x:c r="Y95" s="191"/>
      <x:c r="Z95" s="191"/>
      <x:c r="AA95" s="191"/>
      <x:c r="AB95" s="191"/>
      <x:c r="AC95" s="191"/>
      <x:c r="AD95" s="191"/>
      <x:c r="AE95" s="191"/>
      <x:c r="AF95" s="191"/>
      <x:c r="AG95" s="191"/>
      <x:c r="AH95" s="191"/>
      <x:c r="AI95" s="191"/>
      <x:c r="AJ95" s="191"/>
      <x:c r="AK95" s="191"/>
    </x:row>
    <x:row r="96">
      <x:c r="A96" s="191"/>
      <x:c r="B96" s="191"/>
      <x:c r="C96" s="191"/>
      <x:c r="D96" s="191"/>
      <x:c r="E96" s="191"/>
      <x:c r="F96" s="191"/>
      <x:c r="G96" s="191"/>
      <x:c r="H96" s="191"/>
      <x:c r="I96" s="191"/>
      <x:c r="J96" s="191"/>
      <x:c r="K96" s="191"/>
      <x:c r="L96" s="191"/>
      <x:c r="M96" s="191"/>
      <x:c r="N96" s="191"/>
      <x:c r="O96" s="191"/>
      <x:c r="P96" s="191"/>
      <x:c r="Q96" s="191"/>
      <x:c r="R96" s="191"/>
      <x:c r="S96" s="191"/>
      <x:c r="T96" s="191"/>
      <x:c r="U96" s="191"/>
      <x:c r="V96" s="191"/>
      <x:c r="W96" s="191"/>
      <x:c r="X96" s="191"/>
      <x:c r="Y96" s="191"/>
      <x:c r="Z96" s="191"/>
      <x:c r="AA96" s="191"/>
      <x:c r="AB96" s="191"/>
      <x:c r="AC96" s="191"/>
      <x:c r="AD96" s="191"/>
      <x:c r="AE96" s="191"/>
      <x:c r="AF96" s="191"/>
      <x:c r="AG96" s="191"/>
      <x:c r="AH96" s="191"/>
      <x:c r="AI96" s="191"/>
      <x:c r="AJ96" s="191"/>
      <x:c r="AK96" s="191"/>
    </x:row>
    <x:row r="97">
      <x:c r="A97" s="191"/>
      <x:c r="B97" s="191"/>
      <x:c r="C97" s="191"/>
      <x:c r="D97" s="191"/>
      <x:c r="E97" s="191"/>
      <x:c r="F97" s="191"/>
      <x:c r="G97" s="191"/>
      <x:c r="H97" s="191"/>
      <x:c r="I97" s="191"/>
      <x:c r="J97" s="191"/>
      <x:c r="K97" s="191"/>
      <x:c r="L97" s="191"/>
      <x:c r="M97" s="191"/>
      <x:c r="N97" s="191"/>
      <x:c r="O97" s="191"/>
      <x:c r="P97" s="191"/>
      <x:c r="Q97" s="191"/>
      <x:c r="R97" s="191"/>
      <x:c r="S97" s="191"/>
      <x:c r="T97" s="191"/>
      <x:c r="U97" s="191"/>
      <x:c r="V97" s="191"/>
      <x:c r="W97" s="191"/>
      <x:c r="X97" s="191"/>
      <x:c r="Y97" s="191"/>
      <x:c r="Z97" s="191"/>
      <x:c r="AA97" s="191"/>
      <x:c r="AB97" s="191"/>
      <x:c r="AC97" s="191"/>
      <x:c r="AD97" s="191"/>
      <x:c r="AE97" s="191"/>
      <x:c r="AF97" s="191"/>
      <x:c r="AG97" s="191"/>
      <x:c r="AH97" s="191"/>
      <x:c r="AI97" s="191"/>
      <x:c r="AJ97" s="191"/>
      <x:c r="AK97" s="191"/>
    </x:row>
    <x:row r="98">
      <x:c r="A98" s="191"/>
      <x:c r="B98" s="191"/>
      <x:c r="C98" s="191"/>
      <x:c r="D98" s="191"/>
      <x:c r="E98" s="191"/>
      <x:c r="F98" s="191"/>
      <x:c r="G98" s="191"/>
      <x:c r="H98" s="191"/>
      <x:c r="I98" s="191"/>
      <x:c r="J98" s="191"/>
      <x:c r="K98" s="191"/>
      <x:c r="L98" s="191"/>
      <x:c r="M98" s="191"/>
      <x:c r="N98" s="191"/>
      <x:c r="O98" s="191"/>
      <x:c r="P98" s="191"/>
      <x:c r="Q98" s="191"/>
      <x:c r="R98" s="191"/>
      <x:c r="S98" s="191"/>
      <x:c r="T98" s="191"/>
      <x:c r="U98" s="191"/>
      <x:c r="V98" s="191"/>
      <x:c r="W98" s="191"/>
      <x:c r="X98" s="191"/>
      <x:c r="Y98" s="191"/>
      <x:c r="Z98" s="191"/>
      <x:c r="AA98" s="191"/>
      <x:c r="AB98" s="191"/>
      <x:c r="AC98" s="191"/>
      <x:c r="AD98" s="191"/>
      <x:c r="AE98" s="191"/>
      <x:c r="AF98" s="191"/>
      <x:c r="AG98" s="191"/>
      <x:c r="AH98" s="191"/>
      <x:c r="AI98" s="191"/>
      <x:c r="AJ98" s="191"/>
      <x:c r="AK98" s="191"/>
    </x:row>
    <x:row r="99">
      <x:c r="A99" s="191"/>
      <x:c r="B99" s="191"/>
      <x:c r="C99" s="191"/>
      <x:c r="D99" s="191"/>
      <x:c r="E99" s="191"/>
      <x:c r="F99" s="191"/>
      <x:c r="G99" s="191"/>
      <x:c r="H99" s="191"/>
      <x:c r="I99" s="191"/>
      <x:c r="J99" s="191"/>
      <x:c r="K99" s="191"/>
      <x:c r="L99" s="191"/>
      <x:c r="M99" s="191"/>
      <x:c r="N99" s="191"/>
      <x:c r="O99" s="191"/>
      <x:c r="P99" s="191"/>
      <x:c r="Q99" s="191"/>
      <x:c r="R99" s="191"/>
      <x:c r="S99" s="191"/>
      <x:c r="T99" s="191"/>
      <x:c r="U99" s="191"/>
      <x:c r="V99" s="191"/>
      <x:c r="W99" s="191"/>
      <x:c r="X99" s="191"/>
      <x:c r="Y99" s="191"/>
      <x:c r="Z99" s="191"/>
      <x:c r="AA99" s="191"/>
      <x:c r="AB99" s="191"/>
      <x:c r="AC99" s="191"/>
      <x:c r="AD99" s="191"/>
      <x:c r="AE99" s="191"/>
      <x:c r="AF99" s="191"/>
      <x:c r="AG99" s="191"/>
      <x:c r="AH99" s="191"/>
      <x:c r="AI99" s="191"/>
      <x:c r="AJ99" s="191"/>
      <x:c r="AK99" s="191"/>
    </x:row>
    <x:row r="100">
      <x:c r="A100" s="191"/>
      <x:c r="B100" s="191"/>
      <x:c r="C100" s="191"/>
      <x:c r="D100" s="191"/>
      <x:c r="E100" s="191"/>
      <x:c r="F100" s="191"/>
      <x:c r="G100" s="191"/>
      <x:c r="H100" s="191"/>
      <x:c r="I100" s="191"/>
      <x:c r="J100" s="191"/>
      <x:c r="K100" s="191"/>
      <x:c r="L100" s="191"/>
      <x:c r="M100" s="191"/>
      <x:c r="N100" s="191"/>
      <x:c r="O100" s="191"/>
      <x:c r="P100" s="191"/>
      <x:c r="Q100" s="191"/>
      <x:c r="R100" s="191"/>
      <x:c r="S100" s="191"/>
      <x:c r="T100" s="191"/>
      <x:c r="U100" s="191"/>
      <x:c r="V100" s="191"/>
      <x:c r="W100" s="191"/>
      <x:c r="X100" s="191"/>
      <x:c r="Y100" s="191"/>
      <x:c r="Z100" s="191"/>
      <x:c r="AA100" s="191"/>
      <x:c r="AB100" s="191"/>
      <x:c r="AC100" s="191"/>
      <x:c r="AD100" s="191"/>
      <x:c r="AE100" s="191"/>
      <x:c r="AF100" s="191"/>
      <x:c r="AG100" s="191"/>
      <x:c r="AH100" s="191"/>
      <x:c r="AI100" s="191"/>
      <x:c r="AJ100" s="191"/>
      <x:c r="AK100" s="191"/>
    </x:row>
    <x:row r="101">
      <x:c r="A101" s="191"/>
      <x:c r="B101" s="191"/>
      <x:c r="C101" s="191"/>
      <x:c r="D101" s="191"/>
      <x:c r="E101" s="191"/>
      <x:c r="F101" s="191"/>
      <x:c r="G101" s="191"/>
      <x:c r="H101" s="191"/>
      <x:c r="I101" s="191"/>
      <x:c r="J101" s="191"/>
      <x:c r="K101" s="191"/>
      <x:c r="L101" s="191"/>
      <x:c r="M101" s="191"/>
      <x:c r="N101" s="191"/>
      <x:c r="O101" s="191"/>
      <x:c r="P101" s="191"/>
      <x:c r="Q101" s="191"/>
      <x:c r="R101" s="191"/>
      <x:c r="S101" s="191"/>
      <x:c r="T101" s="191"/>
      <x:c r="U101" s="191"/>
      <x:c r="V101" s="191"/>
      <x:c r="W101" s="191"/>
      <x:c r="X101" s="191"/>
      <x:c r="Y101" s="191"/>
      <x:c r="Z101" s="191"/>
      <x:c r="AA101" s="191"/>
      <x:c r="AB101" s="191"/>
      <x:c r="AC101" s="191"/>
      <x:c r="AD101" s="191"/>
      <x:c r="AE101" s="191"/>
      <x:c r="AF101" s="191"/>
      <x:c r="AG101" s="191"/>
      <x:c r="AH101" s="191"/>
      <x:c r="AI101" s="191"/>
      <x:c r="AJ101" s="191"/>
      <x:c r="AK101" s="191"/>
    </x:row>
    <x:row r="102">
      <x:c r="A102" s="191"/>
      <x:c r="B102" s="191"/>
      <x:c r="C102" s="191"/>
      <x:c r="D102" s="191"/>
      <x:c r="E102" s="191"/>
      <x:c r="F102" s="191"/>
      <x:c r="G102" s="191"/>
      <x:c r="H102" s="191"/>
      <x:c r="I102" s="191"/>
      <x:c r="J102" s="191"/>
      <x:c r="K102" s="191"/>
      <x:c r="L102" s="191"/>
      <x:c r="M102" s="191"/>
      <x:c r="N102" s="191"/>
      <x:c r="O102" s="191"/>
      <x:c r="P102" s="191"/>
      <x:c r="Q102" s="191"/>
      <x:c r="R102" s="191"/>
      <x:c r="S102" s="191"/>
      <x:c r="T102" s="191"/>
      <x:c r="U102" s="191"/>
      <x:c r="V102" s="191"/>
      <x:c r="W102" s="191"/>
      <x:c r="X102" s="191"/>
      <x:c r="Y102" s="191"/>
      <x:c r="Z102" s="191"/>
      <x:c r="AA102" s="191"/>
      <x:c r="AB102" s="191"/>
      <x:c r="AC102" s="191"/>
      <x:c r="AD102" s="191"/>
      <x:c r="AE102" s="191"/>
      <x:c r="AF102" s="191"/>
      <x:c r="AG102" s="191"/>
      <x:c r="AH102" s="191"/>
      <x:c r="AI102" s="191"/>
      <x:c r="AJ102" s="191"/>
      <x:c r="AK102" s="191"/>
    </x:row>
    <x:row r="103">
      <x:c r="A103" s="191"/>
      <x:c r="B103" s="191"/>
      <x:c r="C103" s="191"/>
      <x:c r="D103" s="191"/>
      <x:c r="E103" s="191"/>
      <x:c r="F103" s="191"/>
      <x:c r="G103" s="191"/>
      <x:c r="H103" s="191"/>
      <x:c r="I103" s="191"/>
      <x:c r="J103" s="191"/>
      <x:c r="K103" s="191"/>
      <x:c r="L103" s="191"/>
      <x:c r="M103" s="191"/>
      <x:c r="N103" s="191"/>
      <x:c r="O103" s="191"/>
      <x:c r="P103" s="191"/>
      <x:c r="Q103" s="191"/>
      <x:c r="R103" s="191"/>
      <x:c r="S103" s="191"/>
      <x:c r="T103" s="191"/>
      <x:c r="U103" s="191"/>
      <x:c r="V103" s="191"/>
      <x:c r="W103" s="191"/>
      <x:c r="X103" s="191"/>
      <x:c r="Y103" s="191"/>
      <x:c r="Z103" s="191"/>
      <x:c r="AA103" s="191"/>
      <x:c r="AB103" s="191"/>
      <x:c r="AC103" s="191"/>
      <x:c r="AD103" s="191"/>
      <x:c r="AE103" s="191"/>
      <x:c r="AF103" s="191"/>
      <x:c r="AG103" s="191"/>
      <x:c r="AH103" s="191"/>
      <x:c r="AI103" s="191"/>
      <x:c r="AJ103" s="191"/>
      <x:c r="AK103" s="191"/>
    </x:row>
    <x:row r="104">
      <x:c r="A104" s="191"/>
      <x:c r="B104" s="191"/>
      <x:c r="C104" s="191"/>
      <x:c r="D104" s="191"/>
      <x:c r="E104" s="191"/>
      <x:c r="F104" s="191"/>
      <x:c r="G104" s="191"/>
      <x:c r="H104" s="191"/>
      <x:c r="I104" s="191"/>
      <x:c r="J104" s="191"/>
      <x:c r="K104" s="191"/>
      <x:c r="L104" s="191"/>
      <x:c r="M104" s="191"/>
      <x:c r="N104" s="191"/>
      <x:c r="O104" s="191"/>
      <x:c r="P104" s="191"/>
      <x:c r="Q104" s="191"/>
      <x:c r="R104" s="191"/>
      <x:c r="S104" s="191"/>
      <x:c r="T104" s="191"/>
      <x:c r="U104" s="191"/>
      <x:c r="V104" s="191"/>
      <x:c r="W104" s="191"/>
      <x:c r="X104" s="191"/>
      <x:c r="Y104" s="191"/>
      <x:c r="Z104" s="191"/>
      <x:c r="AA104" s="191"/>
      <x:c r="AB104" s="191"/>
      <x:c r="AC104" s="191"/>
      <x:c r="AD104" s="191"/>
      <x:c r="AE104" s="191"/>
      <x:c r="AF104" s="191"/>
      <x:c r="AG104" s="191"/>
      <x:c r="AH104" s="191"/>
      <x:c r="AI104" s="191"/>
      <x:c r="AJ104" s="191"/>
      <x:c r="AK104" s="191"/>
    </x:row>
    <x:row r="105">
      <x:c r="A105" s="191"/>
      <x:c r="B105" s="191"/>
      <x:c r="C105" s="191"/>
      <x:c r="D105" s="191"/>
      <x:c r="E105" s="191"/>
      <x:c r="F105" s="191"/>
      <x:c r="G105" s="191"/>
      <x:c r="H105" s="191"/>
      <x:c r="I105" s="191"/>
      <x:c r="J105" s="191"/>
      <x:c r="K105" s="191"/>
      <x:c r="L105" s="191"/>
      <x:c r="M105" s="191"/>
      <x:c r="N105" s="191"/>
      <x:c r="O105" s="191"/>
      <x:c r="P105" s="191"/>
      <x:c r="Q105" s="191"/>
      <x:c r="R105" s="191"/>
      <x:c r="S105" s="191"/>
      <x:c r="T105" s="191"/>
      <x:c r="U105" s="191"/>
      <x:c r="V105" s="191"/>
      <x:c r="W105" s="191"/>
      <x:c r="X105" s="191"/>
      <x:c r="Y105" s="191"/>
      <x:c r="Z105" s="191"/>
      <x:c r="AA105" s="191"/>
      <x:c r="AB105" s="191"/>
      <x:c r="AC105" s="191"/>
      <x:c r="AD105" s="191"/>
      <x:c r="AE105" s="191"/>
      <x:c r="AF105" s="191"/>
      <x:c r="AG105" s="191"/>
      <x:c r="AH105" s="191"/>
      <x:c r="AI105" s="191"/>
      <x:c r="AJ105" s="191"/>
      <x:c r="AK105" s="191"/>
    </x:row>
    <x:row r="106">
      <x:c r="A106" s="191"/>
      <x:c r="B106" s="191"/>
      <x:c r="C106" s="191"/>
      <x:c r="D106" s="191"/>
      <x:c r="E106" s="191"/>
      <x:c r="F106" s="191"/>
      <x:c r="G106" s="191"/>
      <x:c r="H106" s="191"/>
      <x:c r="I106" s="191"/>
      <x:c r="J106" s="191"/>
      <x:c r="K106" s="191"/>
      <x:c r="L106" s="191"/>
      <x:c r="M106" s="191"/>
      <x:c r="N106" s="191"/>
      <x:c r="O106" s="191"/>
      <x:c r="P106" s="191"/>
      <x:c r="Q106" s="191"/>
      <x:c r="R106" s="191"/>
      <x:c r="S106" s="191"/>
      <x:c r="T106" s="191"/>
      <x:c r="U106" s="191"/>
      <x:c r="V106" s="191"/>
      <x:c r="W106" s="191"/>
      <x:c r="X106" s="191"/>
      <x:c r="Y106" s="191"/>
      <x:c r="Z106" s="191"/>
      <x:c r="AA106" s="191"/>
      <x:c r="AB106" s="191"/>
      <x:c r="AC106" s="191"/>
      <x:c r="AD106" s="191"/>
      <x:c r="AE106" s="191"/>
      <x:c r="AF106" s="191"/>
      <x:c r="AG106" s="191"/>
      <x:c r="AH106" s="191"/>
      <x:c r="AI106" s="191"/>
      <x:c r="AJ106" s="191"/>
      <x:c r="AK106" s="191"/>
    </x:row>
    <x:row r="107">
      <x:c r="A107" s="191"/>
      <x:c r="B107" s="191"/>
      <x:c r="C107" s="191"/>
      <x:c r="D107" s="191"/>
      <x:c r="E107" s="191"/>
      <x:c r="F107" s="191"/>
      <x:c r="G107" s="191"/>
      <x:c r="H107" s="191"/>
      <x:c r="I107" s="191"/>
      <x:c r="J107" s="191"/>
      <x:c r="K107" s="191"/>
      <x:c r="L107" s="191"/>
      <x:c r="M107" s="191"/>
      <x:c r="N107" s="191"/>
      <x:c r="O107" s="191"/>
      <x:c r="P107" s="191"/>
      <x:c r="Q107" s="191"/>
      <x:c r="R107" s="191"/>
      <x:c r="S107" s="191"/>
      <x:c r="T107" s="191"/>
      <x:c r="U107" s="191"/>
      <x:c r="V107" s="191"/>
      <x:c r="W107" s="191"/>
      <x:c r="X107" s="191"/>
      <x:c r="Y107" s="191"/>
      <x:c r="Z107" s="191"/>
      <x:c r="AA107" s="191"/>
      <x:c r="AB107" s="191"/>
      <x:c r="AC107" s="191"/>
      <x:c r="AD107" s="191"/>
      <x:c r="AE107" s="191"/>
      <x:c r="AF107" s="191"/>
      <x:c r="AG107" s="191"/>
      <x:c r="AH107" s="191"/>
      <x:c r="AI107" s="191"/>
      <x:c r="AJ107" s="191"/>
      <x:c r="AK107" s="191"/>
    </x:row>
    <x:row r="108">
      <x:c r="A108" s="191"/>
      <x:c r="B108" s="191"/>
      <x:c r="C108" s="191"/>
      <x:c r="D108" s="191"/>
      <x:c r="E108" s="191"/>
      <x:c r="F108" s="191"/>
      <x:c r="G108" s="191"/>
      <x:c r="H108" s="191"/>
      <x:c r="I108" s="191"/>
      <x:c r="J108" s="191"/>
      <x:c r="K108" s="191"/>
      <x:c r="L108" s="191"/>
      <x:c r="M108" s="191"/>
      <x:c r="N108" s="191"/>
      <x:c r="O108" s="191"/>
      <x:c r="P108" s="191"/>
      <x:c r="Q108" s="191"/>
      <x:c r="R108" s="191"/>
      <x:c r="S108" s="191"/>
      <x:c r="T108" s="191"/>
      <x:c r="U108" s="191"/>
      <x:c r="V108" s="191"/>
      <x:c r="W108" s="191"/>
      <x:c r="X108" s="191"/>
      <x:c r="Y108" s="191"/>
      <x:c r="Z108" s="191"/>
      <x:c r="AA108" s="191"/>
      <x:c r="AB108" s="191"/>
      <x:c r="AC108" s="191"/>
      <x:c r="AD108" s="191"/>
      <x:c r="AE108" s="191"/>
      <x:c r="AF108" s="191"/>
      <x:c r="AG108" s="191"/>
      <x:c r="AH108" s="191"/>
      <x:c r="AI108" s="191"/>
      <x:c r="AJ108" s="191"/>
      <x:c r="AK108" s="191"/>
    </x:row>
    <x:row r="109">
      <x:c r="A109" s="191"/>
      <x:c r="B109" s="191"/>
      <x:c r="C109" s="191"/>
      <x:c r="D109" s="191"/>
      <x:c r="E109" s="191"/>
      <x:c r="F109" s="191"/>
      <x:c r="G109" s="191"/>
      <x:c r="H109" s="191"/>
      <x:c r="I109" s="191"/>
      <x:c r="J109" s="191"/>
      <x:c r="K109" s="191"/>
      <x:c r="L109" s="191"/>
      <x:c r="M109" s="191"/>
      <x:c r="N109" s="191"/>
      <x:c r="O109" s="191"/>
      <x:c r="P109" s="191"/>
      <x:c r="Q109" s="191"/>
      <x:c r="R109" s="191"/>
      <x:c r="S109" s="191"/>
      <x:c r="T109" s="191"/>
      <x:c r="U109" s="191"/>
      <x:c r="V109" s="191"/>
      <x:c r="W109" s="191"/>
      <x:c r="X109" s="191"/>
      <x:c r="Y109" s="191"/>
      <x:c r="Z109" s="191"/>
      <x:c r="AA109" s="191"/>
      <x:c r="AB109" s="191"/>
      <x:c r="AC109" s="191"/>
      <x:c r="AD109" s="191"/>
      <x:c r="AE109" s="191"/>
      <x:c r="AF109" s="191"/>
      <x:c r="AG109" s="191"/>
      <x:c r="AH109" s="191"/>
      <x:c r="AI109" s="191"/>
      <x:c r="AJ109" s="191"/>
      <x:c r="AK109" s="191"/>
    </x:row>
    <x:row r="110">
      <x:c r="A110" s="191"/>
      <x:c r="B110" s="191"/>
      <x:c r="C110" s="191"/>
      <x:c r="D110" s="191"/>
      <x:c r="E110" s="191"/>
      <x:c r="F110" s="191"/>
      <x:c r="G110" s="191"/>
      <x:c r="H110" s="191"/>
      <x:c r="I110" s="191"/>
      <x:c r="J110" s="191"/>
      <x:c r="K110" s="191"/>
      <x:c r="L110" s="191"/>
      <x:c r="M110" s="191"/>
      <x:c r="N110" s="191"/>
      <x:c r="O110" s="191"/>
      <x:c r="P110" s="191"/>
      <x:c r="Q110" s="191"/>
      <x:c r="R110" s="191"/>
      <x:c r="S110" s="191"/>
      <x:c r="T110" s="191"/>
      <x:c r="U110" s="191"/>
      <x:c r="V110" s="191"/>
      <x:c r="W110" s="191"/>
      <x:c r="X110" s="191"/>
      <x:c r="Y110" s="191"/>
      <x:c r="Z110" s="191"/>
      <x:c r="AA110" s="191"/>
      <x:c r="AB110" s="191"/>
      <x:c r="AC110" s="191"/>
      <x:c r="AD110" s="191"/>
      <x:c r="AE110" s="191"/>
      <x:c r="AF110" s="191"/>
      <x:c r="AG110" s="191"/>
      <x:c r="AH110" s="191"/>
      <x:c r="AI110" s="191"/>
      <x:c r="AJ110" s="191"/>
      <x:c r="AK110" s="191"/>
    </x:row>
    <x:row r="111">
      <x:c r="A111" s="191"/>
      <x:c r="B111" s="191"/>
      <x:c r="C111" s="191"/>
      <x:c r="D111" s="191"/>
      <x:c r="E111" s="191"/>
      <x:c r="F111" s="191"/>
      <x:c r="G111" s="191"/>
      <x:c r="H111" s="191"/>
      <x:c r="I111" s="191"/>
      <x:c r="J111" s="191"/>
      <x:c r="K111" s="191"/>
      <x:c r="L111" s="191"/>
      <x:c r="M111" s="191"/>
      <x:c r="N111" s="191"/>
      <x:c r="O111" s="191"/>
      <x:c r="P111" s="191"/>
      <x:c r="Q111" s="191"/>
      <x:c r="R111" s="191"/>
      <x:c r="S111" s="191"/>
      <x:c r="T111" s="191"/>
      <x:c r="U111" s="191"/>
      <x:c r="V111" s="191"/>
      <x:c r="W111" s="191"/>
      <x:c r="X111" s="191"/>
      <x:c r="Y111" s="191"/>
      <x:c r="Z111" s="191"/>
      <x:c r="AA111" s="191"/>
      <x:c r="AB111" s="191"/>
      <x:c r="AC111" s="191"/>
      <x:c r="AD111" s="191"/>
      <x:c r="AE111" s="191"/>
      <x:c r="AF111" s="191"/>
      <x:c r="AG111" s="191"/>
      <x:c r="AH111" s="191"/>
      <x:c r="AI111" s="191"/>
      <x:c r="AJ111" s="191"/>
      <x:c r="AK111" s="191"/>
    </x:row>
    <x:row r="112">
      <x:c r="A112" s="191"/>
      <x:c r="B112" s="191"/>
      <x:c r="C112" s="191"/>
      <x:c r="D112" s="191"/>
      <x:c r="E112" s="191"/>
      <x:c r="F112" s="191"/>
      <x:c r="G112" s="191"/>
      <x:c r="H112" s="191"/>
      <x:c r="I112" s="191"/>
      <x:c r="J112" s="191"/>
      <x:c r="K112" s="191"/>
      <x:c r="L112" s="191"/>
      <x:c r="M112" s="191"/>
      <x:c r="N112" s="191"/>
      <x:c r="O112" s="191"/>
      <x:c r="P112" s="191"/>
      <x:c r="Q112" s="191"/>
      <x:c r="R112" s="191"/>
      <x:c r="S112" s="191"/>
      <x:c r="T112" s="191"/>
      <x:c r="U112" s="191"/>
      <x:c r="V112" s="191"/>
      <x:c r="W112" s="191"/>
      <x:c r="X112" s="191"/>
      <x:c r="Y112" s="191"/>
      <x:c r="Z112" s="191"/>
      <x:c r="AA112" s="191"/>
      <x:c r="AB112" s="191"/>
      <x:c r="AC112" s="191"/>
      <x:c r="AD112" s="191"/>
      <x:c r="AE112" s="191"/>
      <x:c r="AF112" s="191"/>
      <x:c r="AG112" s="191"/>
      <x:c r="AH112" s="191"/>
      <x:c r="AI112" s="191"/>
      <x:c r="AJ112" s="191"/>
      <x:c r="AK112" s="191"/>
    </x:row>
    <x:row r="113">
      <x:c r="A113" s="191"/>
      <x:c r="B113" s="191"/>
      <x:c r="C113" s="191"/>
      <x:c r="D113" s="191"/>
      <x:c r="E113" s="191"/>
      <x:c r="F113" s="191"/>
      <x:c r="G113" s="191"/>
      <x:c r="H113" s="191"/>
      <x:c r="I113" s="191"/>
      <x:c r="J113" s="191"/>
      <x:c r="K113" s="191"/>
      <x:c r="L113" s="191"/>
      <x:c r="M113" s="191"/>
      <x:c r="N113" s="191"/>
      <x:c r="O113" s="191"/>
      <x:c r="P113" s="191"/>
      <x:c r="Q113" s="191"/>
      <x:c r="R113" s="191"/>
      <x:c r="S113" s="191"/>
      <x:c r="T113" s="191"/>
      <x:c r="U113" s="191"/>
      <x:c r="V113" s="191"/>
      <x:c r="W113" s="191"/>
      <x:c r="X113" s="191"/>
      <x:c r="Y113" s="191"/>
      <x:c r="Z113" s="191"/>
      <x:c r="AA113" s="191"/>
      <x:c r="AB113" s="191"/>
      <x:c r="AC113" s="191"/>
      <x:c r="AD113" s="191"/>
      <x:c r="AE113" s="191"/>
      <x:c r="AF113" s="191"/>
      <x:c r="AG113" s="191"/>
      <x:c r="AH113" s="191"/>
      <x:c r="AI113" s="191"/>
      <x:c r="AJ113" s="191"/>
      <x:c r="AK113" s="191"/>
    </x:row>
    <x:row r="114">
      <x:c r="A114" s="191"/>
      <x:c r="B114" s="191"/>
      <x:c r="C114" s="191"/>
      <x:c r="D114" s="191"/>
      <x:c r="E114" s="191"/>
      <x:c r="F114" s="191"/>
      <x:c r="G114" s="191"/>
      <x:c r="H114" s="191"/>
      <x:c r="I114" s="191"/>
      <x:c r="J114" s="191"/>
      <x:c r="K114" s="191"/>
      <x:c r="L114" s="191"/>
      <x:c r="M114" s="191"/>
      <x:c r="N114" s="191"/>
      <x:c r="O114" s="191"/>
      <x:c r="P114" s="191"/>
      <x:c r="Q114" s="191"/>
      <x:c r="R114" s="191"/>
      <x:c r="S114" s="191"/>
      <x:c r="T114" s="191"/>
      <x:c r="U114" s="191"/>
      <x:c r="V114" s="191"/>
      <x:c r="W114" s="191"/>
      <x:c r="X114" s="191"/>
      <x:c r="Y114" s="191"/>
      <x:c r="Z114" s="191"/>
      <x:c r="AA114" s="191"/>
      <x:c r="AB114" s="191"/>
      <x:c r="AC114" s="191"/>
      <x:c r="AD114" s="191"/>
      <x:c r="AE114" s="191"/>
      <x:c r="AF114" s="191"/>
      <x:c r="AG114" s="191"/>
      <x:c r="AH114" s="191"/>
      <x:c r="AI114" s="191"/>
      <x:c r="AJ114" s="191"/>
      <x:c r="AK114" s="191"/>
    </x:row>
    <x:row r="115">
      <x:c r="A115" s="191"/>
      <x:c r="B115" s="191"/>
      <x:c r="C115" s="191"/>
      <x:c r="D115" s="191"/>
      <x:c r="E115" s="191"/>
      <x:c r="F115" s="191"/>
      <x:c r="G115" s="191"/>
      <x:c r="H115" s="191"/>
      <x:c r="I115" s="191"/>
      <x:c r="J115" s="191"/>
      <x:c r="K115" s="191"/>
      <x:c r="L115" s="191"/>
      <x:c r="M115" s="191"/>
      <x:c r="N115" s="191"/>
      <x:c r="O115" s="191"/>
      <x:c r="P115" s="191"/>
      <x:c r="Q115" s="191"/>
      <x:c r="R115" s="191"/>
      <x:c r="S115" s="191"/>
      <x:c r="T115" s="191"/>
      <x:c r="U115" s="191"/>
      <x:c r="V115" s="191"/>
      <x:c r="W115" s="191"/>
      <x:c r="X115" s="191"/>
      <x:c r="Y115" s="191"/>
      <x:c r="Z115" s="191"/>
      <x:c r="AA115" s="191"/>
      <x:c r="AB115" s="191"/>
      <x:c r="AC115" s="191"/>
      <x:c r="AD115" s="191"/>
      <x:c r="AE115" s="191"/>
      <x:c r="AF115" s="191"/>
      <x:c r="AG115" s="191"/>
      <x:c r="AH115" s="191"/>
      <x:c r="AI115" s="191"/>
      <x:c r="AJ115" s="191"/>
      <x:c r="AK115" s="191"/>
    </x:row>
    <x:row r="116">
      <x:c r="A116" s="191"/>
      <x:c r="B116" s="191"/>
      <x:c r="C116" s="191"/>
      <x:c r="D116" s="191"/>
      <x:c r="E116" s="191"/>
      <x:c r="F116" s="191"/>
      <x:c r="G116" s="191"/>
      <x:c r="H116" s="191"/>
      <x:c r="I116" s="191"/>
      <x:c r="J116" s="191"/>
      <x:c r="K116" s="191"/>
      <x:c r="L116" s="191"/>
      <x:c r="M116" s="191"/>
      <x:c r="N116" s="191"/>
      <x:c r="O116" s="191"/>
      <x:c r="P116" s="191"/>
      <x:c r="Q116" s="191"/>
      <x:c r="R116" s="191"/>
      <x:c r="S116" s="191"/>
      <x:c r="T116" s="191"/>
      <x:c r="U116" s="191"/>
      <x:c r="V116" s="191"/>
      <x:c r="W116" s="191"/>
      <x:c r="X116" s="191"/>
      <x:c r="Y116" s="191"/>
      <x:c r="Z116" s="191"/>
      <x:c r="AA116" s="191"/>
      <x:c r="AB116" s="191"/>
      <x:c r="AC116" s="191"/>
      <x:c r="AD116" s="191"/>
      <x:c r="AE116" s="191"/>
      <x:c r="AF116" s="191"/>
      <x:c r="AG116" s="191"/>
      <x:c r="AH116" s="191"/>
      <x:c r="AI116" s="191"/>
      <x:c r="AJ116" s="191"/>
      <x:c r="AK116" s="191"/>
    </x:row>
    <x:row r="117">
      <x:c r="A117" s="191"/>
      <x:c r="B117" s="191"/>
      <x:c r="C117" s="191"/>
      <x:c r="D117" s="191"/>
      <x:c r="E117" s="191"/>
      <x:c r="F117" s="191"/>
      <x:c r="G117" s="191"/>
      <x:c r="H117" s="191"/>
      <x:c r="I117" s="191"/>
      <x:c r="J117" s="191"/>
      <x:c r="K117" s="191"/>
      <x:c r="L117" s="191"/>
      <x:c r="M117" s="191"/>
      <x:c r="N117" s="191"/>
      <x:c r="O117" s="191"/>
      <x:c r="P117" s="191"/>
      <x:c r="Q117" s="191"/>
      <x:c r="R117" s="191"/>
      <x:c r="S117" s="191"/>
      <x:c r="T117" s="191"/>
      <x:c r="U117" s="191"/>
      <x:c r="V117" s="191"/>
      <x:c r="W117" s="191"/>
      <x:c r="X117" s="191"/>
      <x:c r="Y117" s="191"/>
      <x:c r="Z117" s="191"/>
      <x:c r="AA117" s="191"/>
      <x:c r="AB117" s="191"/>
      <x:c r="AC117" s="191"/>
      <x:c r="AD117" s="191"/>
      <x:c r="AE117" s="191"/>
      <x:c r="AF117" s="191"/>
      <x:c r="AG117" s="191"/>
      <x:c r="AH117" s="191"/>
      <x:c r="AI117" s="191"/>
      <x:c r="AJ117" s="191"/>
      <x:c r="AK117" s="191"/>
    </x:row>
    <x:row r="118">
      <x:c r="A118" s="191"/>
      <x:c r="B118" s="191"/>
      <x:c r="C118" s="191"/>
      <x:c r="D118" s="191"/>
      <x:c r="E118" s="191"/>
      <x:c r="F118" s="191"/>
      <x:c r="G118" s="191"/>
      <x:c r="H118" s="191"/>
      <x:c r="I118" s="191"/>
      <x:c r="J118" s="191"/>
      <x:c r="K118" s="191"/>
      <x:c r="L118" s="191"/>
      <x:c r="M118" s="191"/>
      <x:c r="N118" s="191"/>
      <x:c r="O118" s="191"/>
      <x:c r="P118" s="191"/>
      <x:c r="Q118" s="191"/>
      <x:c r="R118" s="191"/>
      <x:c r="S118" s="191"/>
      <x:c r="T118" s="191"/>
      <x:c r="U118" s="191"/>
      <x:c r="V118" s="191"/>
      <x:c r="W118" s="191"/>
      <x:c r="X118" s="191"/>
      <x:c r="Y118" s="191"/>
      <x:c r="Z118" s="191"/>
      <x:c r="AA118" s="191"/>
      <x:c r="AB118" s="191"/>
      <x:c r="AC118" s="191"/>
      <x:c r="AD118" s="191"/>
      <x:c r="AE118" s="191"/>
      <x:c r="AF118" s="191"/>
      <x:c r="AG118" s="191"/>
      <x:c r="AH118" s="191"/>
      <x:c r="AI118" s="191"/>
      <x:c r="AJ118" s="191"/>
      <x:c r="AK118" s="191"/>
    </x:row>
    <x:row r="119">
      <x:c r="A119" s="191"/>
      <x:c r="B119" s="191"/>
      <x:c r="C119" s="191"/>
      <x:c r="D119" s="191"/>
      <x:c r="E119" s="191"/>
      <x:c r="F119" s="191"/>
      <x:c r="G119" s="191"/>
      <x:c r="H119" s="191"/>
      <x:c r="I119" s="191"/>
      <x:c r="J119" s="191"/>
      <x:c r="K119" s="191"/>
      <x:c r="L119" s="191"/>
      <x:c r="M119" s="191"/>
      <x:c r="N119" s="191"/>
      <x:c r="O119" s="191"/>
      <x:c r="P119" s="191"/>
      <x:c r="Q119" s="191"/>
      <x:c r="R119" s="191"/>
      <x:c r="S119" s="191"/>
      <x:c r="T119" s="191"/>
      <x:c r="U119" s="191"/>
      <x:c r="V119" s="191"/>
      <x:c r="W119" s="191"/>
      <x:c r="X119" s="191"/>
      <x:c r="Y119" s="191"/>
      <x:c r="Z119" s="191"/>
      <x:c r="AA119" s="191"/>
      <x:c r="AB119" s="191"/>
      <x:c r="AC119" s="191"/>
      <x:c r="AD119" s="191"/>
      <x:c r="AE119" s="191"/>
      <x:c r="AF119" s="191"/>
      <x:c r="AG119" s="191"/>
      <x:c r="AH119" s="191"/>
      <x:c r="AI119" s="191"/>
      <x:c r="AJ119" s="191"/>
      <x:c r="AK119" s="191"/>
    </x:row>
    <x:row r="120">
      <x:c r="A120" s="191"/>
      <x:c r="B120" s="191"/>
      <x:c r="C120" s="191"/>
      <x:c r="D120" s="191"/>
      <x:c r="E120" s="191"/>
      <x:c r="F120" s="191"/>
      <x:c r="G120" s="191"/>
      <x:c r="H120" s="191"/>
      <x:c r="I120" s="191"/>
      <x:c r="J120" s="191"/>
      <x:c r="K120" s="191"/>
      <x:c r="L120" s="191"/>
      <x:c r="M120" s="191"/>
      <x:c r="N120" s="191"/>
      <x:c r="O120" s="191"/>
      <x:c r="P120" s="191"/>
      <x:c r="Q120" s="191"/>
      <x:c r="R120" s="191"/>
      <x:c r="S120" s="191"/>
      <x:c r="T120" s="191"/>
      <x:c r="U120" s="191"/>
      <x:c r="V120" s="191"/>
      <x:c r="W120" s="191"/>
      <x:c r="X120" s="191"/>
      <x:c r="Y120" s="191"/>
      <x:c r="Z120" s="191"/>
      <x:c r="AA120" s="191"/>
      <x:c r="AB120" s="191"/>
      <x:c r="AC120" s="191"/>
      <x:c r="AD120" s="191"/>
      <x:c r="AE120" s="191"/>
      <x:c r="AF120" s="191"/>
      <x:c r="AG120" s="191"/>
      <x:c r="AH120" s="191"/>
      <x:c r="AI120" s="191"/>
      <x:c r="AJ120" s="191"/>
      <x:c r="AK120" s="191"/>
    </x:row>
    <x:row r="121">
      <x:c r="A121" s="191"/>
      <x:c r="B121" s="191"/>
      <x:c r="C121" s="191"/>
      <x:c r="D121" s="191"/>
      <x:c r="E121" s="191"/>
      <x:c r="F121" s="191"/>
      <x:c r="G121" s="191"/>
      <x:c r="H121" s="191"/>
      <x:c r="I121" s="191"/>
      <x:c r="J121" s="191"/>
      <x:c r="K121" s="191"/>
      <x:c r="L121" s="191"/>
      <x:c r="M121" s="191"/>
      <x:c r="N121" s="191"/>
      <x:c r="O121" s="191"/>
      <x:c r="P121" s="191"/>
      <x:c r="Q121" s="191"/>
      <x:c r="R121" s="191"/>
      <x:c r="S121" s="191"/>
      <x:c r="T121" s="191"/>
      <x:c r="U121" s="191"/>
      <x:c r="V121" s="191"/>
      <x:c r="W121" s="191"/>
      <x:c r="X121" s="191"/>
      <x:c r="Y121" s="191"/>
      <x:c r="Z121" s="191"/>
      <x:c r="AA121" s="191"/>
      <x:c r="AB121" s="191"/>
      <x:c r="AC121" s="191"/>
      <x:c r="AD121" s="191"/>
      <x:c r="AE121" s="191"/>
      <x:c r="AF121" s="191"/>
      <x:c r="AG121" s="191"/>
      <x:c r="AH121" s="191"/>
      <x:c r="AI121" s="191"/>
      <x:c r="AJ121" s="191"/>
      <x:c r="AK121" s="191"/>
    </x:row>
    <x:row r="122">
      <x:c r="A122" s="191"/>
      <x:c r="B122" s="191"/>
      <x:c r="C122" s="191"/>
      <x:c r="D122" s="191"/>
      <x:c r="E122" s="191"/>
      <x:c r="F122" s="191"/>
      <x:c r="G122" s="191"/>
      <x:c r="H122" s="191"/>
      <x:c r="I122" s="191"/>
      <x:c r="J122" s="191"/>
      <x:c r="K122" s="191"/>
      <x:c r="L122" s="191"/>
      <x:c r="M122" s="191"/>
      <x:c r="N122" s="191"/>
      <x:c r="O122" s="191"/>
      <x:c r="P122" s="191"/>
      <x:c r="Q122" s="191"/>
      <x:c r="R122" s="191"/>
      <x:c r="S122" s="191"/>
      <x:c r="T122" s="191"/>
      <x:c r="U122" s="191"/>
      <x:c r="V122" s="191"/>
      <x:c r="W122" s="191"/>
      <x:c r="X122" s="191"/>
      <x:c r="Y122" s="191"/>
      <x:c r="Z122" s="191"/>
      <x:c r="AA122" s="191"/>
      <x:c r="AB122" s="191"/>
      <x:c r="AC122" s="191"/>
      <x:c r="AD122" s="191"/>
      <x:c r="AE122" s="191"/>
      <x:c r="AF122" s="191"/>
      <x:c r="AG122" s="191"/>
      <x:c r="AH122" s="191"/>
      <x:c r="AI122" s="191"/>
      <x:c r="AJ122" s="191"/>
      <x:c r="AK122" s="191"/>
    </x:row>
    <x:row r="123">
      <x:c r="A123" s="191"/>
      <x:c r="B123" s="191"/>
      <x:c r="C123" s="191"/>
      <x:c r="D123" s="191"/>
      <x:c r="E123" s="191"/>
      <x:c r="F123" s="191"/>
      <x:c r="G123" s="191"/>
      <x:c r="H123" s="191"/>
      <x:c r="I123" s="191"/>
      <x:c r="J123" s="191"/>
      <x:c r="K123" s="191"/>
      <x:c r="L123" s="191"/>
      <x:c r="M123" s="191"/>
      <x:c r="N123" s="191"/>
      <x:c r="O123" s="191"/>
      <x:c r="P123" s="191"/>
      <x:c r="Q123" s="191"/>
      <x:c r="R123" s="191"/>
      <x:c r="S123" s="191"/>
      <x:c r="T123" s="191"/>
      <x:c r="U123" s="191"/>
      <x:c r="V123" s="191"/>
      <x:c r="W123" s="191"/>
      <x:c r="X123" s="191"/>
      <x:c r="Y123" s="191"/>
      <x:c r="Z123" s="191"/>
      <x:c r="AA123" s="191"/>
      <x:c r="AB123" s="191"/>
      <x:c r="AC123" s="191"/>
      <x:c r="AD123" s="191"/>
      <x:c r="AE123" s="191"/>
      <x:c r="AF123" s="191"/>
      <x:c r="AG123" s="191"/>
      <x:c r="AH123" s="191"/>
      <x:c r="AI123" s="191"/>
      <x:c r="AJ123" s="191"/>
      <x:c r="AK123" s="191"/>
    </x:row>
    <x:row r="124">
      <x:c r="A124" s="191"/>
      <x:c r="B124" s="191"/>
      <x:c r="C124" s="191"/>
      <x:c r="D124" s="191"/>
      <x:c r="E124" s="191"/>
      <x:c r="F124" s="191"/>
      <x:c r="G124" s="191"/>
      <x:c r="H124" s="191"/>
      <x:c r="I124" s="191"/>
      <x:c r="J124" s="191"/>
      <x:c r="K124" s="191"/>
      <x:c r="L124" s="191"/>
      <x:c r="M124" s="191"/>
      <x:c r="N124" s="191"/>
      <x:c r="O124" s="191"/>
      <x:c r="P124" s="191"/>
      <x:c r="Q124" s="191"/>
      <x:c r="R124" s="191"/>
      <x:c r="S124" s="191"/>
      <x:c r="T124" s="191"/>
      <x:c r="U124" s="191"/>
      <x:c r="V124" s="191"/>
      <x:c r="W124" s="191"/>
      <x:c r="X124" s="191"/>
      <x:c r="Y124" s="191"/>
      <x:c r="Z124" s="191"/>
      <x:c r="AA124" s="191"/>
      <x:c r="AB124" s="191"/>
      <x:c r="AC124" s="191"/>
      <x:c r="AD124" s="191"/>
      <x:c r="AE124" s="191"/>
      <x:c r="AF124" s="191"/>
      <x:c r="AG124" s="191"/>
      <x:c r="AH124" s="191"/>
      <x:c r="AI124" s="191"/>
      <x:c r="AJ124" s="191"/>
      <x:c r="AK124" s="191"/>
    </x:row>
    <x:row r="125">
      <x:c r="A125" s="191"/>
      <x:c r="B125" s="191"/>
      <x:c r="C125" s="191"/>
      <x:c r="D125" s="191"/>
      <x:c r="E125" s="191"/>
      <x:c r="F125" s="191"/>
      <x:c r="G125" s="191"/>
      <x:c r="H125" s="191"/>
      <x:c r="I125" s="191"/>
      <x:c r="J125" s="191"/>
      <x:c r="K125" s="191"/>
      <x:c r="L125" s="191"/>
      <x:c r="M125" s="191"/>
      <x:c r="N125" s="191"/>
      <x:c r="O125" s="191"/>
      <x:c r="P125" s="191"/>
      <x:c r="Q125" s="191"/>
      <x:c r="R125" s="191"/>
      <x:c r="S125" s="191"/>
      <x:c r="T125" s="191"/>
      <x:c r="U125" s="191"/>
      <x:c r="V125" s="191"/>
      <x:c r="W125" s="191"/>
      <x:c r="X125" s="191"/>
      <x:c r="Y125" s="191"/>
      <x:c r="Z125" s="191"/>
      <x:c r="AA125" s="191"/>
      <x:c r="AB125" s="191"/>
      <x:c r="AC125" s="191"/>
      <x:c r="AD125" s="191"/>
      <x:c r="AE125" s="191"/>
      <x:c r="AF125" s="191"/>
      <x:c r="AG125" s="191"/>
      <x:c r="AH125" s="191"/>
      <x:c r="AI125" s="191"/>
      <x:c r="AJ125" s="191"/>
      <x:c r="AK125" s="191"/>
    </x:row>
    <x:row r="126">
      <x:c r="A126" s="191"/>
      <x:c r="B126" s="191"/>
      <x:c r="C126" s="191"/>
      <x:c r="D126" s="191"/>
      <x:c r="E126" s="191"/>
      <x:c r="F126" s="191"/>
      <x:c r="G126" s="191"/>
      <x:c r="H126" s="191"/>
      <x:c r="I126" s="191"/>
      <x:c r="J126" s="191"/>
      <x:c r="K126" s="191"/>
      <x:c r="L126" s="191"/>
      <x:c r="M126" s="191"/>
      <x:c r="N126" s="191"/>
      <x:c r="O126" s="191"/>
      <x:c r="P126" s="191"/>
      <x:c r="Q126" s="191"/>
      <x:c r="R126" s="191"/>
      <x:c r="S126" s="191"/>
      <x:c r="T126" s="191"/>
      <x:c r="U126" s="191"/>
      <x:c r="V126" s="191"/>
      <x:c r="W126" s="191"/>
      <x:c r="X126" s="191"/>
      <x:c r="Y126" s="191"/>
      <x:c r="Z126" s="191"/>
      <x:c r="AA126" s="191"/>
      <x:c r="AB126" s="191"/>
      <x:c r="AC126" s="191"/>
      <x:c r="AD126" s="191"/>
      <x:c r="AE126" s="191"/>
      <x:c r="AF126" s="191"/>
      <x:c r="AG126" s="191"/>
      <x:c r="AH126" s="191"/>
      <x:c r="AI126" s="191"/>
      <x:c r="AJ126" s="191"/>
      <x:c r="AK126" s="191"/>
    </x:row>
    <x:row r="127">
      <x:c r="A127" s="191"/>
      <x:c r="B127" s="191"/>
      <x:c r="C127" s="191"/>
      <x:c r="D127" s="191"/>
      <x:c r="E127" s="191"/>
      <x:c r="F127" s="191"/>
      <x:c r="G127" s="191"/>
      <x:c r="H127" s="191"/>
      <x:c r="I127" s="191"/>
      <x:c r="J127" s="191"/>
      <x:c r="K127" s="191"/>
      <x:c r="L127" s="191"/>
      <x:c r="M127" s="191"/>
      <x:c r="N127" s="191"/>
      <x:c r="O127" s="191"/>
      <x:c r="P127" s="191"/>
      <x:c r="Q127" s="191"/>
      <x:c r="R127" s="191"/>
      <x:c r="S127" s="191"/>
      <x:c r="T127" s="191"/>
      <x:c r="U127" s="191"/>
      <x:c r="V127" s="191"/>
      <x:c r="W127" s="191"/>
      <x:c r="X127" s="191"/>
      <x:c r="Y127" s="191"/>
      <x:c r="Z127" s="191"/>
      <x:c r="AA127" s="191"/>
      <x:c r="AB127" s="191"/>
      <x:c r="AC127" s="191"/>
      <x:c r="AD127" s="191"/>
      <x:c r="AE127" s="191"/>
      <x:c r="AF127" s="191"/>
      <x:c r="AG127" s="191"/>
      <x:c r="AH127" s="191"/>
      <x:c r="AI127" s="191"/>
      <x:c r="AJ127" s="191"/>
      <x:c r="AK127" s="191"/>
    </x:row>
    <x:row r="128">
      <x:c r="A128" s="191"/>
      <x:c r="B128" s="191"/>
      <x:c r="C128" s="191"/>
      <x:c r="D128" s="191"/>
      <x:c r="E128" s="191"/>
      <x:c r="F128" s="191"/>
      <x:c r="G128" s="191"/>
      <x:c r="H128" s="191"/>
      <x:c r="I128" s="191"/>
      <x:c r="J128" s="191"/>
      <x:c r="K128" s="191"/>
      <x:c r="L128" s="191"/>
      <x:c r="M128" s="191"/>
      <x:c r="N128" s="191"/>
      <x:c r="O128" s="191"/>
      <x:c r="P128" s="191"/>
      <x:c r="Q128" s="191"/>
      <x:c r="R128" s="191"/>
      <x:c r="S128" s="191"/>
      <x:c r="T128" s="191"/>
      <x:c r="U128" s="191"/>
      <x:c r="V128" s="191"/>
      <x:c r="W128" s="191"/>
      <x:c r="X128" s="191"/>
      <x:c r="Y128" s="191"/>
      <x:c r="Z128" s="191"/>
      <x:c r="AA128" s="191"/>
      <x:c r="AB128" s="191"/>
      <x:c r="AC128" s="191"/>
      <x:c r="AD128" s="191"/>
      <x:c r="AE128" s="191"/>
      <x:c r="AF128" s="191"/>
      <x:c r="AG128" s="191"/>
      <x:c r="AH128" s="191"/>
      <x:c r="AI128" s="191"/>
      <x:c r="AJ128" s="191"/>
      <x:c r="AK128" s="191"/>
    </x:row>
    <x:row r="129">
      <x:c r="A129" s="191"/>
      <x:c r="B129" s="191"/>
      <x:c r="C129" s="191"/>
      <x:c r="D129" s="191"/>
      <x:c r="E129" s="191"/>
      <x:c r="F129" s="191"/>
      <x:c r="G129" s="191"/>
      <x:c r="H129" s="191"/>
      <x:c r="I129" s="191"/>
      <x:c r="J129" s="191"/>
      <x:c r="K129" s="191"/>
      <x:c r="L129" s="191"/>
      <x:c r="M129" s="191"/>
      <x:c r="N129" s="191"/>
      <x:c r="O129" s="191"/>
      <x:c r="P129" s="191"/>
      <x:c r="Q129" s="191"/>
      <x:c r="R129" s="191"/>
      <x:c r="S129" s="191"/>
      <x:c r="T129" s="191"/>
      <x:c r="U129" s="191"/>
      <x:c r="V129" s="191"/>
      <x:c r="W129" s="191"/>
      <x:c r="X129" s="191"/>
      <x:c r="Y129" s="191"/>
      <x:c r="Z129" s="191"/>
      <x:c r="AA129" s="191"/>
      <x:c r="AB129" s="191"/>
      <x:c r="AC129" s="191"/>
      <x:c r="AD129" s="191"/>
      <x:c r="AE129" s="191"/>
      <x:c r="AF129" s="191"/>
      <x:c r="AG129" s="191"/>
      <x:c r="AH129" s="191"/>
      <x:c r="AI129" s="191"/>
      <x:c r="AJ129" s="191"/>
      <x:c r="AK129" s="191"/>
    </x:row>
    <x:row r="130">
      <x:c r="A130" s="191"/>
      <x:c r="B130" s="191"/>
      <x:c r="C130" s="191"/>
      <x:c r="D130" s="191"/>
      <x:c r="E130" s="191"/>
      <x:c r="F130" s="191"/>
      <x:c r="G130" s="191"/>
      <x:c r="H130" s="191"/>
      <x:c r="I130" s="191"/>
      <x:c r="J130" s="191"/>
      <x:c r="K130" s="191"/>
      <x:c r="L130" s="191"/>
      <x:c r="M130" s="191"/>
      <x:c r="N130" s="191"/>
      <x:c r="O130" s="191"/>
      <x:c r="P130" s="191"/>
      <x:c r="Q130" s="191"/>
      <x:c r="R130" s="191"/>
      <x:c r="S130" s="191"/>
      <x:c r="T130" s="191"/>
      <x:c r="U130" s="191"/>
      <x:c r="V130" s="191"/>
      <x:c r="W130" s="191"/>
      <x:c r="X130" s="191"/>
      <x:c r="Y130" s="191"/>
      <x:c r="Z130" s="191"/>
      <x:c r="AA130" s="191"/>
      <x:c r="AB130" s="191"/>
      <x:c r="AC130" s="191"/>
      <x:c r="AD130" s="191"/>
      <x:c r="AE130" s="191"/>
      <x:c r="AF130" s="191"/>
      <x:c r="AG130" s="191"/>
      <x:c r="AH130" s="191"/>
      <x:c r="AI130" s="191"/>
      <x:c r="AJ130" s="191"/>
      <x:c r="AK130" s="191"/>
    </x:row>
    <x:row r="131">
      <x:c r="A131" s="191"/>
      <x:c r="B131" s="191"/>
      <x:c r="C131" s="191"/>
      <x:c r="D131" s="191"/>
      <x:c r="E131" s="191"/>
      <x:c r="F131" s="191"/>
      <x:c r="G131" s="191"/>
      <x:c r="H131" s="191"/>
      <x:c r="I131" s="191"/>
      <x:c r="J131" s="191"/>
      <x:c r="K131" s="191"/>
      <x:c r="L131" s="191"/>
      <x:c r="M131" s="191"/>
      <x:c r="N131" s="191"/>
      <x:c r="O131" s="191"/>
      <x:c r="P131" s="191"/>
      <x:c r="Q131" s="191"/>
      <x:c r="R131" s="191"/>
      <x:c r="S131" s="191"/>
      <x:c r="T131" s="191"/>
      <x:c r="U131" s="191"/>
      <x:c r="V131" s="191"/>
      <x:c r="W131" s="191"/>
      <x:c r="X131" s="191"/>
      <x:c r="Y131" s="191"/>
      <x:c r="Z131" s="191"/>
      <x:c r="AA131" s="191"/>
      <x:c r="AB131" s="191"/>
      <x:c r="AC131" s="191"/>
      <x:c r="AD131" s="191"/>
      <x:c r="AE131" s="191"/>
      <x:c r="AF131" s="191"/>
      <x:c r="AG131" s="191"/>
      <x:c r="AH131" s="191"/>
      <x:c r="AI131" s="191"/>
      <x:c r="AJ131" s="191"/>
      <x:c r="AK131" s="191"/>
    </x:row>
    <x:row r="132">
      <x:c r="A132" s="191"/>
      <x:c r="B132" s="191"/>
      <x:c r="C132" s="191"/>
      <x:c r="D132" s="191"/>
      <x:c r="E132" s="191"/>
      <x:c r="F132" s="191"/>
      <x:c r="G132" s="191"/>
      <x:c r="H132" s="191"/>
      <x:c r="I132" s="191"/>
      <x:c r="J132" s="191"/>
      <x:c r="K132" s="191"/>
      <x:c r="L132" s="191"/>
      <x:c r="M132" s="191"/>
      <x:c r="N132" s="191"/>
      <x:c r="O132" s="191"/>
      <x:c r="P132" s="191"/>
      <x:c r="Q132" s="191"/>
      <x:c r="R132" s="191"/>
      <x:c r="S132" s="191"/>
      <x:c r="T132" s="191"/>
      <x:c r="U132" s="191"/>
      <x:c r="V132" s="191"/>
      <x:c r="W132" s="191"/>
      <x:c r="X132" s="191"/>
      <x:c r="Y132" s="191"/>
      <x:c r="Z132" s="191"/>
      <x:c r="AA132" s="191"/>
      <x:c r="AB132" s="191"/>
      <x:c r="AC132" s="191"/>
      <x:c r="AD132" s="191"/>
      <x:c r="AE132" s="191"/>
      <x:c r="AF132" s="191"/>
      <x:c r="AG132" s="191"/>
      <x:c r="AH132" s="191"/>
      <x:c r="AI132" s="191"/>
      <x:c r="AJ132" s="191"/>
      <x:c r="AK132" s="191"/>
    </x:row>
    <x:row r="133">
      <x:c r="A133" s="191"/>
      <x:c r="B133" s="191"/>
      <x:c r="C133" s="191"/>
      <x:c r="D133" s="191"/>
      <x:c r="E133" s="191"/>
      <x:c r="F133" s="191"/>
      <x:c r="G133" s="191"/>
      <x:c r="H133" s="191"/>
      <x:c r="I133" s="191"/>
      <x:c r="J133" s="191"/>
      <x:c r="K133" s="191"/>
      <x:c r="L133" s="191"/>
      <x:c r="M133" s="191"/>
      <x:c r="N133" s="191"/>
      <x:c r="O133" s="191"/>
      <x:c r="P133" s="191"/>
      <x:c r="Q133" s="191"/>
      <x:c r="R133" s="191"/>
      <x:c r="S133" s="191"/>
      <x:c r="T133" s="191"/>
      <x:c r="U133" s="191"/>
      <x:c r="V133" s="191"/>
      <x:c r="W133" s="191"/>
      <x:c r="X133" s="191"/>
      <x:c r="Y133" s="191"/>
      <x:c r="Z133" s="191"/>
      <x:c r="AA133" s="191"/>
      <x:c r="AB133" s="191"/>
      <x:c r="AC133" s="191"/>
      <x:c r="AD133" s="191"/>
      <x:c r="AE133" s="191"/>
      <x:c r="AF133" s="191"/>
      <x:c r="AG133" s="191"/>
      <x:c r="AH133" s="191"/>
      <x:c r="AI133" s="191"/>
      <x:c r="AJ133" s="191"/>
      <x:c r="AK133" s="191"/>
    </x:row>
    <x:row r="134">
      <x:c r="A134" s="191"/>
      <x:c r="B134" s="191"/>
      <x:c r="C134" s="191"/>
      <x:c r="D134" s="191"/>
      <x:c r="E134" s="191"/>
      <x:c r="F134" s="191"/>
      <x:c r="G134" s="191"/>
      <x:c r="H134" s="191"/>
      <x:c r="I134" s="191"/>
      <x:c r="J134" s="191"/>
      <x:c r="K134" s="191"/>
      <x:c r="L134" s="191"/>
      <x:c r="M134" s="191"/>
      <x:c r="N134" s="191"/>
      <x:c r="O134" s="191"/>
      <x:c r="P134" s="191"/>
      <x:c r="Q134" s="191"/>
      <x:c r="R134" s="191"/>
      <x:c r="S134" s="191"/>
      <x:c r="T134" s="191"/>
      <x:c r="U134" s="191"/>
      <x:c r="V134" s="191"/>
      <x:c r="W134" s="191"/>
      <x:c r="X134" s="191"/>
      <x:c r="Y134" s="191"/>
      <x:c r="Z134" s="191"/>
      <x:c r="AA134" s="191"/>
      <x:c r="AB134" s="191"/>
      <x:c r="AC134" s="191"/>
      <x:c r="AD134" s="191"/>
      <x:c r="AE134" s="191"/>
      <x:c r="AF134" s="191"/>
      <x:c r="AG134" s="191"/>
      <x:c r="AH134" s="191"/>
      <x:c r="AI134" s="191"/>
      <x:c r="AJ134" s="191"/>
      <x:c r="AK134" s="191"/>
    </x:row>
    <x:row r="135">
      <x:c r="A135" s="191"/>
      <x:c r="B135" s="191"/>
      <x:c r="C135" s="191"/>
      <x:c r="D135" s="191"/>
      <x:c r="E135" s="191"/>
      <x:c r="F135" s="191"/>
      <x:c r="G135" s="191"/>
      <x:c r="H135" s="191"/>
      <x:c r="I135" s="191"/>
      <x:c r="J135" s="191"/>
      <x:c r="K135" s="191"/>
      <x:c r="L135" s="191"/>
      <x:c r="M135" s="191"/>
      <x:c r="N135" s="191"/>
      <x:c r="O135" s="191"/>
      <x:c r="P135" s="191"/>
      <x:c r="Q135" s="191"/>
      <x:c r="R135" s="191"/>
      <x:c r="S135" s="191"/>
      <x:c r="T135" s="191"/>
      <x:c r="U135" s="191"/>
      <x:c r="V135" s="191"/>
      <x:c r="W135" s="191"/>
      <x:c r="X135" s="191"/>
      <x:c r="Y135" s="191"/>
      <x:c r="Z135" s="191"/>
      <x:c r="AA135" s="191"/>
      <x:c r="AB135" s="191"/>
      <x:c r="AC135" s="191"/>
      <x:c r="AD135" s="191"/>
      <x:c r="AE135" s="191"/>
      <x:c r="AF135" s="191"/>
      <x:c r="AG135" s="191"/>
      <x:c r="AH135" s="191"/>
      <x:c r="AI135" s="191"/>
      <x:c r="AJ135" s="191"/>
      <x:c r="AK135" s="191"/>
    </x:row>
    <x:row r="136">
      <x:c r="A136" s="191"/>
      <x:c r="B136" s="191"/>
      <x:c r="C136" s="191"/>
      <x:c r="D136" s="191"/>
      <x:c r="E136" s="191"/>
      <x:c r="F136" s="191"/>
      <x:c r="G136" s="191"/>
      <x:c r="H136" s="191"/>
      <x:c r="I136" s="191"/>
      <x:c r="J136" s="191"/>
      <x:c r="K136" s="191"/>
      <x:c r="L136" s="191"/>
      <x:c r="M136" s="191"/>
      <x:c r="N136" s="191"/>
      <x:c r="O136" s="191"/>
      <x:c r="P136" s="191"/>
      <x:c r="Q136" s="191"/>
      <x:c r="R136" s="191"/>
      <x:c r="S136" s="191"/>
      <x:c r="T136" s="191"/>
      <x:c r="U136" s="191"/>
      <x:c r="V136" s="191"/>
      <x:c r="W136" s="191"/>
      <x:c r="X136" s="191"/>
      <x:c r="Y136" s="191"/>
      <x:c r="Z136" s="191"/>
      <x:c r="AA136" s="191"/>
      <x:c r="AB136" s="191"/>
      <x:c r="AC136" s="191"/>
      <x:c r="AD136" s="191"/>
      <x:c r="AE136" s="191"/>
      <x:c r="AF136" s="191"/>
      <x:c r="AG136" s="191"/>
      <x:c r="AH136" s="191"/>
      <x:c r="AI136" s="191"/>
      <x:c r="AJ136" s="191"/>
      <x:c r="AK136" s="191"/>
    </x:row>
    <x:row r="137">
      <x:c r="A137" s="191"/>
      <x:c r="B137" s="191"/>
      <x:c r="C137" s="191"/>
      <x:c r="D137" s="191"/>
      <x:c r="E137" s="191"/>
      <x:c r="F137" s="191"/>
      <x:c r="G137" s="191"/>
      <x:c r="H137" s="191"/>
      <x:c r="I137" s="191"/>
      <x:c r="J137" s="191"/>
      <x:c r="K137" s="191"/>
      <x:c r="L137" s="191"/>
      <x:c r="M137" s="191"/>
      <x:c r="N137" s="191"/>
      <x:c r="O137" s="191"/>
      <x:c r="P137" s="191"/>
      <x:c r="Q137" s="191"/>
      <x:c r="R137" s="191"/>
      <x:c r="S137" s="191"/>
      <x:c r="T137" s="191"/>
      <x:c r="U137" s="191"/>
      <x:c r="V137" s="191"/>
      <x:c r="W137" s="191"/>
      <x:c r="X137" s="191"/>
      <x:c r="Y137" s="191"/>
      <x:c r="Z137" s="191"/>
      <x:c r="AA137" s="191"/>
      <x:c r="AB137" s="191"/>
      <x:c r="AC137" s="191"/>
      <x:c r="AD137" s="191"/>
      <x:c r="AE137" s="191"/>
      <x:c r="AF137" s="191"/>
      <x:c r="AG137" s="191"/>
      <x:c r="AH137" s="191"/>
      <x:c r="AI137" s="191"/>
      <x:c r="AJ137" s="191"/>
      <x:c r="AK137" s="191"/>
    </x:row>
    <x:row r="138">
      <x:c r="A138" s="191"/>
      <x:c r="B138" s="191"/>
      <x:c r="C138" s="191"/>
      <x:c r="D138" s="191"/>
      <x:c r="E138" s="191"/>
      <x:c r="F138" s="191"/>
      <x:c r="G138" s="191"/>
      <x:c r="H138" s="191"/>
      <x:c r="I138" s="191"/>
      <x:c r="J138" s="191"/>
      <x:c r="K138" s="191"/>
      <x:c r="L138" s="191"/>
      <x:c r="M138" s="191"/>
      <x:c r="N138" s="191"/>
      <x:c r="O138" s="191"/>
      <x:c r="P138" s="191"/>
      <x:c r="Q138" s="191"/>
      <x:c r="R138" s="191"/>
      <x:c r="S138" s="191"/>
      <x:c r="T138" s="191"/>
      <x:c r="U138" s="191"/>
      <x:c r="V138" s="191"/>
      <x:c r="W138" s="191"/>
      <x:c r="X138" s="191"/>
      <x:c r="Y138" s="191"/>
      <x:c r="Z138" s="191"/>
      <x:c r="AA138" s="191"/>
      <x:c r="AB138" s="191"/>
      <x:c r="AC138" s="191"/>
      <x:c r="AD138" s="191"/>
      <x:c r="AE138" s="191"/>
      <x:c r="AF138" s="191"/>
      <x:c r="AG138" s="191"/>
      <x:c r="AH138" s="191"/>
      <x:c r="AI138" s="191"/>
      <x:c r="AJ138" s="191"/>
      <x:c r="AK138" s="191"/>
    </x:row>
    <x:row r="139">
      <x:c r="A139" s="191"/>
      <x:c r="B139" s="191"/>
      <x:c r="C139" s="191"/>
      <x:c r="D139" s="191"/>
      <x:c r="E139" s="191"/>
      <x:c r="F139" s="191"/>
      <x:c r="G139" s="191"/>
      <x:c r="H139" s="191"/>
      <x:c r="I139" s="191"/>
      <x:c r="J139" s="191"/>
      <x:c r="K139" s="191"/>
      <x:c r="L139" s="191"/>
      <x:c r="M139" s="191"/>
      <x:c r="N139" s="191"/>
      <x:c r="O139" s="191"/>
      <x:c r="P139" s="191"/>
      <x:c r="Q139" s="191"/>
      <x:c r="R139" s="191"/>
      <x:c r="S139" s="191"/>
      <x:c r="T139" s="191"/>
      <x:c r="U139" s="191"/>
      <x:c r="V139" s="191"/>
      <x:c r="W139" s="191"/>
      <x:c r="X139" s="191"/>
      <x:c r="Y139" s="191"/>
      <x:c r="Z139" s="191"/>
      <x:c r="AA139" s="191"/>
      <x:c r="AB139" s="191"/>
      <x:c r="AC139" s="191"/>
      <x:c r="AD139" s="191"/>
      <x:c r="AE139" s="191"/>
      <x:c r="AF139" s="191"/>
      <x:c r="AG139" s="191"/>
      <x:c r="AH139" s="191"/>
      <x:c r="AI139" s="191"/>
      <x:c r="AJ139" s="191"/>
      <x:c r="AK139" s="191"/>
    </x:row>
    <x:row r="140">
      <x:c r="A140" s="191"/>
      <x:c r="B140" s="191"/>
      <x:c r="C140" s="191"/>
      <x:c r="D140" s="191"/>
      <x:c r="E140" s="191"/>
      <x:c r="F140" s="191"/>
      <x:c r="G140" s="191"/>
      <x:c r="H140" s="191"/>
      <x:c r="I140" s="191"/>
      <x:c r="J140" s="191"/>
      <x:c r="K140" s="191"/>
      <x:c r="L140" s="191"/>
      <x:c r="M140" s="191"/>
      <x:c r="N140" s="191"/>
      <x:c r="O140" s="191"/>
      <x:c r="P140" s="191"/>
      <x:c r="Q140" s="191"/>
      <x:c r="R140" s="191"/>
      <x:c r="S140" s="191"/>
      <x:c r="T140" s="191"/>
      <x:c r="U140" s="191"/>
      <x:c r="V140" s="191"/>
      <x:c r="W140" s="191"/>
      <x:c r="X140" s="191"/>
      <x:c r="Y140" s="191"/>
      <x:c r="Z140" s="191"/>
      <x:c r="AA140" s="191"/>
      <x:c r="AB140" s="191"/>
      <x:c r="AC140" s="191"/>
      <x:c r="AD140" s="191"/>
      <x:c r="AE140" s="191"/>
      <x:c r="AF140" s="191"/>
      <x:c r="AG140" s="191"/>
      <x:c r="AH140" s="191"/>
      <x:c r="AI140" s="191"/>
      <x:c r="AJ140" s="191"/>
      <x:c r="AK140" s="191"/>
    </x:row>
    <x:row r="141">
      <x:c r="A141" s="191"/>
      <x:c r="B141" s="191"/>
      <x:c r="C141" s="191"/>
      <x:c r="D141" s="191"/>
      <x:c r="E141" s="191"/>
      <x:c r="F141" s="191"/>
      <x:c r="G141" s="191"/>
      <x:c r="H141" s="191"/>
      <x:c r="I141" s="191"/>
      <x:c r="J141" s="191"/>
      <x:c r="K141" s="191"/>
      <x:c r="L141" s="191"/>
      <x:c r="M141" s="191"/>
      <x:c r="N141" s="191"/>
      <x:c r="O141" s="191"/>
      <x:c r="P141" s="191"/>
      <x:c r="Q141" s="191"/>
      <x:c r="R141" s="191"/>
      <x:c r="S141" s="191"/>
      <x:c r="T141" s="191"/>
      <x:c r="U141" s="191"/>
      <x:c r="V141" s="191"/>
      <x:c r="W141" s="191"/>
      <x:c r="X141" s="191"/>
      <x:c r="Y141" s="191"/>
      <x:c r="Z141" s="191"/>
      <x:c r="AA141" s="191"/>
      <x:c r="AB141" s="191"/>
      <x:c r="AC141" s="191"/>
      <x:c r="AD141" s="191"/>
      <x:c r="AE141" s="191"/>
      <x:c r="AF141" s="191"/>
      <x:c r="AG141" s="191"/>
      <x:c r="AH141" s="191"/>
      <x:c r="AI141" s="191"/>
      <x:c r="AJ141" s="191"/>
      <x:c r="AK141" s="191"/>
    </x:row>
    <x:row r="142">
      <x:c r="A142" s="191"/>
      <x:c r="B142" s="191"/>
      <x:c r="C142" s="191"/>
      <x:c r="D142" s="191"/>
      <x:c r="E142" s="191"/>
      <x:c r="F142" s="191"/>
      <x:c r="G142" s="191"/>
      <x:c r="H142" s="191"/>
      <x:c r="I142" s="191"/>
      <x:c r="J142" s="191"/>
      <x:c r="K142" s="191"/>
      <x:c r="L142" s="191"/>
      <x:c r="M142" s="191"/>
      <x:c r="N142" s="191"/>
      <x:c r="O142" s="191"/>
      <x:c r="P142" s="191"/>
      <x:c r="Q142" s="191"/>
      <x:c r="R142" s="191"/>
      <x:c r="S142" s="191"/>
      <x:c r="T142" s="191"/>
      <x:c r="U142" s="191"/>
      <x:c r="V142" s="191"/>
      <x:c r="W142" s="191"/>
      <x:c r="X142" s="191"/>
      <x:c r="Y142" s="191"/>
      <x:c r="Z142" s="191"/>
      <x:c r="AA142" s="191"/>
      <x:c r="AB142" s="191"/>
      <x:c r="AC142" s="191"/>
      <x:c r="AD142" s="191"/>
      <x:c r="AE142" s="191"/>
      <x:c r="AF142" s="191"/>
      <x:c r="AG142" s="191"/>
      <x:c r="AH142" s="191"/>
      <x:c r="AI142" s="191"/>
      <x:c r="AJ142" s="191"/>
      <x:c r="AK142" s="191"/>
    </x:row>
    <x:row r="143">
      <x:c r="A143" s="191"/>
      <x:c r="B143" s="191"/>
      <x:c r="C143" s="191"/>
      <x:c r="D143" s="191"/>
      <x:c r="E143" s="191"/>
      <x:c r="F143" s="191"/>
      <x:c r="G143" s="191"/>
      <x:c r="H143" s="191"/>
      <x:c r="I143" s="191"/>
      <x:c r="J143" s="191"/>
      <x:c r="K143" s="191"/>
      <x:c r="L143" s="191"/>
      <x:c r="M143" s="191"/>
      <x:c r="N143" s="191"/>
      <x:c r="O143" s="191"/>
      <x:c r="P143" s="191"/>
      <x:c r="Q143" s="191"/>
      <x:c r="R143" s="191"/>
      <x:c r="S143" s="191"/>
      <x:c r="T143" s="191"/>
      <x:c r="U143" s="191"/>
      <x:c r="V143" s="191"/>
      <x:c r="W143" s="191"/>
      <x:c r="X143" s="191"/>
      <x:c r="Y143" s="191"/>
      <x:c r="Z143" s="191"/>
      <x:c r="AA143" s="191"/>
      <x:c r="AB143" s="191"/>
      <x:c r="AC143" s="191"/>
      <x:c r="AD143" s="191"/>
      <x:c r="AE143" s="191"/>
      <x:c r="AF143" s="191"/>
      <x:c r="AG143" s="191"/>
      <x:c r="AH143" s="191"/>
      <x:c r="AI143" s="191"/>
      <x:c r="AJ143" s="191"/>
      <x:c r="AK143" s="191"/>
    </x:row>
    <x:row r="144">
      <x:c r="A144" s="191"/>
      <x:c r="B144" s="191"/>
      <x:c r="C144" s="191"/>
      <x:c r="D144" s="191"/>
      <x:c r="E144" s="191"/>
      <x:c r="F144" s="191"/>
      <x:c r="G144" s="191"/>
      <x:c r="H144" s="191"/>
      <x:c r="I144" s="191"/>
      <x:c r="J144" s="191"/>
      <x:c r="K144" s="191"/>
      <x:c r="L144" s="191"/>
      <x:c r="M144" s="191"/>
      <x:c r="N144" s="191"/>
      <x:c r="O144" s="191"/>
      <x:c r="P144" s="191"/>
      <x:c r="Q144" s="191"/>
      <x:c r="R144" s="191"/>
      <x:c r="S144" s="191"/>
      <x:c r="T144" s="191"/>
      <x:c r="U144" s="191"/>
      <x:c r="V144" s="191"/>
      <x:c r="W144" s="191"/>
      <x:c r="X144" s="191"/>
      <x:c r="Y144" s="191"/>
      <x:c r="Z144" s="191"/>
      <x:c r="AA144" s="191"/>
      <x:c r="AB144" s="191"/>
      <x:c r="AC144" s="191"/>
      <x:c r="AD144" s="191"/>
      <x:c r="AE144" s="191"/>
      <x:c r="AF144" s="191"/>
      <x:c r="AG144" s="191"/>
      <x:c r="AH144" s="191"/>
      <x:c r="AI144" s="191"/>
      <x:c r="AJ144" s="191"/>
      <x:c r="AK144" s="191"/>
    </x:row>
    <x:row r="145">
      <x:c r="A145" s="191"/>
      <x:c r="B145" s="191"/>
      <x:c r="C145" s="191"/>
      <x:c r="D145" s="191"/>
      <x:c r="E145" s="191"/>
      <x:c r="F145" s="191"/>
      <x:c r="G145" s="191"/>
      <x:c r="H145" s="191"/>
      <x:c r="I145" s="191"/>
      <x:c r="J145" s="191"/>
      <x:c r="K145" s="191"/>
      <x:c r="L145" s="191"/>
      <x:c r="M145" s="191"/>
      <x:c r="N145" s="191"/>
      <x:c r="O145" s="191"/>
      <x:c r="P145" s="191"/>
      <x:c r="Q145" s="191"/>
      <x:c r="R145" s="191"/>
      <x:c r="S145" s="191"/>
      <x:c r="T145" s="191"/>
      <x:c r="U145" s="191"/>
      <x:c r="V145" s="191"/>
      <x:c r="W145" s="191"/>
      <x:c r="X145" s="191"/>
      <x:c r="Y145" s="191"/>
      <x:c r="Z145" s="191"/>
      <x:c r="AA145" s="191"/>
      <x:c r="AB145" s="191"/>
      <x:c r="AC145" s="191"/>
      <x:c r="AD145" s="191"/>
      <x:c r="AE145" s="191"/>
      <x:c r="AF145" s="191"/>
      <x:c r="AG145" s="191"/>
      <x:c r="AH145" s="191"/>
      <x:c r="AI145" s="191"/>
      <x:c r="AJ145" s="191"/>
      <x:c r="AK145" s="191"/>
    </x:row>
    <x:row r="146">
      <x:c r="A146" s="191"/>
      <x:c r="B146" s="191"/>
      <x:c r="C146" s="191"/>
      <x:c r="D146" s="191"/>
      <x:c r="E146" s="191"/>
      <x:c r="F146" s="191"/>
      <x:c r="G146" s="191"/>
      <x:c r="H146" s="191"/>
      <x:c r="I146" s="191"/>
      <x:c r="J146" s="191"/>
      <x:c r="K146" s="191"/>
      <x:c r="L146" s="191"/>
      <x:c r="M146" s="191"/>
      <x:c r="N146" s="191"/>
      <x:c r="O146" s="191"/>
      <x:c r="P146" s="191"/>
      <x:c r="Q146" s="191"/>
      <x:c r="R146" s="191"/>
      <x:c r="S146" s="191"/>
      <x:c r="T146" s="191"/>
      <x:c r="U146" s="191"/>
      <x:c r="V146" s="191"/>
      <x:c r="W146" s="191"/>
      <x:c r="X146" s="191"/>
      <x:c r="Y146" s="191"/>
      <x:c r="Z146" s="191"/>
      <x:c r="AA146" s="191"/>
      <x:c r="AB146" s="191"/>
      <x:c r="AC146" s="191"/>
      <x:c r="AD146" s="191"/>
      <x:c r="AE146" s="191"/>
      <x:c r="AF146" s="191"/>
      <x:c r="AG146" s="191"/>
      <x:c r="AH146" s="191"/>
      <x:c r="AI146" s="191"/>
      <x:c r="AJ146" s="191"/>
      <x:c r="AK146" s="191"/>
    </x:row>
    <x:row r="147">
      <x:c r="A147" s="191"/>
      <x:c r="B147" s="191"/>
      <x:c r="C147" s="191"/>
      <x:c r="D147" s="191"/>
      <x:c r="E147" s="191"/>
      <x:c r="F147" s="191"/>
      <x:c r="G147" s="191"/>
      <x:c r="H147" s="191"/>
      <x:c r="I147" s="191"/>
      <x:c r="J147" s="191"/>
      <x:c r="K147" s="191"/>
      <x:c r="L147" s="191"/>
      <x:c r="M147" s="191"/>
      <x:c r="N147" s="191"/>
      <x:c r="O147" s="191"/>
      <x:c r="P147" s="191"/>
      <x:c r="Q147" s="191"/>
      <x:c r="R147" s="191"/>
      <x:c r="S147" s="191"/>
      <x:c r="T147" s="191"/>
      <x:c r="U147" s="191"/>
      <x:c r="V147" s="191"/>
      <x:c r="W147" s="191"/>
      <x:c r="X147" s="191"/>
      <x:c r="Y147" s="191"/>
      <x:c r="Z147" s="191"/>
      <x:c r="AA147" s="191"/>
      <x:c r="AB147" s="191"/>
      <x:c r="AC147" s="191"/>
      <x:c r="AD147" s="191"/>
      <x:c r="AE147" s="191"/>
      <x:c r="AF147" s="191"/>
      <x:c r="AG147" s="191"/>
      <x:c r="AH147" s="191"/>
      <x:c r="AI147" s="191"/>
      <x:c r="AJ147" s="191"/>
      <x:c r="AK147" s="191"/>
    </x:row>
    <x:row r="148">
      <x:c r="A148" s="191"/>
      <x:c r="B148" s="191"/>
      <x:c r="C148" s="191"/>
      <x:c r="D148" s="191"/>
      <x:c r="E148" s="191"/>
      <x:c r="F148" s="191"/>
      <x:c r="G148" s="191"/>
      <x:c r="H148" s="191"/>
      <x:c r="I148" s="191"/>
      <x:c r="J148" s="191"/>
      <x:c r="K148" s="191"/>
      <x:c r="L148" s="191"/>
      <x:c r="M148" s="191"/>
      <x:c r="N148" s="191"/>
      <x:c r="O148" s="191"/>
      <x:c r="P148" s="191"/>
      <x:c r="Q148" s="191"/>
      <x:c r="R148" s="191"/>
      <x:c r="S148" s="191"/>
      <x:c r="T148" s="191"/>
      <x:c r="U148" s="191"/>
      <x:c r="V148" s="191"/>
      <x:c r="W148" s="191"/>
      <x:c r="X148" s="191"/>
      <x:c r="Y148" s="191"/>
      <x:c r="Z148" s="191"/>
      <x:c r="AA148" s="191"/>
      <x:c r="AB148" s="191"/>
      <x:c r="AC148" s="191"/>
      <x:c r="AD148" s="191"/>
      <x:c r="AE148" s="191"/>
      <x:c r="AF148" s="191"/>
      <x:c r="AG148" s="191"/>
      <x:c r="AH148" s="191"/>
      <x:c r="AI148" s="191"/>
      <x:c r="AJ148" s="191"/>
      <x:c r="AK148" s="191"/>
    </x:row>
    <x:row r="149">
      <x:c r="A149" s="191"/>
      <x:c r="B149" s="191"/>
      <x:c r="C149" s="191"/>
      <x:c r="D149" s="191"/>
      <x:c r="E149" s="191"/>
      <x:c r="F149" s="191"/>
      <x:c r="G149" s="191"/>
      <x:c r="H149" s="191"/>
      <x:c r="I149" s="191"/>
      <x:c r="J149" s="191"/>
      <x:c r="K149" s="191"/>
      <x:c r="L149" s="191"/>
      <x:c r="M149" s="191"/>
      <x:c r="N149" s="191"/>
      <x:c r="O149" s="191"/>
      <x:c r="P149" s="191"/>
      <x:c r="Q149" s="191"/>
      <x:c r="R149" s="191"/>
      <x:c r="S149" s="191"/>
      <x:c r="T149" s="191"/>
      <x:c r="U149" s="191"/>
      <x:c r="V149" s="191"/>
      <x:c r="W149" s="191"/>
      <x:c r="X149" s="191"/>
      <x:c r="Y149" s="191"/>
      <x:c r="Z149" s="191"/>
      <x:c r="AA149" s="191"/>
      <x:c r="AB149" s="191"/>
      <x:c r="AC149" s="191"/>
      <x:c r="AD149" s="191"/>
      <x:c r="AE149" s="191"/>
      <x:c r="AF149" s="191"/>
      <x:c r="AG149" s="191"/>
      <x:c r="AH149" s="191"/>
      <x:c r="AI149" s="191"/>
      <x:c r="AJ149" s="191"/>
      <x:c r="AK149" s="191"/>
    </x:row>
    <x:row r="150">
      <x:c r="A150" s="191"/>
      <x:c r="B150" s="191"/>
      <x:c r="C150" s="191"/>
      <x:c r="D150" s="191"/>
      <x:c r="E150" s="191"/>
      <x:c r="F150" s="191"/>
      <x:c r="G150" s="191"/>
      <x:c r="H150" s="191"/>
      <x:c r="I150" s="191"/>
      <x:c r="J150" s="191"/>
      <x:c r="K150" s="191"/>
      <x:c r="L150" s="191"/>
      <x:c r="M150" s="191"/>
      <x:c r="N150" s="191"/>
      <x:c r="O150" s="191"/>
      <x:c r="P150" s="191"/>
      <x:c r="Q150" s="191"/>
      <x:c r="R150" s="191"/>
      <x:c r="S150" s="191"/>
      <x:c r="T150" s="191"/>
      <x:c r="U150" s="191"/>
      <x:c r="V150" s="191"/>
      <x:c r="W150" s="191"/>
      <x:c r="X150" s="191"/>
      <x:c r="Y150" s="191"/>
      <x:c r="Z150" s="191"/>
      <x:c r="AA150" s="191"/>
      <x:c r="AB150" s="191"/>
      <x:c r="AC150" s="191"/>
      <x:c r="AD150" s="191"/>
      <x:c r="AE150" s="191"/>
      <x:c r="AF150" s="191"/>
      <x:c r="AG150" s="191"/>
      <x:c r="AH150" s="191"/>
      <x:c r="AI150" s="191"/>
      <x:c r="AJ150" s="191"/>
      <x:c r="AK150" s="191"/>
    </x:row>
    <x:row r="151">
      <x:c r="A151" s="191"/>
      <x:c r="B151" s="191"/>
      <x:c r="C151" s="191"/>
      <x:c r="D151" s="191"/>
      <x:c r="E151" s="191"/>
      <x:c r="F151" s="191"/>
      <x:c r="G151" s="191"/>
      <x:c r="H151" s="191"/>
      <x:c r="I151" s="191"/>
      <x:c r="J151" s="191"/>
      <x:c r="K151" s="191"/>
      <x:c r="L151" s="191"/>
      <x:c r="M151" s="191"/>
      <x:c r="N151" s="191"/>
      <x:c r="O151" s="191"/>
      <x:c r="P151" s="191"/>
      <x:c r="Q151" s="191"/>
      <x:c r="R151" s="191"/>
      <x:c r="S151" s="191"/>
      <x:c r="T151" s="191"/>
      <x:c r="U151" s="191"/>
      <x:c r="V151" s="191"/>
      <x:c r="W151" s="191"/>
      <x:c r="X151" s="191"/>
      <x:c r="Y151" s="191"/>
      <x:c r="Z151" s="191"/>
      <x:c r="AA151" s="191"/>
      <x:c r="AB151" s="191"/>
      <x:c r="AC151" s="191"/>
      <x:c r="AD151" s="191"/>
      <x:c r="AE151" s="191"/>
      <x:c r="AF151" s="191"/>
      <x:c r="AG151" s="191"/>
      <x:c r="AH151" s="191"/>
      <x:c r="AI151" s="191"/>
      <x:c r="AJ151" s="191"/>
      <x:c r="AK151" s="191"/>
    </x:row>
    <x:row r="152">
      <x:c r="A152" s="191"/>
      <x:c r="B152" s="191"/>
      <x:c r="C152" s="191"/>
      <x:c r="D152" s="191"/>
      <x:c r="E152" s="191"/>
      <x:c r="F152" s="191"/>
      <x:c r="G152" s="191"/>
      <x:c r="H152" s="191"/>
      <x:c r="I152" s="191"/>
      <x:c r="J152" s="191"/>
      <x:c r="K152" s="191"/>
      <x:c r="L152" s="191"/>
      <x:c r="M152" s="191"/>
      <x:c r="N152" s="191"/>
      <x:c r="O152" s="191"/>
      <x:c r="P152" s="191"/>
      <x:c r="Q152" s="191"/>
      <x:c r="R152" s="191"/>
      <x:c r="S152" s="191"/>
      <x:c r="T152" s="191"/>
      <x:c r="U152" s="191"/>
      <x:c r="V152" s="191"/>
      <x:c r="W152" s="191"/>
      <x:c r="X152" s="191"/>
      <x:c r="Y152" s="191"/>
      <x:c r="Z152" s="191"/>
      <x:c r="AA152" s="191"/>
      <x:c r="AB152" s="191"/>
      <x:c r="AC152" s="191"/>
      <x:c r="AD152" s="191"/>
      <x:c r="AE152" s="191"/>
      <x:c r="AF152" s="191"/>
      <x:c r="AG152" s="191"/>
      <x:c r="AH152" s="191"/>
      <x:c r="AI152" s="191"/>
      <x:c r="AJ152" s="191"/>
      <x:c r="AK152" s="191"/>
    </x:row>
    <x:row r="153">
      <x:c r="A153" s="191"/>
      <x:c r="B153" s="191"/>
      <x:c r="C153" s="191"/>
      <x:c r="D153" s="191"/>
      <x:c r="E153" s="191"/>
      <x:c r="F153" s="191"/>
      <x:c r="G153" s="191"/>
      <x:c r="H153" s="191"/>
      <x:c r="I153" s="191"/>
      <x:c r="J153" s="191"/>
      <x:c r="K153" s="191"/>
      <x:c r="L153" s="191"/>
      <x:c r="M153" s="191"/>
      <x:c r="N153" s="191"/>
      <x:c r="O153" s="191"/>
      <x:c r="P153" s="191"/>
      <x:c r="Q153" s="191"/>
      <x:c r="R153" s="191"/>
      <x:c r="S153" s="191"/>
      <x:c r="T153" s="191"/>
      <x:c r="U153" s="191"/>
      <x:c r="V153" s="191"/>
      <x:c r="W153" s="191"/>
      <x:c r="X153" s="191"/>
      <x:c r="Y153" s="191"/>
      <x:c r="Z153" s="191"/>
      <x:c r="AA153" s="191"/>
      <x:c r="AB153" s="191"/>
      <x:c r="AC153" s="191"/>
      <x:c r="AD153" s="191"/>
      <x:c r="AE153" s="191"/>
      <x:c r="AF153" s="191"/>
      <x:c r="AG153" s="191"/>
      <x:c r="AH153" s="191"/>
      <x:c r="AI153" s="191"/>
      <x:c r="AJ153" s="191"/>
      <x:c r="AK153" s="191"/>
    </x:row>
    <x:row r="154">
      <x:c r="A154" s="191"/>
      <x:c r="B154" s="191"/>
      <x:c r="C154" s="191"/>
      <x:c r="D154" s="191"/>
      <x:c r="E154" s="191"/>
      <x:c r="F154" s="191"/>
      <x:c r="G154" s="191"/>
      <x:c r="H154" s="191"/>
      <x:c r="I154" s="191"/>
      <x:c r="J154" s="191"/>
      <x:c r="K154" s="191"/>
      <x:c r="L154" s="191"/>
      <x:c r="M154" s="191"/>
      <x:c r="N154" s="191"/>
      <x:c r="O154" s="191"/>
      <x:c r="P154" s="191"/>
      <x:c r="Q154" s="191"/>
      <x:c r="R154" s="191"/>
      <x:c r="S154" s="191"/>
      <x:c r="T154" s="191"/>
      <x:c r="U154" s="191"/>
      <x:c r="V154" s="191"/>
      <x:c r="W154" s="191"/>
      <x:c r="X154" s="191"/>
      <x:c r="Y154" s="191"/>
      <x:c r="Z154" s="191"/>
      <x:c r="AA154" s="191"/>
      <x:c r="AB154" s="191"/>
      <x:c r="AC154" s="191"/>
      <x:c r="AD154" s="191"/>
      <x:c r="AE154" s="191"/>
      <x:c r="AF154" s="191"/>
      <x:c r="AG154" s="191"/>
      <x:c r="AH154" s="191"/>
      <x:c r="AI154" s="191"/>
      <x:c r="AJ154" s="191"/>
      <x:c r="AK154" s="191"/>
    </x:row>
    <x:row r="155">
      <x:c r="A155" s="191"/>
      <x:c r="B155" s="191"/>
      <x:c r="C155" s="191"/>
      <x:c r="D155" s="191"/>
      <x:c r="E155" s="191"/>
      <x:c r="F155" s="191"/>
      <x:c r="G155" s="191"/>
      <x:c r="H155" s="191"/>
      <x:c r="I155" s="191"/>
      <x:c r="J155" s="191"/>
      <x:c r="K155" s="191"/>
      <x:c r="L155" s="191"/>
      <x:c r="M155" s="191"/>
      <x:c r="N155" s="191"/>
      <x:c r="O155" s="191"/>
      <x:c r="P155" s="191"/>
      <x:c r="Q155" s="191"/>
      <x:c r="R155" s="191"/>
      <x:c r="S155" s="191"/>
      <x:c r="T155" s="191"/>
      <x:c r="U155" s="191"/>
      <x:c r="V155" s="191"/>
      <x:c r="W155" s="191"/>
      <x:c r="X155" s="191"/>
      <x:c r="Y155" s="191"/>
      <x:c r="Z155" s="191"/>
      <x:c r="AA155" s="191"/>
      <x:c r="AB155" s="191"/>
      <x:c r="AC155" s="191"/>
      <x:c r="AD155" s="191"/>
      <x:c r="AE155" s="191"/>
      <x:c r="AF155" s="191"/>
      <x:c r="AG155" s="191"/>
      <x:c r="AH155" s="191"/>
      <x:c r="AI155" s="191"/>
      <x:c r="AJ155" s="191"/>
      <x:c r="AK155" s="191"/>
    </x:row>
    <x:row r="156">
      <x:c r="A156" s="191"/>
      <x:c r="B156" s="191"/>
      <x:c r="C156" s="191"/>
      <x:c r="D156" s="191"/>
      <x:c r="E156" s="191"/>
      <x:c r="F156" s="191"/>
      <x:c r="G156" s="191"/>
      <x:c r="H156" s="191"/>
      <x:c r="I156" s="191"/>
      <x:c r="J156" s="191"/>
      <x:c r="K156" s="191"/>
      <x:c r="L156" s="191"/>
      <x:c r="M156" s="191"/>
      <x:c r="N156" s="191"/>
      <x:c r="O156" s="191"/>
      <x:c r="P156" s="191"/>
      <x:c r="Q156" s="191"/>
      <x:c r="R156" s="191"/>
      <x:c r="S156" s="191"/>
      <x:c r="T156" s="191"/>
      <x:c r="U156" s="191"/>
      <x:c r="V156" s="191"/>
      <x:c r="W156" s="191"/>
      <x:c r="X156" s="191"/>
      <x:c r="Y156" s="191"/>
      <x:c r="Z156" s="191"/>
      <x:c r="AA156" s="191"/>
      <x:c r="AB156" s="191"/>
      <x:c r="AC156" s="191"/>
      <x:c r="AD156" s="191"/>
      <x:c r="AE156" s="191"/>
      <x:c r="AF156" s="191"/>
      <x:c r="AG156" s="191"/>
      <x:c r="AH156" s="191"/>
      <x:c r="AI156" s="191"/>
      <x:c r="AJ156" s="191"/>
      <x:c r="AK156" s="191"/>
    </x:row>
    <x:row r="157">
      <x:c r="A157" s="191"/>
      <x:c r="B157" s="191"/>
      <x:c r="C157" s="191"/>
      <x:c r="D157" s="191"/>
      <x:c r="E157" s="191"/>
      <x:c r="F157" s="191"/>
      <x:c r="G157" s="191"/>
      <x:c r="H157" s="191"/>
      <x:c r="I157" s="191"/>
      <x:c r="J157" s="191"/>
      <x:c r="K157" s="191"/>
      <x:c r="L157" s="191"/>
      <x:c r="M157" s="191"/>
      <x:c r="N157" s="191"/>
      <x:c r="O157" s="191"/>
      <x:c r="P157" s="191"/>
      <x:c r="Q157" s="191"/>
      <x:c r="R157" s="191"/>
      <x:c r="S157" s="191"/>
      <x:c r="T157" s="191"/>
      <x:c r="U157" s="191"/>
      <x:c r="V157" s="191"/>
      <x:c r="W157" s="191"/>
      <x:c r="X157" s="191"/>
      <x:c r="Y157" s="191"/>
      <x:c r="Z157" s="191"/>
      <x:c r="AA157" s="191"/>
      <x:c r="AB157" s="191"/>
      <x:c r="AC157" s="191"/>
      <x:c r="AD157" s="191"/>
      <x:c r="AE157" s="191"/>
      <x:c r="AF157" s="191"/>
      <x:c r="AG157" s="191"/>
      <x:c r="AH157" s="191"/>
      <x:c r="AI157" s="191"/>
      <x:c r="AJ157" s="191"/>
      <x:c r="AK157" s="191"/>
    </x:row>
    <x:row r="158">
      <x:c r="A158" s="191"/>
      <x:c r="B158" s="191"/>
      <x:c r="C158" s="191"/>
      <x:c r="D158" s="191"/>
      <x:c r="E158" s="191"/>
      <x:c r="F158" s="191"/>
      <x:c r="G158" s="191"/>
      <x:c r="H158" s="191"/>
      <x:c r="I158" s="191"/>
      <x:c r="J158" s="191"/>
      <x:c r="K158" s="191"/>
      <x:c r="L158" s="191"/>
      <x:c r="M158" s="191"/>
      <x:c r="N158" s="191"/>
      <x:c r="O158" s="191"/>
      <x:c r="P158" s="191"/>
      <x:c r="Q158" s="191"/>
      <x:c r="R158" s="191"/>
      <x:c r="S158" s="191"/>
      <x:c r="T158" s="191"/>
      <x:c r="U158" s="191"/>
      <x:c r="V158" s="191"/>
      <x:c r="W158" s="191"/>
      <x:c r="X158" s="191"/>
      <x:c r="Y158" s="191"/>
      <x:c r="Z158" s="191"/>
      <x:c r="AA158" s="191"/>
      <x:c r="AB158" s="191"/>
      <x:c r="AC158" s="191"/>
      <x:c r="AD158" s="191"/>
      <x:c r="AE158" s="191"/>
      <x:c r="AF158" s="191"/>
      <x:c r="AG158" s="191"/>
      <x:c r="AH158" s="191"/>
      <x:c r="AI158" s="191"/>
      <x:c r="AJ158" s="191"/>
      <x:c r="AK158" s="191"/>
    </x:row>
    <x:row r="159">
      <x:c r="A159" s="191"/>
      <x:c r="B159" s="191"/>
      <x:c r="C159" s="191"/>
      <x:c r="D159" s="191"/>
      <x:c r="E159" s="191"/>
      <x:c r="F159" s="191"/>
      <x:c r="G159" s="191"/>
      <x:c r="H159" s="191"/>
      <x:c r="I159" s="191"/>
      <x:c r="J159" s="191"/>
      <x:c r="K159" s="191"/>
      <x:c r="L159" s="191"/>
      <x:c r="M159" s="191"/>
      <x:c r="N159" s="191"/>
      <x:c r="O159" s="191"/>
      <x:c r="P159" s="191"/>
      <x:c r="Q159" s="191"/>
      <x:c r="R159" s="191"/>
      <x:c r="S159" s="191"/>
      <x:c r="T159" s="191"/>
      <x:c r="U159" s="191"/>
      <x:c r="V159" s="191"/>
      <x:c r="W159" s="191"/>
      <x:c r="X159" s="191"/>
      <x:c r="Y159" s="191"/>
      <x:c r="Z159" s="191"/>
      <x:c r="AA159" s="191"/>
      <x:c r="AB159" s="191"/>
      <x:c r="AC159" s="191"/>
      <x:c r="AD159" s="191"/>
      <x:c r="AE159" s="191"/>
      <x:c r="AF159" s="191"/>
      <x:c r="AG159" s="191"/>
      <x:c r="AH159" s="191"/>
      <x:c r="AI159" s="191"/>
      <x:c r="AJ159" s="191"/>
      <x:c r="AK159" s="191"/>
    </x:row>
    <x:row r="160">
      <x:c r="A160" s="191"/>
      <x:c r="B160" s="191"/>
      <x:c r="C160" s="191"/>
      <x:c r="D160" s="191"/>
      <x:c r="E160" s="191"/>
      <x:c r="F160" s="191"/>
      <x:c r="G160" s="191"/>
      <x:c r="H160" s="191"/>
      <x:c r="I160" s="191"/>
      <x:c r="J160" s="191"/>
      <x:c r="K160" s="191"/>
      <x:c r="L160" s="191"/>
      <x:c r="M160" s="191"/>
      <x:c r="N160" s="191"/>
      <x:c r="O160" s="191"/>
      <x:c r="P160" s="191"/>
      <x:c r="Q160" s="191"/>
      <x:c r="R160" s="191"/>
      <x:c r="S160" s="191"/>
      <x:c r="T160" s="191"/>
      <x:c r="U160" s="191"/>
      <x:c r="V160" s="191"/>
      <x:c r="W160" s="191"/>
      <x:c r="X160" s="191"/>
      <x:c r="Y160" s="191"/>
      <x:c r="Z160" s="191"/>
      <x:c r="AA160" s="191"/>
      <x:c r="AB160" s="191"/>
      <x:c r="AC160" s="191"/>
      <x:c r="AD160" s="191"/>
      <x:c r="AE160" s="191"/>
      <x:c r="AF160" s="191"/>
      <x:c r="AG160" s="191"/>
      <x:c r="AH160" s="191"/>
      <x:c r="AI160" s="191"/>
      <x:c r="AJ160" s="191"/>
      <x:c r="AK160" s="191"/>
    </x:row>
    <x:row r="161">
      <x:c r="A161" s="191"/>
      <x:c r="B161" s="191"/>
      <x:c r="C161" s="191"/>
      <x:c r="D161" s="191"/>
      <x:c r="E161" s="191"/>
      <x:c r="F161" s="191"/>
      <x:c r="G161" s="191"/>
      <x:c r="H161" s="191"/>
      <x:c r="I161" s="191"/>
      <x:c r="J161" s="191"/>
      <x:c r="K161" s="191"/>
      <x:c r="L161" s="191"/>
      <x:c r="M161" s="191"/>
      <x:c r="N161" s="191"/>
      <x:c r="O161" s="191"/>
      <x:c r="P161" s="191"/>
      <x:c r="Q161" s="191"/>
      <x:c r="R161" s="191"/>
      <x:c r="S161" s="191"/>
      <x:c r="T161" s="191"/>
      <x:c r="U161" s="191"/>
      <x:c r="V161" s="191"/>
      <x:c r="W161" s="191"/>
      <x:c r="X161" s="191"/>
      <x:c r="Y161" s="191"/>
      <x:c r="Z161" s="191"/>
      <x:c r="AA161" s="191"/>
      <x:c r="AB161" s="191"/>
      <x:c r="AC161" s="191"/>
      <x:c r="AD161" s="191"/>
      <x:c r="AE161" s="191"/>
      <x:c r="AF161" s="191"/>
      <x:c r="AG161" s="191"/>
      <x:c r="AH161" s="191"/>
      <x:c r="AI161" s="191"/>
      <x:c r="AJ161" s="191"/>
      <x:c r="AK161" s="191"/>
    </x:row>
    <x:row r="162">
      <x:c r="A162" s="191"/>
      <x:c r="B162" s="191"/>
      <x:c r="C162" s="191"/>
      <x:c r="D162" s="191"/>
      <x:c r="E162" s="191"/>
      <x:c r="F162" s="191"/>
      <x:c r="G162" s="191"/>
      <x:c r="H162" s="191"/>
      <x:c r="I162" s="191"/>
      <x:c r="J162" s="191"/>
      <x:c r="K162" s="191"/>
      <x:c r="L162" s="191"/>
      <x:c r="M162" s="191"/>
      <x:c r="N162" s="191"/>
      <x:c r="O162" s="191"/>
      <x:c r="P162" s="191"/>
      <x:c r="Q162" s="191"/>
      <x:c r="R162" s="191"/>
      <x:c r="S162" s="191"/>
      <x:c r="T162" s="191"/>
      <x:c r="U162" s="191"/>
      <x:c r="V162" s="191"/>
      <x:c r="W162" s="191"/>
      <x:c r="X162" s="191"/>
      <x:c r="Y162" s="191"/>
      <x:c r="Z162" s="191"/>
      <x:c r="AA162" s="191"/>
      <x:c r="AB162" s="191"/>
      <x:c r="AC162" s="191"/>
      <x:c r="AD162" s="191"/>
      <x:c r="AE162" s="191"/>
      <x:c r="AF162" s="191"/>
      <x:c r="AG162" s="191"/>
      <x:c r="AH162" s="191"/>
      <x:c r="AI162" s="191"/>
      <x:c r="AJ162" s="191"/>
      <x:c r="AK162" s="191"/>
    </x:row>
    <x:row r="163">
      <x:c r="A163" s="191"/>
      <x:c r="B163" s="191"/>
      <x:c r="C163" s="191"/>
      <x:c r="D163" s="191"/>
      <x:c r="E163" s="191"/>
      <x:c r="F163" s="191"/>
      <x:c r="G163" s="191"/>
      <x:c r="H163" s="191"/>
      <x:c r="I163" s="191"/>
      <x:c r="J163" s="191"/>
      <x:c r="K163" s="191"/>
      <x:c r="L163" s="191"/>
      <x:c r="M163" s="191"/>
      <x:c r="N163" s="191"/>
      <x:c r="O163" s="191"/>
      <x:c r="P163" s="191"/>
      <x:c r="Q163" s="191"/>
      <x:c r="R163" s="191"/>
      <x:c r="S163" s="191"/>
      <x:c r="T163" s="191"/>
      <x:c r="U163" s="191"/>
      <x:c r="V163" s="191"/>
      <x:c r="W163" s="191"/>
      <x:c r="X163" s="191"/>
      <x:c r="Y163" s="191"/>
      <x:c r="Z163" s="191"/>
      <x:c r="AA163" s="191"/>
      <x:c r="AB163" s="191"/>
      <x:c r="AC163" s="191"/>
      <x:c r="AD163" s="191"/>
      <x:c r="AE163" s="191"/>
      <x:c r="AF163" s="191"/>
      <x:c r="AG163" s="191"/>
      <x:c r="AH163" s="191"/>
      <x:c r="AI163" s="191"/>
      <x:c r="AJ163" s="191"/>
      <x:c r="AK163" s="191"/>
    </x:row>
    <x:row r="164">
      <x:c r="A164" s="191"/>
      <x:c r="B164" s="191"/>
      <x:c r="C164" s="191"/>
      <x:c r="D164" s="191"/>
      <x:c r="E164" s="191"/>
      <x:c r="F164" s="191"/>
      <x:c r="G164" s="191"/>
      <x:c r="H164" s="191"/>
      <x:c r="I164" s="191"/>
      <x:c r="J164" s="191"/>
      <x:c r="K164" s="191"/>
      <x:c r="L164" s="191"/>
      <x:c r="M164" s="191"/>
      <x:c r="N164" s="191"/>
      <x:c r="O164" s="191"/>
      <x:c r="P164" s="191"/>
      <x:c r="Q164" s="191"/>
      <x:c r="R164" s="191"/>
      <x:c r="S164" s="191"/>
      <x:c r="T164" s="191"/>
      <x:c r="U164" s="191"/>
      <x:c r="V164" s="191"/>
      <x:c r="W164" s="191"/>
      <x:c r="X164" s="191"/>
      <x:c r="Y164" s="191"/>
      <x:c r="Z164" s="191"/>
      <x:c r="AA164" s="191"/>
      <x:c r="AB164" s="191"/>
      <x:c r="AC164" s="191"/>
      <x:c r="AD164" s="191"/>
      <x:c r="AE164" s="191"/>
      <x:c r="AF164" s="191"/>
      <x:c r="AG164" s="191"/>
      <x:c r="AH164" s="191"/>
      <x:c r="AI164" s="191"/>
      <x:c r="AJ164" s="191"/>
      <x:c r="AK164" s="191"/>
    </x:row>
    <x:row r="165">
      <x:c r="A165" s="191"/>
      <x:c r="B165" s="191"/>
      <x:c r="C165" s="191"/>
      <x:c r="D165" s="191"/>
      <x:c r="E165" s="191"/>
      <x:c r="F165" s="191"/>
      <x:c r="G165" s="191"/>
      <x:c r="H165" s="191"/>
      <x:c r="I165" s="191"/>
      <x:c r="J165" s="191"/>
      <x:c r="K165" s="191"/>
      <x:c r="L165" s="191"/>
      <x:c r="M165" s="191"/>
      <x:c r="N165" s="191"/>
      <x:c r="O165" s="191"/>
      <x:c r="P165" s="191"/>
      <x:c r="Q165" s="191"/>
      <x:c r="R165" s="191"/>
      <x:c r="S165" s="191"/>
      <x:c r="T165" s="191"/>
      <x:c r="U165" s="191"/>
      <x:c r="V165" s="191"/>
      <x:c r="W165" s="191"/>
      <x:c r="X165" s="191"/>
      <x:c r="Y165" s="191"/>
      <x:c r="Z165" s="191"/>
      <x:c r="AA165" s="191"/>
      <x:c r="AB165" s="191"/>
      <x:c r="AC165" s="191"/>
      <x:c r="AD165" s="191"/>
      <x:c r="AE165" s="191"/>
      <x:c r="AF165" s="191"/>
      <x:c r="AG165" s="191"/>
      <x:c r="AH165" s="191"/>
      <x:c r="AI165" s="191"/>
      <x:c r="AJ165" s="191"/>
      <x:c r="AK165" s="191"/>
    </x:row>
    <x:row r="166">
      <x:c r="A166" s="191"/>
      <x:c r="B166" s="191"/>
      <x:c r="C166" s="191"/>
      <x:c r="D166" s="191"/>
      <x:c r="E166" s="191"/>
      <x:c r="F166" s="191"/>
      <x:c r="G166" s="191"/>
      <x:c r="H166" s="191"/>
      <x:c r="I166" s="191"/>
      <x:c r="J166" s="191"/>
      <x:c r="K166" s="191"/>
      <x:c r="L166" s="191"/>
      <x:c r="M166" s="191"/>
      <x:c r="N166" s="191"/>
      <x:c r="O166" s="191"/>
      <x:c r="P166" s="191"/>
      <x:c r="Q166" s="191"/>
      <x:c r="R166" s="191"/>
      <x:c r="S166" s="191"/>
      <x:c r="T166" s="191"/>
      <x:c r="U166" s="191"/>
      <x:c r="V166" s="191"/>
      <x:c r="W166" s="191"/>
      <x:c r="X166" s="191"/>
      <x:c r="Y166" s="191"/>
      <x:c r="Z166" s="191"/>
      <x:c r="AA166" s="191"/>
      <x:c r="AB166" s="191"/>
      <x:c r="AC166" s="191"/>
      <x:c r="AD166" s="191"/>
      <x:c r="AE166" s="191"/>
      <x:c r="AF166" s="191"/>
      <x:c r="AG166" s="191"/>
      <x:c r="AH166" s="191"/>
      <x:c r="AI166" s="191"/>
      <x:c r="AJ166" s="191"/>
      <x:c r="AK166" s="191"/>
    </x:row>
    <x:row r="167">
      <x:c r="A167" s="191"/>
      <x:c r="B167" s="191"/>
      <x:c r="C167" s="191"/>
      <x:c r="D167" s="191"/>
      <x:c r="E167" s="191"/>
      <x:c r="F167" s="191"/>
      <x:c r="G167" s="191"/>
      <x:c r="H167" s="191"/>
      <x:c r="I167" s="191"/>
      <x:c r="J167" s="191"/>
      <x:c r="K167" s="191"/>
      <x:c r="L167" s="191"/>
      <x:c r="M167" s="191"/>
      <x:c r="N167" s="191"/>
      <x:c r="O167" s="191"/>
      <x:c r="P167" s="191"/>
      <x:c r="Q167" s="191"/>
      <x:c r="R167" s="191"/>
      <x:c r="S167" s="191"/>
      <x:c r="T167" s="191"/>
      <x:c r="U167" s="191"/>
      <x:c r="V167" s="191"/>
      <x:c r="W167" s="191"/>
      <x:c r="X167" s="191"/>
      <x:c r="Y167" s="191"/>
      <x:c r="Z167" s="191"/>
      <x:c r="AA167" s="191"/>
      <x:c r="AB167" s="191"/>
      <x:c r="AC167" s="191"/>
      <x:c r="AD167" s="191"/>
      <x:c r="AE167" s="191"/>
      <x:c r="AF167" s="191"/>
      <x:c r="AG167" s="191"/>
      <x:c r="AH167" s="191"/>
      <x:c r="AI167" s="191"/>
      <x:c r="AJ167" s="191"/>
      <x:c r="AK167" s="191"/>
    </x:row>
    <x:row r="168">
      <x:c r="A168" s="191"/>
      <x:c r="B168" s="191"/>
      <x:c r="C168" s="191"/>
      <x:c r="D168" s="191"/>
      <x:c r="E168" s="191"/>
      <x:c r="F168" s="191"/>
      <x:c r="G168" s="191"/>
      <x:c r="H168" s="191"/>
      <x:c r="I168" s="191"/>
      <x:c r="J168" s="191"/>
      <x:c r="K168" s="191"/>
      <x:c r="L168" s="191"/>
      <x:c r="M168" s="191"/>
      <x:c r="N168" s="191"/>
      <x:c r="O168" s="191"/>
      <x:c r="P168" s="191"/>
      <x:c r="Q168" s="191"/>
      <x:c r="R168" s="191"/>
      <x:c r="S168" s="191"/>
      <x:c r="T168" s="191"/>
      <x:c r="U168" s="191"/>
      <x:c r="V168" s="191"/>
      <x:c r="W168" s="191"/>
      <x:c r="X168" s="191"/>
      <x:c r="Y168" s="191"/>
      <x:c r="Z168" s="191"/>
      <x:c r="AA168" s="191"/>
      <x:c r="AB168" s="191"/>
      <x:c r="AC168" s="191"/>
      <x:c r="AD168" s="191"/>
      <x:c r="AE168" s="191"/>
      <x:c r="AF168" s="191"/>
      <x:c r="AG168" s="191"/>
      <x:c r="AH168" s="191"/>
      <x:c r="AI168" s="191"/>
      <x:c r="AJ168" s="191"/>
      <x:c r="AK168" s="191"/>
    </x:row>
    <x:row r="169">
      <x:c r="A169" s="191"/>
      <x:c r="B169" s="191"/>
      <x:c r="C169" s="191"/>
      <x:c r="D169" s="191"/>
      <x:c r="E169" s="191"/>
      <x:c r="F169" s="191"/>
      <x:c r="G169" s="191"/>
      <x:c r="H169" s="191"/>
      <x:c r="I169" s="191"/>
      <x:c r="J169" s="191"/>
      <x:c r="K169" s="191"/>
      <x:c r="L169" s="191"/>
      <x:c r="M169" s="191"/>
      <x:c r="N169" s="191"/>
      <x:c r="O169" s="191"/>
      <x:c r="P169" s="191"/>
      <x:c r="Q169" s="191"/>
      <x:c r="R169" s="191"/>
      <x:c r="S169" s="191"/>
      <x:c r="T169" s="191"/>
      <x:c r="U169" s="191"/>
      <x:c r="V169" s="191"/>
      <x:c r="W169" s="191"/>
      <x:c r="X169" s="191"/>
      <x:c r="Y169" s="191"/>
      <x:c r="Z169" s="191"/>
      <x:c r="AA169" s="191"/>
      <x:c r="AB169" s="191"/>
      <x:c r="AC169" s="191"/>
      <x:c r="AD169" s="191"/>
      <x:c r="AE169" s="191"/>
      <x:c r="AF169" s="191"/>
      <x:c r="AG169" s="191"/>
      <x:c r="AH169" s="191"/>
      <x:c r="AI169" s="191"/>
      <x:c r="AJ169" s="191"/>
      <x:c r="AK169" s="191"/>
    </x:row>
    <x:row r="170">
      <x:c r="A170" s="191"/>
      <x:c r="B170" s="191"/>
      <x:c r="C170" s="191"/>
      <x:c r="D170" s="191"/>
      <x:c r="E170" s="191"/>
      <x:c r="F170" s="191"/>
      <x:c r="G170" s="191"/>
      <x:c r="H170" s="191"/>
      <x:c r="I170" s="191"/>
      <x:c r="J170" s="191"/>
      <x:c r="K170" s="191"/>
      <x:c r="L170" s="191"/>
      <x:c r="M170" s="191"/>
      <x:c r="N170" s="191"/>
      <x:c r="O170" s="191"/>
      <x:c r="P170" s="191"/>
      <x:c r="Q170" s="191"/>
      <x:c r="R170" s="191"/>
      <x:c r="S170" s="191"/>
      <x:c r="T170" s="191"/>
      <x:c r="U170" s="191"/>
      <x:c r="V170" s="191"/>
      <x:c r="W170" s="191"/>
      <x:c r="X170" s="191"/>
      <x:c r="Y170" s="191"/>
      <x:c r="Z170" s="191"/>
      <x:c r="AA170" s="191"/>
      <x:c r="AB170" s="191"/>
      <x:c r="AC170" s="191"/>
      <x:c r="AD170" s="191"/>
      <x:c r="AE170" s="191"/>
      <x:c r="AF170" s="191"/>
      <x:c r="AG170" s="191"/>
      <x:c r="AH170" s="191"/>
      <x:c r="AI170" s="191"/>
      <x:c r="AJ170" s="191"/>
      <x:c r="AK170" s="191"/>
    </x:row>
    <x:row r="171">
      <x:c r="A171" s="191"/>
      <x:c r="B171" s="191"/>
      <x:c r="C171" s="191"/>
      <x:c r="D171" s="191"/>
      <x:c r="E171" s="191"/>
      <x:c r="F171" s="191"/>
      <x:c r="G171" s="191"/>
      <x:c r="H171" s="191"/>
      <x:c r="I171" s="191"/>
      <x:c r="J171" s="191"/>
      <x:c r="K171" s="191"/>
      <x:c r="L171" s="191"/>
      <x:c r="M171" s="191"/>
      <x:c r="N171" s="191"/>
      <x:c r="O171" s="191"/>
      <x:c r="P171" s="191"/>
      <x:c r="Q171" s="191"/>
      <x:c r="R171" s="191"/>
      <x:c r="S171" s="191"/>
      <x:c r="T171" s="191"/>
      <x:c r="U171" s="191"/>
      <x:c r="V171" s="191"/>
      <x:c r="W171" s="191"/>
      <x:c r="X171" s="191"/>
      <x:c r="Y171" s="191"/>
      <x:c r="Z171" s="191"/>
      <x:c r="AA171" s="191"/>
      <x:c r="AB171" s="191"/>
      <x:c r="AC171" s="191"/>
      <x:c r="AD171" s="191"/>
      <x:c r="AE171" s="191"/>
      <x:c r="AF171" s="191"/>
      <x:c r="AG171" s="191"/>
      <x:c r="AH171" s="191"/>
      <x:c r="AI171" s="191"/>
      <x:c r="AJ171" s="191"/>
      <x:c r="AK171" s="191"/>
    </x:row>
    <x:row r="172">
      <x:c r="A172" s="191"/>
      <x:c r="B172" s="191"/>
      <x:c r="C172" s="191"/>
      <x:c r="D172" s="191"/>
      <x:c r="E172" s="191"/>
      <x:c r="F172" s="191"/>
      <x:c r="G172" s="191"/>
      <x:c r="H172" s="191"/>
      <x:c r="I172" s="191"/>
      <x:c r="J172" s="191"/>
      <x:c r="K172" s="191"/>
      <x:c r="L172" s="191"/>
      <x:c r="M172" s="191"/>
      <x:c r="N172" s="191"/>
      <x:c r="O172" s="191"/>
      <x:c r="P172" s="191"/>
      <x:c r="Q172" s="191"/>
      <x:c r="R172" s="191"/>
      <x:c r="S172" s="191"/>
      <x:c r="T172" s="191"/>
      <x:c r="U172" s="191"/>
      <x:c r="V172" s="191"/>
      <x:c r="W172" s="191"/>
      <x:c r="X172" s="191"/>
      <x:c r="Y172" s="191"/>
      <x:c r="Z172" s="191"/>
      <x:c r="AA172" s="191"/>
      <x:c r="AB172" s="191"/>
      <x:c r="AC172" s="191"/>
      <x:c r="AD172" s="191"/>
      <x:c r="AE172" s="191"/>
      <x:c r="AF172" s="191"/>
      <x:c r="AG172" s="191"/>
      <x:c r="AH172" s="191"/>
      <x:c r="AI172" s="191"/>
      <x:c r="AJ172" s="191"/>
      <x:c r="AK172" s="191"/>
    </x:row>
    <x:row r="173">
      <x:c r="A173" s="191"/>
      <x:c r="B173" s="191"/>
      <x:c r="C173" s="191"/>
      <x:c r="D173" s="191"/>
      <x:c r="E173" s="191"/>
      <x:c r="F173" s="191"/>
      <x:c r="G173" s="191"/>
      <x:c r="H173" s="191"/>
      <x:c r="I173" s="191"/>
      <x:c r="J173" s="191"/>
      <x:c r="K173" s="191"/>
      <x:c r="L173" s="191"/>
      <x:c r="M173" s="191"/>
      <x:c r="N173" s="191"/>
      <x:c r="O173" s="191"/>
      <x:c r="P173" s="191"/>
      <x:c r="Q173" s="191"/>
      <x:c r="R173" s="191"/>
      <x:c r="S173" s="191"/>
      <x:c r="T173" s="191"/>
      <x:c r="U173" s="191"/>
      <x:c r="V173" s="191"/>
      <x:c r="W173" s="191"/>
      <x:c r="X173" s="191"/>
      <x:c r="Y173" s="191"/>
      <x:c r="Z173" s="191"/>
      <x:c r="AA173" s="191"/>
      <x:c r="AB173" s="191"/>
      <x:c r="AC173" s="191"/>
      <x:c r="AD173" s="191"/>
      <x:c r="AE173" s="191"/>
      <x:c r="AF173" s="191"/>
      <x:c r="AG173" s="191"/>
      <x:c r="AH173" s="191"/>
      <x:c r="AI173" s="191"/>
      <x:c r="AJ173" s="191"/>
      <x:c r="AK173" s="191"/>
    </x:row>
    <x:row r="174">
      <x:c r="A174" s="191"/>
      <x:c r="B174" s="191"/>
      <x:c r="C174" s="191"/>
      <x:c r="D174" s="191"/>
      <x:c r="E174" s="191"/>
      <x:c r="F174" s="191"/>
      <x:c r="G174" s="191"/>
      <x:c r="H174" s="191"/>
      <x:c r="I174" s="191"/>
      <x:c r="J174" s="191"/>
      <x:c r="K174" s="191"/>
      <x:c r="L174" s="191"/>
      <x:c r="M174" s="191"/>
      <x:c r="N174" s="191"/>
      <x:c r="O174" s="191"/>
      <x:c r="P174" s="191"/>
      <x:c r="Q174" s="191"/>
      <x:c r="R174" s="191"/>
      <x:c r="S174" s="191"/>
      <x:c r="T174" s="191"/>
      <x:c r="U174" s="191"/>
      <x:c r="V174" s="191"/>
      <x:c r="W174" s="191"/>
      <x:c r="X174" s="191"/>
      <x:c r="Y174" s="191"/>
      <x:c r="Z174" s="191"/>
      <x:c r="AA174" s="191"/>
      <x:c r="AB174" s="191"/>
      <x:c r="AC174" s="191"/>
      <x:c r="AD174" s="191"/>
      <x:c r="AE174" s="191"/>
      <x:c r="AF174" s="191"/>
      <x:c r="AG174" s="191"/>
      <x:c r="AH174" s="191"/>
      <x:c r="AI174" s="191"/>
      <x:c r="AJ174" s="191"/>
      <x:c r="AK174" s="191"/>
    </x:row>
    <x:row r="175">
      <x:c r="A175" s="191"/>
      <x:c r="B175" s="191"/>
      <x:c r="C175" s="191"/>
      <x:c r="D175" s="191"/>
      <x:c r="E175" s="191"/>
      <x:c r="F175" s="191"/>
      <x:c r="G175" s="191"/>
      <x:c r="H175" s="191"/>
      <x:c r="I175" s="191"/>
      <x:c r="J175" s="191"/>
      <x:c r="K175" s="191"/>
      <x:c r="L175" s="191"/>
      <x:c r="M175" s="191"/>
      <x:c r="N175" s="191"/>
      <x:c r="O175" s="191"/>
      <x:c r="P175" s="191"/>
      <x:c r="Q175" s="191"/>
      <x:c r="R175" s="191"/>
      <x:c r="S175" s="191"/>
      <x:c r="T175" s="191"/>
      <x:c r="U175" s="191"/>
      <x:c r="V175" s="191"/>
      <x:c r="W175" s="191"/>
      <x:c r="X175" s="191"/>
      <x:c r="Y175" s="191"/>
      <x:c r="Z175" s="191"/>
      <x:c r="AA175" s="191"/>
      <x:c r="AB175" s="191"/>
      <x:c r="AC175" s="191"/>
      <x:c r="AD175" s="191"/>
      <x:c r="AE175" s="191"/>
      <x:c r="AF175" s="191"/>
      <x:c r="AG175" s="191"/>
      <x:c r="AH175" s="191"/>
      <x:c r="AI175" s="191"/>
      <x:c r="AJ175" s="191"/>
      <x:c r="AK175" s="191"/>
    </x:row>
    <x:row r="176">
      <x:c r="A176" s="191"/>
      <x:c r="B176" s="191"/>
      <x:c r="C176" s="191"/>
      <x:c r="D176" s="191"/>
      <x:c r="E176" s="191"/>
      <x:c r="F176" s="191"/>
      <x:c r="G176" s="191"/>
      <x:c r="H176" s="191"/>
      <x:c r="I176" s="191"/>
      <x:c r="J176" s="191"/>
      <x:c r="K176" s="191"/>
      <x:c r="L176" s="191"/>
      <x:c r="M176" s="191"/>
      <x:c r="N176" s="191"/>
      <x:c r="O176" s="191"/>
      <x:c r="P176" s="191"/>
      <x:c r="Q176" s="191"/>
      <x:c r="R176" s="191"/>
      <x:c r="S176" s="191"/>
      <x:c r="T176" s="191"/>
      <x:c r="U176" s="191"/>
      <x:c r="V176" s="191"/>
      <x:c r="W176" s="191"/>
      <x:c r="X176" s="191"/>
      <x:c r="Y176" s="191"/>
      <x:c r="Z176" s="191"/>
      <x:c r="AA176" s="191"/>
      <x:c r="AB176" s="191"/>
      <x:c r="AC176" s="191"/>
      <x:c r="AD176" s="191"/>
      <x:c r="AE176" s="191"/>
      <x:c r="AF176" s="191"/>
      <x:c r="AG176" s="191"/>
      <x:c r="AH176" s="191"/>
      <x:c r="AI176" s="191"/>
      <x:c r="AJ176" s="191"/>
      <x:c r="AK176" s="191"/>
    </x:row>
    <x:row r="177">
      <x:c r="A177" s="191"/>
      <x:c r="B177" s="191"/>
      <x:c r="C177" s="191"/>
      <x:c r="D177" s="191"/>
      <x:c r="E177" s="191"/>
      <x:c r="F177" s="191"/>
      <x:c r="G177" s="191"/>
      <x:c r="H177" s="191"/>
      <x:c r="I177" s="191"/>
      <x:c r="J177" s="191"/>
      <x:c r="K177" s="191"/>
      <x:c r="L177" s="191"/>
      <x:c r="M177" s="191"/>
      <x:c r="N177" s="191"/>
      <x:c r="O177" s="191"/>
      <x:c r="P177" s="191"/>
      <x:c r="Q177" s="191"/>
      <x:c r="R177" s="191"/>
      <x:c r="S177" s="191"/>
      <x:c r="T177" s="191"/>
      <x:c r="U177" s="191"/>
      <x:c r="V177" s="191"/>
      <x:c r="W177" s="191"/>
      <x:c r="X177" s="191"/>
      <x:c r="Y177" s="191"/>
      <x:c r="Z177" s="191"/>
      <x:c r="AA177" s="191"/>
      <x:c r="AB177" s="191"/>
      <x:c r="AC177" s="191"/>
      <x:c r="AD177" s="191"/>
      <x:c r="AE177" s="191"/>
      <x:c r="AF177" s="191"/>
      <x:c r="AG177" s="191"/>
      <x:c r="AH177" s="191"/>
      <x:c r="AI177" s="191"/>
      <x:c r="AJ177" s="191"/>
      <x:c r="AK177" s="191"/>
    </x:row>
    <x:row r="178">
      <x:c r="A178" s="191"/>
      <x:c r="B178" s="191"/>
      <x:c r="C178" s="191"/>
      <x:c r="D178" s="191"/>
      <x:c r="E178" s="191"/>
      <x:c r="F178" s="191"/>
      <x:c r="G178" s="191"/>
      <x:c r="H178" s="191"/>
      <x:c r="I178" s="191"/>
      <x:c r="J178" s="191"/>
      <x:c r="K178" s="191"/>
      <x:c r="L178" s="191"/>
      <x:c r="M178" s="191"/>
      <x:c r="N178" s="191"/>
      <x:c r="O178" s="191"/>
      <x:c r="P178" s="191"/>
      <x:c r="Q178" s="191"/>
      <x:c r="R178" s="191"/>
      <x:c r="S178" s="191"/>
      <x:c r="T178" s="191"/>
      <x:c r="U178" s="191"/>
      <x:c r="V178" s="191"/>
      <x:c r="W178" s="191"/>
      <x:c r="X178" s="191"/>
      <x:c r="Y178" s="191"/>
      <x:c r="Z178" s="191"/>
      <x:c r="AA178" s="191"/>
      <x:c r="AB178" s="191"/>
      <x:c r="AC178" s="191"/>
      <x:c r="AD178" s="191"/>
      <x:c r="AE178" s="191"/>
      <x:c r="AF178" s="191"/>
      <x:c r="AG178" s="191"/>
      <x:c r="AH178" s="191"/>
      <x:c r="AI178" s="191"/>
      <x:c r="AJ178" s="191"/>
      <x:c r="AK178" s="191"/>
    </x:row>
    <x:row r="179">
      <x:c r="A179" s="191"/>
      <x:c r="B179" s="191"/>
      <x:c r="C179" s="191"/>
      <x:c r="D179" s="191"/>
      <x:c r="E179" s="191"/>
      <x:c r="F179" s="191"/>
      <x:c r="G179" s="191"/>
      <x:c r="H179" s="191"/>
      <x:c r="I179" s="191"/>
      <x:c r="J179" s="191"/>
      <x:c r="K179" s="191"/>
      <x:c r="L179" s="191"/>
      <x:c r="M179" s="191"/>
      <x:c r="N179" s="191"/>
      <x:c r="O179" s="191"/>
      <x:c r="P179" s="191"/>
      <x:c r="Q179" s="191"/>
      <x:c r="R179" s="191"/>
      <x:c r="S179" s="191"/>
      <x:c r="T179" s="191"/>
      <x:c r="U179" s="191"/>
      <x:c r="V179" s="191"/>
      <x:c r="W179" s="191"/>
      <x:c r="X179" s="191"/>
      <x:c r="Y179" s="191"/>
      <x:c r="Z179" s="191"/>
      <x:c r="AA179" s="191"/>
      <x:c r="AB179" s="191"/>
      <x:c r="AC179" s="191"/>
      <x:c r="AD179" s="191"/>
      <x:c r="AE179" s="191"/>
      <x:c r="AF179" s="191"/>
      <x:c r="AG179" s="191"/>
      <x:c r="AH179" s="191"/>
      <x:c r="AI179" s="191"/>
      <x:c r="AJ179" s="191"/>
      <x:c r="AK179" s="191"/>
    </x:row>
    <x:row r="180">
      <x:c r="A180" s="191"/>
      <x:c r="B180" s="191"/>
      <x:c r="C180" s="191"/>
      <x:c r="D180" s="191"/>
      <x:c r="E180" s="191"/>
      <x:c r="F180" s="191"/>
      <x:c r="G180" s="191"/>
      <x:c r="H180" s="191"/>
      <x:c r="I180" s="191"/>
      <x:c r="J180" s="191"/>
      <x:c r="K180" s="191"/>
      <x:c r="L180" s="191"/>
      <x:c r="M180" s="191"/>
      <x:c r="N180" s="191"/>
      <x:c r="O180" s="191"/>
      <x:c r="P180" s="191"/>
      <x:c r="Q180" s="191"/>
      <x:c r="R180" s="191"/>
      <x:c r="S180" s="191"/>
      <x:c r="T180" s="191"/>
      <x:c r="U180" s="191"/>
      <x:c r="V180" s="191"/>
      <x:c r="W180" s="191"/>
      <x:c r="X180" s="191"/>
      <x:c r="Y180" s="191"/>
      <x:c r="Z180" s="191"/>
      <x:c r="AA180" s="191"/>
      <x:c r="AB180" s="191"/>
      <x:c r="AC180" s="191"/>
      <x:c r="AD180" s="191"/>
      <x:c r="AE180" s="191"/>
      <x:c r="AF180" s="191"/>
      <x:c r="AG180" s="191"/>
      <x:c r="AH180" s="191"/>
      <x:c r="AI180" s="191"/>
      <x:c r="AJ180" s="191"/>
      <x:c r="AK180" s="191"/>
    </x:row>
    <x:row r="181">
      <x:c r="A181" s="191"/>
      <x:c r="B181" s="191"/>
      <x:c r="C181" s="191"/>
      <x:c r="D181" s="191"/>
      <x:c r="E181" s="191"/>
      <x:c r="F181" s="191"/>
      <x:c r="G181" s="191"/>
      <x:c r="H181" s="191"/>
      <x:c r="I181" s="191"/>
      <x:c r="J181" s="191"/>
      <x:c r="K181" s="191"/>
      <x:c r="L181" s="191"/>
      <x:c r="M181" s="191"/>
      <x:c r="N181" s="191"/>
      <x:c r="O181" s="191"/>
      <x:c r="P181" s="191"/>
      <x:c r="Q181" s="191"/>
      <x:c r="R181" s="191"/>
      <x:c r="S181" s="191"/>
      <x:c r="T181" s="191"/>
      <x:c r="U181" s="191"/>
      <x:c r="V181" s="191"/>
      <x:c r="W181" s="191"/>
      <x:c r="X181" s="191"/>
      <x:c r="Y181" s="191"/>
      <x:c r="Z181" s="191"/>
      <x:c r="AA181" s="191"/>
      <x:c r="AB181" s="191"/>
      <x:c r="AC181" s="191"/>
      <x:c r="AD181" s="191"/>
      <x:c r="AE181" s="191"/>
      <x:c r="AF181" s="191"/>
      <x:c r="AG181" s="191"/>
      <x:c r="AH181" s="191"/>
      <x:c r="AI181" s="191"/>
      <x:c r="AJ181" s="191"/>
      <x:c r="AK181" s="191"/>
    </x:row>
    <x:row r="182">
      <x:c r="A182" s="191"/>
      <x:c r="B182" s="191"/>
      <x:c r="C182" s="191"/>
      <x:c r="D182" s="191"/>
      <x:c r="E182" s="191"/>
      <x:c r="F182" s="191"/>
      <x:c r="G182" s="191"/>
      <x:c r="H182" s="191"/>
      <x:c r="I182" s="191"/>
      <x:c r="J182" s="191"/>
      <x:c r="K182" s="191"/>
      <x:c r="L182" s="191"/>
      <x:c r="M182" s="191"/>
      <x:c r="N182" s="191"/>
      <x:c r="O182" s="191"/>
      <x:c r="P182" s="191"/>
      <x:c r="Q182" s="191"/>
      <x:c r="R182" s="191"/>
      <x:c r="S182" s="191"/>
      <x:c r="T182" s="191"/>
      <x:c r="U182" s="191"/>
      <x:c r="V182" s="191"/>
      <x:c r="W182" s="191"/>
      <x:c r="X182" s="191"/>
      <x:c r="Y182" s="191"/>
      <x:c r="Z182" s="191"/>
      <x:c r="AA182" s="191"/>
      <x:c r="AB182" s="191"/>
      <x:c r="AC182" s="191"/>
      <x:c r="AD182" s="191"/>
      <x:c r="AE182" s="191"/>
      <x:c r="AF182" s="191"/>
      <x:c r="AG182" s="191"/>
      <x:c r="AH182" s="191"/>
      <x:c r="AI182" s="191"/>
      <x:c r="AJ182" s="191"/>
      <x:c r="AK182" s="191"/>
    </x:row>
    <x:row r="183">
      <x:c r="A183" s="191"/>
      <x:c r="B183" s="191"/>
      <x:c r="C183" s="191"/>
      <x:c r="D183" s="191"/>
      <x:c r="E183" s="191"/>
      <x:c r="F183" s="191"/>
      <x:c r="G183" s="191"/>
      <x:c r="H183" s="191"/>
      <x:c r="I183" s="191"/>
      <x:c r="J183" s="191"/>
      <x:c r="K183" s="191"/>
      <x:c r="L183" s="191"/>
      <x:c r="M183" s="191"/>
      <x:c r="N183" s="191"/>
      <x:c r="O183" s="191"/>
      <x:c r="P183" s="191"/>
      <x:c r="Q183" s="191"/>
      <x:c r="R183" s="191"/>
      <x:c r="S183" s="191"/>
      <x:c r="T183" s="191"/>
      <x:c r="U183" s="191"/>
      <x:c r="V183" s="191"/>
      <x:c r="W183" s="191"/>
      <x:c r="X183" s="191"/>
      <x:c r="Y183" s="191"/>
      <x:c r="Z183" s="191"/>
      <x:c r="AA183" s="191"/>
      <x:c r="AB183" s="191"/>
      <x:c r="AC183" s="191"/>
      <x:c r="AD183" s="191"/>
      <x:c r="AE183" s="191"/>
      <x:c r="AF183" s="191"/>
      <x:c r="AG183" s="191"/>
      <x:c r="AH183" s="191"/>
      <x:c r="AI183" s="191"/>
      <x:c r="AJ183" s="191"/>
      <x:c r="AK183" s="191"/>
    </x:row>
    <x:row r="184">
      <x:c r="A184" s="191"/>
      <x:c r="B184" s="191"/>
      <x:c r="C184" s="191"/>
      <x:c r="D184" s="191"/>
      <x:c r="E184" s="191"/>
      <x:c r="F184" s="191"/>
      <x:c r="G184" s="191"/>
      <x:c r="H184" s="191"/>
      <x:c r="I184" s="191"/>
      <x:c r="J184" s="191"/>
      <x:c r="K184" s="191"/>
      <x:c r="L184" s="191"/>
      <x:c r="M184" s="191"/>
      <x:c r="N184" s="191"/>
      <x:c r="O184" s="191"/>
      <x:c r="P184" s="191"/>
      <x:c r="Q184" s="191"/>
      <x:c r="R184" s="191"/>
      <x:c r="S184" s="191"/>
      <x:c r="T184" s="191"/>
      <x:c r="U184" s="191"/>
      <x:c r="V184" s="191"/>
      <x:c r="W184" s="191"/>
      <x:c r="X184" s="191"/>
      <x:c r="Y184" s="191"/>
      <x:c r="Z184" s="191"/>
      <x:c r="AA184" s="191"/>
      <x:c r="AB184" s="191"/>
      <x:c r="AC184" s="191"/>
      <x:c r="AD184" s="191"/>
      <x:c r="AE184" s="191"/>
      <x:c r="AF184" s="191"/>
      <x:c r="AG184" s="191"/>
      <x:c r="AH184" s="191"/>
      <x:c r="AI184" s="191"/>
      <x:c r="AJ184" s="191"/>
      <x:c r="AK184" s="191"/>
    </x:row>
    <x:row r="185">
      <x:c r="A185" s="191"/>
      <x:c r="B185" s="191"/>
      <x:c r="C185" s="191"/>
      <x:c r="D185" s="191"/>
      <x:c r="E185" s="191"/>
      <x:c r="F185" s="191"/>
      <x:c r="G185" s="191"/>
      <x:c r="H185" s="191"/>
      <x:c r="I185" s="191"/>
      <x:c r="J185" s="191"/>
      <x:c r="K185" s="191"/>
      <x:c r="L185" s="191"/>
      <x:c r="M185" s="191"/>
      <x:c r="N185" s="191"/>
      <x:c r="O185" s="191"/>
      <x:c r="P185" s="191"/>
      <x:c r="Q185" s="191"/>
      <x:c r="R185" s="191"/>
      <x:c r="S185" s="191"/>
      <x:c r="T185" s="191"/>
      <x:c r="U185" s="191"/>
      <x:c r="V185" s="191"/>
      <x:c r="W185" s="191"/>
      <x:c r="X185" s="191"/>
      <x:c r="Y185" s="191"/>
      <x:c r="Z185" s="191"/>
      <x:c r="AA185" s="191"/>
      <x:c r="AB185" s="191"/>
      <x:c r="AC185" s="191"/>
      <x:c r="AD185" s="191"/>
      <x:c r="AE185" s="191"/>
      <x:c r="AF185" s="191"/>
      <x:c r="AG185" s="191"/>
      <x:c r="AH185" s="191"/>
      <x:c r="AI185" s="191"/>
      <x:c r="AJ185" s="191"/>
      <x:c r="AK185" s="191"/>
    </x:row>
    <x:row r="186">
      <x:c r="A186" s="191"/>
      <x:c r="B186" s="191"/>
      <x:c r="C186" s="191"/>
      <x:c r="D186" s="191"/>
      <x:c r="E186" s="191"/>
      <x:c r="F186" s="191"/>
      <x:c r="G186" s="191"/>
      <x:c r="H186" s="191"/>
      <x:c r="I186" s="191"/>
      <x:c r="J186" s="191"/>
      <x:c r="K186" s="191"/>
      <x:c r="L186" s="191"/>
      <x:c r="M186" s="191"/>
      <x:c r="N186" s="191"/>
      <x:c r="O186" s="191"/>
      <x:c r="P186" s="191"/>
      <x:c r="Q186" s="191"/>
      <x:c r="R186" s="191"/>
      <x:c r="S186" s="191"/>
      <x:c r="T186" s="191"/>
      <x:c r="U186" s="191"/>
      <x:c r="V186" s="191"/>
      <x:c r="W186" s="191"/>
      <x:c r="X186" s="191"/>
      <x:c r="Y186" s="191"/>
      <x:c r="Z186" s="191"/>
      <x:c r="AA186" s="191"/>
      <x:c r="AB186" s="191"/>
      <x:c r="AC186" s="191"/>
      <x:c r="AD186" s="191"/>
      <x:c r="AE186" s="191"/>
      <x:c r="AF186" s="191"/>
      <x:c r="AG186" s="191"/>
      <x:c r="AH186" s="191"/>
      <x:c r="AI186" s="191"/>
      <x:c r="AJ186" s="191"/>
      <x:c r="AK186" s="191"/>
    </x:row>
    <x:row r="187">
      <x:c r="A187" s="191"/>
      <x:c r="B187" s="191"/>
      <x:c r="C187" s="191"/>
      <x:c r="D187" s="191"/>
      <x:c r="E187" s="191"/>
      <x:c r="F187" s="191"/>
      <x:c r="G187" s="191"/>
      <x:c r="H187" s="191"/>
      <x:c r="I187" s="191"/>
      <x:c r="J187" s="191"/>
      <x:c r="K187" s="191"/>
      <x:c r="L187" s="191"/>
      <x:c r="M187" s="191"/>
      <x:c r="N187" s="191"/>
      <x:c r="O187" s="191"/>
      <x:c r="P187" s="191"/>
      <x:c r="Q187" s="191"/>
      <x:c r="R187" s="191"/>
      <x:c r="S187" s="191"/>
      <x:c r="T187" s="191"/>
      <x:c r="U187" s="191"/>
      <x:c r="V187" s="191"/>
      <x:c r="W187" s="191"/>
      <x:c r="X187" s="191"/>
      <x:c r="Y187" s="191"/>
      <x:c r="Z187" s="191"/>
      <x:c r="AA187" s="191"/>
      <x:c r="AB187" s="191"/>
      <x:c r="AC187" s="191"/>
      <x:c r="AD187" s="191"/>
      <x:c r="AE187" s="191"/>
      <x:c r="AF187" s="191"/>
      <x:c r="AG187" s="191"/>
      <x:c r="AH187" s="191"/>
      <x:c r="AI187" s="191"/>
      <x:c r="AJ187" s="191"/>
      <x:c r="AK187" s="191"/>
    </x:row>
    <x:row r="188">
      <x:c r="A188" s="191"/>
      <x:c r="B188" s="191"/>
      <x:c r="C188" s="191"/>
      <x:c r="D188" s="191"/>
      <x:c r="E188" s="191"/>
      <x:c r="F188" s="191"/>
      <x:c r="G188" s="191"/>
      <x:c r="H188" s="191"/>
      <x:c r="I188" s="191"/>
      <x:c r="J188" s="191"/>
      <x:c r="K188" s="191"/>
      <x:c r="L188" s="191"/>
      <x:c r="M188" s="191"/>
      <x:c r="N188" s="191"/>
      <x:c r="O188" s="191"/>
      <x:c r="P188" s="191"/>
      <x:c r="Q188" s="191"/>
      <x:c r="R188" s="191"/>
      <x:c r="S188" s="191"/>
      <x:c r="T188" s="191"/>
      <x:c r="U188" s="191"/>
      <x:c r="V188" s="191"/>
      <x:c r="W188" s="191"/>
      <x:c r="X188" s="191"/>
      <x:c r="Y188" s="191"/>
      <x:c r="Z188" s="191"/>
      <x:c r="AA188" s="191"/>
      <x:c r="AB188" s="191"/>
      <x:c r="AC188" s="191"/>
      <x:c r="AD188" s="191"/>
      <x:c r="AE188" s="191"/>
      <x:c r="AF188" s="191"/>
      <x:c r="AG188" s="191"/>
      <x:c r="AH188" s="191"/>
      <x:c r="AI188" s="191"/>
      <x:c r="AJ188" s="191"/>
      <x:c r="AK188" s="191"/>
    </x:row>
    <x:row r="189">
      <x:c r="A189" s="191"/>
      <x:c r="B189" s="191"/>
      <x:c r="C189" s="191"/>
      <x:c r="D189" s="191"/>
      <x:c r="E189" s="191"/>
      <x:c r="F189" s="191"/>
      <x:c r="G189" s="191"/>
      <x:c r="H189" s="191"/>
      <x:c r="I189" s="191"/>
      <x:c r="J189" s="191"/>
      <x:c r="K189" s="191"/>
      <x:c r="L189" s="191"/>
      <x:c r="M189" s="191"/>
      <x:c r="N189" s="191"/>
      <x:c r="O189" s="191"/>
      <x:c r="P189" s="191"/>
      <x:c r="Q189" s="191"/>
      <x:c r="R189" s="191"/>
      <x:c r="S189" s="191"/>
      <x:c r="T189" s="191"/>
      <x:c r="U189" s="191"/>
      <x:c r="V189" s="191"/>
      <x:c r="W189" s="191"/>
      <x:c r="X189" s="191"/>
      <x:c r="Y189" s="191"/>
      <x:c r="Z189" s="191"/>
      <x:c r="AA189" s="191"/>
      <x:c r="AB189" s="191"/>
      <x:c r="AC189" s="191"/>
      <x:c r="AD189" s="191"/>
      <x:c r="AE189" s="191"/>
      <x:c r="AF189" s="191"/>
      <x:c r="AG189" s="191"/>
      <x:c r="AH189" s="191"/>
      <x:c r="AI189" s="191"/>
      <x:c r="AJ189" s="191"/>
      <x:c r="AK189" s="191"/>
    </x:row>
    <x:row r="190">
      <x:c r="A190" s="191"/>
      <x:c r="B190" s="191"/>
      <x:c r="C190" s="191"/>
      <x:c r="D190" s="191"/>
      <x:c r="E190" s="191"/>
      <x:c r="F190" s="191"/>
      <x:c r="G190" s="191"/>
      <x:c r="H190" s="191"/>
      <x:c r="I190" s="191"/>
      <x:c r="J190" s="191"/>
      <x:c r="K190" s="191"/>
      <x:c r="L190" s="191"/>
      <x:c r="M190" s="191"/>
      <x:c r="N190" s="191"/>
      <x:c r="O190" s="191"/>
      <x:c r="P190" s="191"/>
      <x:c r="Q190" s="191"/>
      <x:c r="R190" s="191"/>
      <x:c r="S190" s="191"/>
      <x:c r="T190" s="191"/>
      <x:c r="U190" s="191"/>
      <x:c r="V190" s="191"/>
      <x:c r="W190" s="191"/>
      <x:c r="X190" s="191"/>
      <x:c r="Y190" s="191"/>
      <x:c r="Z190" s="191"/>
      <x:c r="AA190" s="191"/>
      <x:c r="AB190" s="191"/>
      <x:c r="AC190" s="191"/>
      <x:c r="AD190" s="191"/>
      <x:c r="AE190" s="191"/>
      <x:c r="AF190" s="191"/>
      <x:c r="AG190" s="191"/>
      <x:c r="AH190" s="191"/>
      <x:c r="AI190" s="191"/>
      <x:c r="AJ190" s="191"/>
      <x:c r="AK190" s="191"/>
    </x:row>
    <x:row r="191">
      <x:c r="A191" s="191"/>
      <x:c r="B191" s="191"/>
      <x:c r="C191" s="191"/>
      <x:c r="D191" s="191"/>
      <x:c r="E191" s="191"/>
      <x:c r="F191" s="191"/>
      <x:c r="G191" s="191"/>
      <x:c r="H191" s="191"/>
      <x:c r="I191" s="191"/>
      <x:c r="J191" s="191"/>
      <x:c r="K191" s="191"/>
      <x:c r="L191" s="191"/>
      <x:c r="M191" s="191"/>
      <x:c r="N191" s="191"/>
      <x:c r="O191" s="191"/>
      <x:c r="P191" s="191"/>
      <x:c r="Q191" s="191"/>
      <x:c r="R191" s="191"/>
      <x:c r="S191" s="191"/>
      <x:c r="T191" s="191"/>
      <x:c r="U191" s="191"/>
      <x:c r="V191" s="191"/>
      <x:c r="W191" s="191"/>
      <x:c r="X191" s="191"/>
      <x:c r="Y191" s="191"/>
      <x:c r="Z191" s="191"/>
      <x:c r="AA191" s="191"/>
      <x:c r="AB191" s="191"/>
      <x:c r="AC191" s="191"/>
      <x:c r="AD191" s="191"/>
      <x:c r="AE191" s="191"/>
      <x:c r="AF191" s="191"/>
      <x:c r="AG191" s="191"/>
      <x:c r="AH191" s="191"/>
      <x:c r="AI191" s="191"/>
      <x:c r="AJ191" s="191"/>
      <x:c r="AK191" s="191"/>
    </x:row>
    <x:row r="192">
      <x:c r="A192" s="191"/>
      <x:c r="B192" s="191"/>
      <x:c r="C192" s="191"/>
      <x:c r="D192" s="191"/>
      <x:c r="E192" s="191"/>
      <x:c r="F192" s="191"/>
      <x:c r="G192" s="191"/>
      <x:c r="H192" s="191"/>
      <x:c r="I192" s="191"/>
      <x:c r="J192" s="191"/>
      <x:c r="K192" s="191"/>
      <x:c r="L192" s="191"/>
      <x:c r="M192" s="191"/>
      <x:c r="N192" s="191"/>
      <x:c r="O192" s="191"/>
      <x:c r="P192" s="191"/>
      <x:c r="Q192" s="191"/>
      <x:c r="R192" s="191"/>
      <x:c r="S192" s="191"/>
      <x:c r="T192" s="191"/>
      <x:c r="U192" s="191"/>
      <x:c r="V192" s="191"/>
      <x:c r="W192" s="191"/>
      <x:c r="X192" s="191"/>
      <x:c r="Y192" s="191"/>
      <x:c r="Z192" s="191"/>
      <x:c r="AA192" s="191"/>
      <x:c r="AB192" s="191"/>
      <x:c r="AC192" s="191"/>
      <x:c r="AD192" s="191"/>
      <x:c r="AE192" s="191"/>
      <x:c r="AF192" s="191"/>
      <x:c r="AG192" s="191"/>
      <x:c r="AH192" s="191"/>
      <x:c r="AI192" s="191"/>
      <x:c r="AJ192" s="191"/>
      <x:c r="AK192" s="191"/>
    </x:row>
    <x:row r="193">
      <x:c r="A193" s="191"/>
      <x:c r="B193" s="191"/>
      <x:c r="C193" s="191"/>
      <x:c r="D193" s="191"/>
      <x:c r="E193" s="191"/>
      <x:c r="F193" s="191"/>
      <x:c r="G193" s="191"/>
      <x:c r="H193" s="191"/>
      <x:c r="I193" s="191"/>
      <x:c r="J193" s="191"/>
      <x:c r="K193" s="191"/>
      <x:c r="L193" s="191"/>
      <x:c r="M193" s="191"/>
      <x:c r="N193" s="191"/>
      <x:c r="O193" s="191"/>
      <x:c r="P193" s="191"/>
      <x:c r="Q193" s="191"/>
      <x:c r="R193" s="191"/>
      <x:c r="S193" s="191"/>
      <x:c r="T193" s="191"/>
      <x:c r="U193" s="191"/>
      <x:c r="V193" s="191"/>
      <x:c r="W193" s="191"/>
      <x:c r="X193" s="191"/>
      <x:c r="Y193" s="191"/>
      <x:c r="Z193" s="191"/>
      <x:c r="AA193" s="191"/>
      <x:c r="AB193" s="191"/>
      <x:c r="AC193" s="191"/>
      <x:c r="AD193" s="191"/>
      <x:c r="AE193" s="191"/>
      <x:c r="AF193" s="191"/>
      <x:c r="AG193" s="191"/>
      <x:c r="AH193" s="191"/>
      <x:c r="AI193" s="191"/>
      <x:c r="AJ193" s="191"/>
      <x:c r="AK193" s="191"/>
    </x:row>
    <x:row r="194">
      <x:c r="A194" s="191"/>
      <x:c r="B194" s="191"/>
      <x:c r="C194" s="191"/>
      <x:c r="D194" s="191"/>
      <x:c r="E194" s="191"/>
      <x:c r="F194" s="191"/>
      <x:c r="G194" s="191"/>
      <x:c r="H194" s="191"/>
      <x:c r="I194" s="191"/>
      <x:c r="J194" s="191"/>
      <x:c r="K194" s="191"/>
      <x:c r="L194" s="191"/>
      <x:c r="M194" s="191"/>
      <x:c r="N194" s="191"/>
      <x:c r="O194" s="191"/>
      <x:c r="P194" s="191"/>
      <x:c r="Q194" s="191"/>
      <x:c r="R194" s="191"/>
      <x:c r="S194" s="191"/>
      <x:c r="T194" s="191"/>
      <x:c r="U194" s="191"/>
      <x:c r="V194" s="191"/>
      <x:c r="W194" s="191"/>
      <x:c r="X194" s="191"/>
      <x:c r="Y194" s="191"/>
      <x:c r="Z194" s="191"/>
      <x:c r="AA194" s="191"/>
      <x:c r="AB194" s="191"/>
      <x:c r="AC194" s="191"/>
      <x:c r="AD194" s="191"/>
      <x:c r="AE194" s="191"/>
      <x:c r="AF194" s="191"/>
      <x:c r="AG194" s="191"/>
      <x:c r="AH194" s="191"/>
      <x:c r="AI194" s="191"/>
      <x:c r="AJ194" s="191"/>
      <x:c r="AK194" s="191"/>
    </x:row>
    <x:row r="195">
      <x:c r="A195" s="191"/>
      <x:c r="B195" s="191"/>
      <x:c r="C195" s="191"/>
      <x:c r="D195" s="191"/>
      <x:c r="E195" s="191"/>
      <x:c r="F195" s="191"/>
      <x:c r="G195" s="191"/>
      <x:c r="H195" s="191"/>
      <x:c r="I195" s="191"/>
      <x:c r="J195" s="191"/>
      <x:c r="K195" s="191"/>
      <x:c r="L195" s="191"/>
      <x:c r="M195" s="191"/>
      <x:c r="N195" s="191"/>
      <x:c r="O195" s="191"/>
      <x:c r="P195" s="191"/>
      <x:c r="Q195" s="191"/>
      <x:c r="R195" s="191"/>
      <x:c r="S195" s="191"/>
      <x:c r="T195" s="191"/>
      <x:c r="U195" s="191"/>
      <x:c r="V195" s="191"/>
      <x:c r="W195" s="191"/>
      <x:c r="X195" s="191"/>
      <x:c r="Y195" s="191"/>
      <x:c r="Z195" s="191"/>
      <x:c r="AA195" s="191"/>
      <x:c r="AB195" s="191"/>
      <x:c r="AC195" s="191"/>
      <x:c r="AD195" s="191"/>
      <x:c r="AE195" s="191"/>
      <x:c r="AF195" s="191"/>
      <x:c r="AG195" s="191"/>
      <x:c r="AH195" s="191"/>
      <x:c r="AI195" s="191"/>
      <x:c r="AJ195" s="191"/>
      <x:c r="AK195" s="191"/>
    </x:row>
    <x:row r="196">
      <x:c r="A196" s="191"/>
      <x:c r="B196" s="191"/>
      <x:c r="C196" s="191"/>
      <x:c r="D196" s="191"/>
      <x:c r="E196" s="191"/>
      <x:c r="F196" s="191"/>
      <x:c r="G196" s="191"/>
      <x:c r="H196" s="191"/>
      <x:c r="I196" s="191"/>
      <x:c r="J196" s="191"/>
      <x:c r="K196" s="191"/>
      <x:c r="L196" s="191"/>
      <x:c r="M196" s="191"/>
      <x:c r="N196" s="191"/>
      <x:c r="O196" s="191"/>
      <x:c r="P196" s="191"/>
      <x:c r="Q196" s="191"/>
      <x:c r="R196" s="191"/>
      <x:c r="S196" s="191"/>
      <x:c r="T196" s="191"/>
      <x:c r="U196" s="191"/>
      <x:c r="V196" s="191"/>
      <x:c r="W196" s="191"/>
      <x:c r="X196" s="191"/>
      <x:c r="Y196" s="191"/>
      <x:c r="Z196" s="191"/>
      <x:c r="AA196" s="191"/>
      <x:c r="AB196" s="191"/>
      <x:c r="AC196" s="191"/>
      <x:c r="AD196" s="191"/>
      <x:c r="AE196" s="191"/>
      <x:c r="AF196" s="191"/>
      <x:c r="AG196" s="191"/>
      <x:c r="AH196" s="191"/>
      <x:c r="AI196" s="191"/>
      <x:c r="AJ196" s="191"/>
      <x:c r="AK196" s="191"/>
    </x:row>
    <x:row r="197">
      <x:c r="A197" s="191"/>
      <x:c r="B197" s="191"/>
      <x:c r="C197" s="191"/>
      <x:c r="D197" s="191"/>
      <x:c r="E197" s="191"/>
      <x:c r="F197" s="191"/>
      <x:c r="G197" s="191"/>
      <x:c r="H197" s="191"/>
      <x:c r="I197" s="191"/>
      <x:c r="J197" s="191"/>
      <x:c r="K197" s="191"/>
      <x:c r="L197" s="191"/>
      <x:c r="M197" s="191"/>
      <x:c r="N197" s="191"/>
      <x:c r="O197" s="191"/>
      <x:c r="P197" s="191"/>
      <x:c r="Q197" s="191"/>
      <x:c r="R197" s="191"/>
      <x:c r="S197" s="191"/>
      <x:c r="T197" s="191"/>
      <x:c r="U197" s="191"/>
      <x:c r="V197" s="191"/>
      <x:c r="W197" s="191"/>
      <x:c r="X197" s="191"/>
      <x:c r="Y197" s="191"/>
      <x:c r="Z197" s="191"/>
      <x:c r="AA197" s="191"/>
      <x:c r="AB197" s="191"/>
      <x:c r="AC197" s="191"/>
      <x:c r="AD197" s="191"/>
      <x:c r="AE197" s="191"/>
      <x:c r="AF197" s="191"/>
      <x:c r="AG197" s="191"/>
      <x:c r="AH197" s="191"/>
      <x:c r="AI197" s="191"/>
      <x:c r="AJ197" s="191"/>
      <x:c r="AK197" s="191"/>
    </x:row>
    <x:row r="198">
      <x:c r="A198" s="191"/>
      <x:c r="B198" s="191"/>
      <x:c r="C198" s="191"/>
      <x:c r="D198" s="191"/>
      <x:c r="E198" s="191"/>
      <x:c r="F198" s="191"/>
      <x:c r="G198" s="191"/>
      <x:c r="H198" s="191"/>
      <x:c r="I198" s="191"/>
      <x:c r="J198" s="191"/>
      <x:c r="K198" s="191"/>
      <x:c r="L198" s="191"/>
      <x:c r="M198" s="191"/>
      <x:c r="N198" s="191"/>
      <x:c r="O198" s="191"/>
      <x:c r="P198" s="191"/>
      <x:c r="Q198" s="191"/>
      <x:c r="R198" s="191"/>
      <x:c r="S198" s="191"/>
      <x:c r="T198" s="191"/>
      <x:c r="U198" s="191"/>
      <x:c r="V198" s="191"/>
      <x:c r="W198" s="191"/>
      <x:c r="X198" s="191"/>
      <x:c r="Y198" s="191"/>
      <x:c r="Z198" s="191"/>
      <x:c r="AA198" s="191"/>
      <x:c r="AB198" s="191"/>
      <x:c r="AC198" s="191"/>
      <x:c r="AD198" s="191"/>
      <x:c r="AE198" s="191"/>
      <x:c r="AF198" s="191"/>
      <x:c r="AG198" s="191"/>
      <x:c r="AH198" s="191"/>
      <x:c r="AI198" s="191"/>
      <x:c r="AJ198" s="191"/>
      <x:c r="AK198" s="191"/>
    </x:row>
    <x:row r="199">
      <x:c r="A199" s="191"/>
      <x:c r="B199" s="191"/>
      <x:c r="C199" s="191"/>
      <x:c r="D199" s="191"/>
      <x:c r="E199" s="191"/>
      <x:c r="F199" s="191"/>
      <x:c r="G199" s="191"/>
      <x:c r="H199" s="191"/>
      <x:c r="I199" s="191"/>
      <x:c r="J199" s="191"/>
      <x:c r="K199" s="191"/>
      <x:c r="L199" s="191"/>
      <x:c r="M199" s="191"/>
      <x:c r="N199" s="191"/>
      <x:c r="O199" s="191"/>
      <x:c r="P199" s="191"/>
      <x:c r="Q199" s="191"/>
      <x:c r="R199" s="191"/>
      <x:c r="S199" s="191"/>
      <x:c r="T199" s="191"/>
      <x:c r="U199" s="191"/>
      <x:c r="V199" s="191"/>
      <x:c r="W199" s="191"/>
      <x:c r="X199" s="191"/>
      <x:c r="Y199" s="191"/>
      <x:c r="Z199" s="191"/>
      <x:c r="AA199" s="191"/>
      <x:c r="AB199" s="191"/>
      <x:c r="AC199" s="191"/>
      <x:c r="AD199" s="191"/>
      <x:c r="AE199" s="191"/>
      <x:c r="AF199" s="191"/>
      <x:c r="AG199" s="191"/>
      <x:c r="AH199" s="191"/>
      <x:c r="AI199" s="191"/>
      <x:c r="AJ199" s="191"/>
      <x:c r="AK199" s="191"/>
    </x:row>
    <x:row r="200">
      <x:c r="A200" s="191"/>
      <x:c r="B200" s="191"/>
      <x:c r="C200" s="191"/>
      <x:c r="D200" s="191"/>
      <x:c r="E200" s="191"/>
      <x:c r="F200" s="191"/>
      <x:c r="G200" s="191"/>
      <x:c r="H200" s="191"/>
      <x:c r="I200" s="191"/>
      <x:c r="J200" s="191"/>
      <x:c r="K200" s="191"/>
      <x:c r="L200" s="191"/>
      <x:c r="M200" s="191"/>
      <x:c r="N200" s="191"/>
      <x:c r="O200" s="191"/>
      <x:c r="P200" s="191"/>
      <x:c r="Q200" s="191"/>
      <x:c r="R200" s="191"/>
      <x:c r="S200" s="191"/>
      <x:c r="T200" s="191"/>
      <x:c r="U200" s="191"/>
      <x:c r="V200" s="191"/>
      <x:c r="W200" s="191"/>
      <x:c r="X200" s="191"/>
      <x:c r="Y200" s="191"/>
      <x:c r="Z200" s="191"/>
      <x:c r="AA200" s="191"/>
      <x:c r="AB200" s="191"/>
      <x:c r="AC200" s="191"/>
      <x:c r="AD200" s="191"/>
      <x:c r="AE200" s="191"/>
      <x:c r="AF200" s="191"/>
      <x:c r="AG200" s="191"/>
      <x:c r="AH200" s="191"/>
      <x:c r="AI200" s="191"/>
      <x:c r="AJ200" s="191"/>
      <x:c r="AK200" s="191"/>
    </x:row>
    <x:row r="201">
      <x:c r="A201" s="191"/>
      <x:c r="B201" s="191"/>
      <x:c r="C201" s="191"/>
      <x:c r="D201" s="191"/>
      <x:c r="E201" s="191"/>
      <x:c r="F201" s="191"/>
      <x:c r="G201" s="191"/>
      <x:c r="H201" s="191"/>
      <x:c r="I201" s="191"/>
      <x:c r="J201" s="191"/>
      <x:c r="K201" s="191"/>
      <x:c r="L201" s="191"/>
      <x:c r="M201" s="191"/>
      <x:c r="N201" s="191"/>
      <x:c r="O201" s="191"/>
      <x:c r="P201" s="191"/>
      <x:c r="Q201" s="191"/>
      <x:c r="R201" s="191"/>
      <x:c r="S201" s="191"/>
      <x:c r="T201" s="191"/>
      <x:c r="U201" s="191"/>
      <x:c r="V201" s="191"/>
      <x:c r="W201" s="191"/>
      <x:c r="X201" s="191"/>
      <x:c r="Y201" s="191"/>
      <x:c r="Z201" s="191"/>
      <x:c r="AA201" s="191"/>
      <x:c r="AB201" s="191"/>
      <x:c r="AC201" s="191"/>
      <x:c r="AD201" s="191"/>
      <x:c r="AE201" s="191"/>
      <x:c r="AF201" s="191"/>
      <x:c r="AG201" s="191"/>
      <x:c r="AH201" s="191"/>
      <x:c r="AI201" s="191"/>
      <x:c r="AJ201" s="191"/>
      <x:c r="AK201" s="191"/>
    </x:row>
    <x:row r="202">
      <x:c r="A202" s="191"/>
      <x:c r="B202" s="191"/>
      <x:c r="C202" s="191"/>
      <x:c r="D202" s="191"/>
      <x:c r="E202" s="191"/>
      <x:c r="F202" s="191"/>
      <x:c r="G202" s="191"/>
      <x:c r="H202" s="191"/>
      <x:c r="I202" s="191"/>
      <x:c r="J202" s="191"/>
      <x:c r="K202" s="191"/>
      <x:c r="L202" s="191"/>
      <x:c r="M202" s="191"/>
      <x:c r="N202" s="191"/>
      <x:c r="O202" s="191"/>
      <x:c r="P202" s="191"/>
      <x:c r="Q202" s="191"/>
      <x:c r="R202" s="191"/>
      <x:c r="S202" s="191"/>
      <x:c r="T202" s="191"/>
      <x:c r="U202" s="191"/>
      <x:c r="V202" s="191"/>
      <x:c r="W202" s="191"/>
      <x:c r="X202" s="191"/>
      <x:c r="Y202" s="191"/>
      <x:c r="Z202" s="191"/>
      <x:c r="AA202" s="191"/>
      <x:c r="AB202" s="191"/>
      <x:c r="AC202" s="191"/>
      <x:c r="AD202" s="191"/>
      <x:c r="AE202" s="191"/>
      <x:c r="AF202" s="191"/>
      <x:c r="AG202" s="191"/>
      <x:c r="AH202" s="191"/>
      <x:c r="AI202" s="191"/>
      <x:c r="AJ202" s="191"/>
      <x:c r="AK202" s="191"/>
    </x:row>
    <x:row r="203">
      <x:c r="A203" s="191"/>
      <x:c r="B203" s="191"/>
      <x:c r="C203" s="191"/>
      <x:c r="D203" s="191"/>
      <x:c r="E203" s="191"/>
      <x:c r="F203" s="191"/>
      <x:c r="G203" s="191"/>
      <x:c r="H203" s="191"/>
      <x:c r="I203" s="191"/>
      <x:c r="J203" s="191"/>
      <x:c r="K203" s="191"/>
      <x:c r="L203" s="191"/>
      <x:c r="M203" s="191"/>
      <x:c r="N203" s="191"/>
      <x:c r="O203" s="191"/>
      <x:c r="P203" s="191"/>
      <x:c r="Q203" s="191"/>
      <x:c r="R203" s="191"/>
      <x:c r="S203" s="191"/>
      <x:c r="T203" s="191"/>
      <x:c r="U203" s="191"/>
      <x:c r="V203" s="191"/>
      <x:c r="W203" s="191"/>
      <x:c r="X203" s="191"/>
      <x:c r="Y203" s="191"/>
      <x:c r="Z203" s="191"/>
      <x:c r="AA203" s="191"/>
      <x:c r="AB203" s="191"/>
      <x:c r="AC203" s="191"/>
      <x:c r="AD203" s="191"/>
      <x:c r="AE203" s="191"/>
      <x:c r="AF203" s="191"/>
      <x:c r="AG203" s="191"/>
      <x:c r="AH203" s="191"/>
      <x:c r="AI203" s="191"/>
      <x:c r="AJ203" s="191"/>
      <x:c r="AK203" s="191"/>
    </x:row>
    <x:row r="204">
      <x:c r="A204" s="191"/>
      <x:c r="B204" s="191"/>
      <x:c r="C204" s="191"/>
      <x:c r="D204" s="191"/>
      <x:c r="E204" s="191"/>
      <x:c r="F204" s="191"/>
      <x:c r="G204" s="191"/>
      <x:c r="H204" s="191"/>
      <x:c r="I204" s="191"/>
      <x:c r="J204" s="191"/>
      <x:c r="K204" s="191"/>
      <x:c r="L204" s="191"/>
      <x:c r="M204" s="191"/>
      <x:c r="N204" s="191"/>
      <x:c r="O204" s="191"/>
      <x:c r="P204" s="191"/>
      <x:c r="Q204" s="191"/>
      <x:c r="R204" s="191"/>
      <x:c r="S204" s="191"/>
      <x:c r="T204" s="191"/>
      <x:c r="U204" s="191"/>
      <x:c r="V204" s="191"/>
      <x:c r="W204" s="191"/>
      <x:c r="X204" s="191"/>
      <x:c r="Y204" s="191"/>
      <x:c r="Z204" s="191"/>
      <x:c r="AA204" s="191"/>
      <x:c r="AB204" s="191"/>
      <x:c r="AC204" s="191"/>
      <x:c r="AD204" s="191"/>
      <x:c r="AE204" s="191"/>
      <x:c r="AF204" s="191"/>
      <x:c r="AG204" s="191"/>
      <x:c r="AH204" s="191"/>
      <x:c r="AI204" s="191"/>
      <x:c r="AJ204" s="191"/>
      <x:c r="AK204" s="191"/>
    </x:row>
    <x:row r="205">
      <x:c r="A205" s="191"/>
      <x:c r="B205" s="191"/>
      <x:c r="C205" s="191"/>
      <x:c r="D205" s="191"/>
      <x:c r="E205" s="191"/>
      <x:c r="F205" s="191"/>
      <x:c r="G205" s="191"/>
      <x:c r="H205" s="191"/>
      <x:c r="I205" s="191"/>
      <x:c r="J205" s="191"/>
      <x:c r="K205" s="191"/>
      <x:c r="L205" s="191"/>
      <x:c r="M205" s="191"/>
      <x:c r="N205" s="191"/>
      <x:c r="O205" s="191"/>
      <x:c r="P205" s="191"/>
      <x:c r="Q205" s="191"/>
      <x:c r="R205" s="191"/>
      <x:c r="S205" s="191"/>
      <x:c r="T205" s="191"/>
      <x:c r="U205" s="191"/>
      <x:c r="V205" s="191"/>
      <x:c r="W205" s="191"/>
      <x:c r="X205" s="191"/>
      <x:c r="Y205" s="191"/>
      <x:c r="Z205" s="191"/>
      <x:c r="AA205" s="191"/>
      <x:c r="AB205" s="191"/>
      <x:c r="AC205" s="191"/>
      <x:c r="AD205" s="191"/>
      <x:c r="AE205" s="191"/>
      <x:c r="AF205" s="191"/>
      <x:c r="AG205" s="191"/>
      <x:c r="AH205" s="191"/>
      <x:c r="AI205" s="191"/>
      <x:c r="AJ205" s="191"/>
      <x:c r="AK205" s="191"/>
    </x:row>
    <x:row r="206">
      <x:c r="A206" s="191"/>
      <x:c r="B206" s="191"/>
      <x:c r="C206" s="191"/>
      <x:c r="D206" s="191"/>
      <x:c r="E206" s="191"/>
      <x:c r="F206" s="191"/>
      <x:c r="G206" s="191"/>
      <x:c r="H206" s="191"/>
      <x:c r="I206" s="191"/>
      <x:c r="J206" s="191"/>
      <x:c r="K206" s="191"/>
      <x:c r="L206" s="191"/>
      <x:c r="M206" s="191"/>
      <x:c r="N206" s="191"/>
      <x:c r="O206" s="191"/>
      <x:c r="P206" s="191"/>
      <x:c r="Q206" s="191"/>
      <x:c r="R206" s="191"/>
      <x:c r="S206" s="191"/>
      <x:c r="T206" s="191"/>
      <x:c r="U206" s="191"/>
      <x:c r="V206" s="191"/>
      <x:c r="W206" s="191"/>
      <x:c r="X206" s="191"/>
      <x:c r="Y206" s="191"/>
      <x:c r="Z206" s="191"/>
      <x:c r="AA206" s="191"/>
      <x:c r="AB206" s="191"/>
      <x:c r="AC206" s="191"/>
      <x:c r="AD206" s="191"/>
      <x:c r="AE206" s="191"/>
      <x:c r="AF206" s="191"/>
      <x:c r="AG206" s="191"/>
      <x:c r="AH206" s="191"/>
      <x:c r="AI206" s="191"/>
      <x:c r="AJ206" s="191"/>
      <x:c r="AK206" s="191"/>
    </x:row>
    <x:row r="207">
      <x:c r="A207" s="191"/>
      <x:c r="B207" s="191"/>
      <x:c r="C207" s="191"/>
      <x:c r="D207" s="191"/>
      <x:c r="E207" s="191"/>
      <x:c r="F207" s="191"/>
      <x:c r="G207" s="191"/>
      <x:c r="H207" s="191"/>
      <x:c r="I207" s="191"/>
      <x:c r="J207" s="191"/>
      <x:c r="K207" s="191"/>
      <x:c r="L207" s="191"/>
      <x:c r="M207" s="191"/>
      <x:c r="N207" s="191"/>
      <x:c r="O207" s="191"/>
      <x:c r="P207" s="191"/>
      <x:c r="Q207" s="191"/>
      <x:c r="R207" s="191"/>
      <x:c r="S207" s="191"/>
      <x:c r="T207" s="191"/>
      <x:c r="U207" s="191"/>
      <x:c r="V207" s="191"/>
      <x:c r="W207" s="191"/>
      <x:c r="X207" s="191"/>
      <x:c r="Y207" s="191"/>
      <x:c r="Z207" s="191"/>
      <x:c r="AA207" s="191"/>
      <x:c r="AB207" s="191"/>
      <x:c r="AC207" s="191"/>
      <x:c r="AD207" s="191"/>
      <x:c r="AE207" s="191"/>
      <x:c r="AF207" s="191"/>
      <x:c r="AG207" s="191"/>
      <x:c r="AH207" s="191"/>
      <x:c r="AI207" s="191"/>
      <x:c r="AJ207" s="191"/>
      <x:c r="AK207" s="191"/>
    </x:row>
    <x:row r="208">
      <x:c r="A208" s="191"/>
      <x:c r="B208" s="191"/>
      <x:c r="C208" s="191"/>
      <x:c r="D208" s="191"/>
      <x:c r="E208" s="191"/>
      <x:c r="F208" s="191"/>
      <x:c r="G208" s="191"/>
      <x:c r="H208" s="191"/>
      <x:c r="I208" s="191"/>
      <x:c r="J208" s="191"/>
      <x:c r="K208" s="191"/>
      <x:c r="L208" s="191"/>
      <x:c r="M208" s="191"/>
      <x:c r="N208" s="191"/>
      <x:c r="O208" s="191"/>
      <x:c r="P208" s="191"/>
      <x:c r="Q208" s="191"/>
      <x:c r="R208" s="191"/>
      <x:c r="S208" s="191"/>
      <x:c r="T208" s="191"/>
      <x:c r="U208" s="191"/>
      <x:c r="V208" s="191"/>
      <x:c r="W208" s="191"/>
      <x:c r="X208" s="191"/>
      <x:c r="Y208" s="191"/>
      <x:c r="Z208" s="191"/>
      <x:c r="AA208" s="191"/>
      <x:c r="AB208" s="191"/>
      <x:c r="AC208" s="191"/>
      <x:c r="AD208" s="191"/>
      <x:c r="AE208" s="191"/>
      <x:c r="AF208" s="191"/>
      <x:c r="AG208" s="191"/>
      <x:c r="AH208" s="191"/>
      <x:c r="AI208" s="191"/>
      <x:c r="AJ208" s="191"/>
      <x:c r="AK208" s="191"/>
    </x:row>
    <x:row r="209">
      <x:c r="A209" s="191"/>
      <x:c r="B209" s="191"/>
      <x:c r="C209" s="191"/>
      <x:c r="D209" s="191"/>
      <x:c r="E209" s="191"/>
      <x:c r="F209" s="191"/>
      <x:c r="G209" s="191"/>
      <x:c r="H209" s="191"/>
      <x:c r="I209" s="191"/>
      <x:c r="J209" s="191"/>
      <x:c r="K209" s="191"/>
      <x:c r="L209" s="191"/>
      <x:c r="M209" s="191"/>
      <x:c r="N209" s="191"/>
      <x:c r="O209" s="191"/>
      <x:c r="P209" s="191"/>
      <x:c r="Q209" s="191"/>
      <x:c r="R209" s="191"/>
      <x:c r="S209" s="191"/>
      <x:c r="T209" s="191"/>
      <x:c r="U209" s="191"/>
      <x:c r="V209" s="191"/>
      <x:c r="W209" s="191"/>
      <x:c r="X209" s="191"/>
      <x:c r="Y209" s="191"/>
      <x:c r="Z209" s="191"/>
      <x:c r="AA209" s="191"/>
      <x:c r="AB209" s="191"/>
      <x:c r="AC209" s="191"/>
      <x:c r="AD209" s="191"/>
      <x:c r="AE209" s="191"/>
      <x:c r="AF209" s="191"/>
      <x:c r="AG209" s="191"/>
      <x:c r="AH209" s="191"/>
      <x:c r="AI209" s="191"/>
      <x:c r="AJ209" s="191"/>
      <x:c r="AK209" s="191"/>
    </x:row>
    <x:row r="210">
      <x:c r="A210" s="191"/>
      <x:c r="B210" s="191"/>
      <x:c r="C210" s="191"/>
      <x:c r="D210" s="191"/>
      <x:c r="E210" s="191"/>
      <x:c r="F210" s="191"/>
      <x:c r="G210" s="191"/>
      <x:c r="H210" s="191"/>
      <x:c r="I210" s="191"/>
      <x:c r="J210" s="191"/>
      <x:c r="K210" s="191"/>
      <x:c r="L210" s="191"/>
      <x:c r="M210" s="191"/>
      <x:c r="N210" s="191"/>
      <x:c r="O210" s="191"/>
      <x:c r="P210" s="191"/>
      <x:c r="Q210" s="191"/>
      <x:c r="R210" s="191"/>
      <x:c r="S210" s="191"/>
      <x:c r="T210" s="191"/>
      <x:c r="U210" s="191"/>
      <x:c r="V210" s="191"/>
      <x:c r="W210" s="191"/>
      <x:c r="X210" s="191"/>
      <x:c r="Y210" s="191"/>
      <x:c r="Z210" s="191"/>
      <x:c r="AA210" s="191"/>
      <x:c r="AB210" s="191"/>
      <x:c r="AC210" s="191"/>
      <x:c r="AD210" s="191"/>
      <x:c r="AE210" s="191"/>
      <x:c r="AF210" s="191"/>
      <x:c r="AG210" s="191"/>
      <x:c r="AH210" s="191"/>
      <x:c r="AI210" s="191"/>
      <x:c r="AJ210" s="191"/>
      <x:c r="AK210" s="191"/>
    </x:row>
    <x:row r="211">
      <x:c r="A211" s="191"/>
      <x:c r="B211" s="191"/>
      <x:c r="C211" s="191"/>
      <x:c r="D211" s="191"/>
      <x:c r="E211" s="191"/>
      <x:c r="F211" s="191"/>
      <x:c r="G211" s="191"/>
      <x:c r="H211" s="191"/>
      <x:c r="I211" s="191"/>
      <x:c r="J211" s="191"/>
      <x:c r="K211" s="191"/>
      <x:c r="L211" s="191"/>
      <x:c r="M211" s="191"/>
      <x:c r="N211" s="191"/>
      <x:c r="O211" s="191"/>
      <x:c r="P211" s="191"/>
      <x:c r="Q211" s="191"/>
      <x:c r="R211" s="191"/>
      <x:c r="S211" s="191"/>
      <x:c r="T211" s="191"/>
      <x:c r="U211" s="191"/>
      <x:c r="V211" s="191"/>
      <x:c r="W211" s="191"/>
      <x:c r="X211" s="191"/>
      <x:c r="Y211" s="191"/>
      <x:c r="Z211" s="191"/>
      <x:c r="AA211" s="191"/>
      <x:c r="AB211" s="191"/>
      <x:c r="AC211" s="191"/>
      <x:c r="AD211" s="191"/>
      <x:c r="AE211" s="191"/>
      <x:c r="AF211" s="191"/>
      <x:c r="AG211" s="191"/>
      <x:c r="AH211" s="191"/>
      <x:c r="AI211" s="191"/>
      <x:c r="AJ211" s="191"/>
      <x:c r="AK211" s="191"/>
    </x:row>
    <x:row r="212">
      <x:c r="A212" s="191"/>
      <x:c r="B212" s="191"/>
      <x:c r="C212" s="191"/>
      <x:c r="D212" s="191"/>
      <x:c r="E212" s="191"/>
      <x:c r="F212" s="191"/>
      <x:c r="G212" s="191"/>
      <x:c r="H212" s="191"/>
      <x:c r="I212" s="191"/>
      <x:c r="J212" s="191"/>
      <x:c r="K212" s="191"/>
      <x:c r="L212" s="191"/>
      <x:c r="M212" s="191"/>
      <x:c r="N212" s="191"/>
      <x:c r="O212" s="191"/>
      <x:c r="P212" s="191"/>
      <x:c r="Q212" s="191"/>
      <x:c r="R212" s="191"/>
      <x:c r="S212" s="191"/>
      <x:c r="T212" s="191"/>
      <x:c r="U212" s="191"/>
      <x:c r="V212" s="191"/>
      <x:c r="W212" s="191"/>
      <x:c r="X212" s="191"/>
      <x:c r="Y212" s="191"/>
      <x:c r="Z212" s="191"/>
      <x:c r="AA212" s="191"/>
      <x:c r="AB212" s="191"/>
      <x:c r="AC212" s="191"/>
      <x:c r="AD212" s="191"/>
      <x:c r="AE212" s="191"/>
      <x:c r="AF212" s="191"/>
      <x:c r="AG212" s="191"/>
      <x:c r="AH212" s="191"/>
      <x:c r="AI212" s="191"/>
      <x:c r="AJ212" s="191"/>
      <x:c r="AK212" s="191"/>
    </x:row>
    <x:row r="213">
      <x:c r="A213" s="191"/>
      <x:c r="B213" s="191"/>
      <x:c r="C213" s="191"/>
      <x:c r="D213" s="191"/>
      <x:c r="E213" s="191"/>
      <x:c r="F213" s="191"/>
      <x:c r="G213" s="191"/>
      <x:c r="H213" s="191"/>
      <x:c r="I213" s="191"/>
      <x:c r="J213" s="191"/>
      <x:c r="K213" s="191"/>
      <x:c r="L213" s="191"/>
      <x:c r="M213" s="191"/>
      <x:c r="N213" s="191"/>
      <x:c r="O213" s="191"/>
      <x:c r="P213" s="191"/>
      <x:c r="Q213" s="191"/>
      <x:c r="R213" s="191"/>
      <x:c r="S213" s="191"/>
      <x:c r="T213" s="191"/>
      <x:c r="U213" s="191"/>
      <x:c r="V213" s="191"/>
      <x:c r="W213" s="191"/>
      <x:c r="X213" s="191"/>
      <x:c r="Y213" s="191"/>
      <x:c r="Z213" s="191"/>
      <x:c r="AA213" s="191"/>
      <x:c r="AB213" s="191"/>
      <x:c r="AC213" s="191"/>
      <x:c r="AD213" s="191"/>
      <x:c r="AE213" s="191"/>
      <x:c r="AF213" s="191"/>
      <x:c r="AG213" s="191"/>
      <x:c r="AH213" s="191"/>
      <x:c r="AI213" s="191"/>
      <x:c r="AJ213" s="191"/>
      <x:c r="AK213" s="191"/>
    </x:row>
    <x:row r="214">
      <x:c r="A214" s="191"/>
      <x:c r="B214" s="191"/>
      <x:c r="C214" s="191"/>
      <x:c r="D214" s="191"/>
      <x:c r="E214" s="191"/>
      <x:c r="F214" s="191"/>
      <x:c r="G214" s="191"/>
      <x:c r="H214" s="191"/>
      <x:c r="I214" s="191"/>
      <x:c r="J214" s="191"/>
      <x:c r="K214" s="191"/>
      <x:c r="L214" s="191"/>
      <x:c r="M214" s="191"/>
      <x:c r="N214" s="191"/>
      <x:c r="O214" s="191"/>
      <x:c r="P214" s="191"/>
      <x:c r="Q214" s="191"/>
      <x:c r="R214" s="191"/>
      <x:c r="S214" s="191"/>
      <x:c r="T214" s="191"/>
      <x:c r="U214" s="191"/>
      <x:c r="V214" s="191"/>
      <x:c r="W214" s="191"/>
      <x:c r="X214" s="191"/>
      <x:c r="Y214" s="191"/>
      <x:c r="Z214" s="191"/>
      <x:c r="AA214" s="191"/>
      <x:c r="AB214" s="191"/>
      <x:c r="AC214" s="191"/>
      <x:c r="AD214" s="191"/>
      <x:c r="AE214" s="191"/>
      <x:c r="AF214" s="191"/>
      <x:c r="AG214" s="191"/>
      <x:c r="AH214" s="191"/>
      <x:c r="AI214" s="191"/>
      <x:c r="AJ214" s="191"/>
      <x:c r="AK214" s="191"/>
    </x:row>
    <x:row r="215">
      <x:c r="A215" s="191"/>
      <x:c r="B215" s="191"/>
      <x:c r="C215" s="191"/>
      <x:c r="D215" s="191"/>
      <x:c r="E215" s="191"/>
      <x:c r="F215" s="191"/>
      <x:c r="G215" s="191"/>
      <x:c r="H215" s="191"/>
      <x:c r="I215" s="191"/>
      <x:c r="J215" s="191"/>
      <x:c r="K215" s="191"/>
      <x:c r="L215" s="191"/>
      <x:c r="M215" s="191"/>
      <x:c r="N215" s="191"/>
      <x:c r="O215" s="191"/>
      <x:c r="P215" s="191"/>
      <x:c r="Q215" s="191"/>
      <x:c r="R215" s="191"/>
      <x:c r="S215" s="191"/>
      <x:c r="T215" s="191"/>
      <x:c r="U215" s="191"/>
      <x:c r="V215" s="191"/>
      <x:c r="W215" s="191"/>
      <x:c r="X215" s="191"/>
      <x:c r="Y215" s="191"/>
      <x:c r="Z215" s="191"/>
      <x:c r="AA215" s="191"/>
      <x:c r="AB215" s="191"/>
      <x:c r="AC215" s="191"/>
      <x:c r="AD215" s="191"/>
      <x:c r="AE215" s="191"/>
      <x:c r="AF215" s="191"/>
      <x:c r="AG215" s="191"/>
      <x:c r="AH215" s="191"/>
      <x:c r="AI215" s="191"/>
      <x:c r="AJ215" s="191"/>
      <x:c r="AK215" s="191"/>
    </x:row>
    <x:row r="216">
      <x:c r="A216" s="191"/>
      <x:c r="B216" s="191"/>
      <x:c r="C216" s="191"/>
      <x:c r="D216" s="191"/>
      <x:c r="E216" s="191"/>
      <x:c r="F216" s="191"/>
      <x:c r="G216" s="191"/>
      <x:c r="H216" s="191"/>
      <x:c r="I216" s="191"/>
      <x:c r="J216" s="191"/>
      <x:c r="K216" s="191"/>
      <x:c r="L216" s="191"/>
      <x:c r="M216" s="191"/>
      <x:c r="N216" s="191"/>
      <x:c r="O216" s="191"/>
      <x:c r="P216" s="191"/>
      <x:c r="Q216" s="191"/>
      <x:c r="R216" s="191"/>
      <x:c r="S216" s="191"/>
      <x:c r="T216" s="191"/>
      <x:c r="U216" s="191"/>
      <x:c r="V216" s="191"/>
      <x:c r="W216" s="191"/>
      <x:c r="X216" s="191"/>
      <x:c r="Y216" s="191"/>
      <x:c r="Z216" s="191"/>
      <x:c r="AA216" s="191"/>
      <x:c r="AB216" s="191"/>
      <x:c r="AC216" s="191"/>
      <x:c r="AD216" s="191"/>
      <x:c r="AE216" s="191"/>
      <x:c r="AF216" s="191"/>
      <x:c r="AG216" s="191"/>
      <x:c r="AH216" s="191"/>
      <x:c r="AI216" s="191"/>
      <x:c r="AJ216" s="191"/>
      <x:c r="AK216" s="191"/>
    </x:row>
    <x:row r="217">
      <x:c r="A217" s="191"/>
      <x:c r="B217" s="191"/>
      <x:c r="C217" s="191"/>
      <x:c r="D217" s="191"/>
      <x:c r="E217" s="191"/>
      <x:c r="F217" s="191"/>
      <x:c r="G217" s="191"/>
      <x:c r="H217" s="191"/>
      <x:c r="I217" s="191"/>
      <x:c r="J217" s="191"/>
      <x:c r="K217" s="191"/>
      <x:c r="L217" s="191"/>
      <x:c r="M217" s="191"/>
      <x:c r="N217" s="191"/>
      <x:c r="O217" s="191"/>
      <x:c r="P217" s="191"/>
      <x:c r="Q217" s="191"/>
      <x:c r="R217" s="191"/>
      <x:c r="S217" s="191"/>
      <x:c r="T217" s="191"/>
      <x:c r="U217" s="191"/>
      <x:c r="V217" s="191"/>
      <x:c r="W217" s="191"/>
      <x:c r="X217" s="191"/>
      <x:c r="Y217" s="191"/>
      <x:c r="Z217" s="191"/>
      <x:c r="AA217" s="191"/>
      <x:c r="AB217" s="191"/>
      <x:c r="AC217" s="191"/>
      <x:c r="AD217" s="191"/>
      <x:c r="AE217" s="191"/>
      <x:c r="AF217" s="191"/>
      <x:c r="AG217" s="191"/>
      <x:c r="AH217" s="191"/>
      <x:c r="AI217" s="191"/>
      <x:c r="AJ217" s="191"/>
      <x:c r="AK217" s="191"/>
    </x:row>
    <x:row r="218">
      <x:c r="A218" s="191"/>
      <x:c r="B218" s="191"/>
      <x:c r="C218" s="191"/>
      <x:c r="D218" s="191"/>
      <x:c r="E218" s="191"/>
      <x:c r="F218" s="191"/>
      <x:c r="G218" s="191"/>
      <x:c r="H218" s="191"/>
      <x:c r="I218" s="191"/>
      <x:c r="J218" s="191"/>
      <x:c r="K218" s="191"/>
      <x:c r="L218" s="191"/>
      <x:c r="M218" s="191"/>
      <x:c r="N218" s="191"/>
      <x:c r="O218" s="191"/>
      <x:c r="P218" s="191"/>
      <x:c r="Q218" s="191"/>
      <x:c r="R218" s="191"/>
      <x:c r="S218" s="191"/>
      <x:c r="T218" s="191"/>
      <x:c r="U218" s="191"/>
      <x:c r="V218" s="191"/>
      <x:c r="W218" s="191"/>
      <x:c r="X218" s="191"/>
      <x:c r="Y218" s="191"/>
      <x:c r="Z218" s="191"/>
      <x:c r="AA218" s="191"/>
      <x:c r="AB218" s="191"/>
      <x:c r="AC218" s="191"/>
      <x:c r="AD218" s="191"/>
      <x:c r="AE218" s="191"/>
      <x:c r="AF218" s="191"/>
      <x:c r="AG218" s="191"/>
      <x:c r="AH218" s="191"/>
      <x:c r="AI218" s="191"/>
      <x:c r="AJ218" s="191"/>
      <x:c r="AK218" s="191"/>
    </x:row>
    <x:row r="219">
      <x:c r="A219" s="191"/>
      <x:c r="B219" s="191"/>
      <x:c r="C219" s="191"/>
      <x:c r="D219" s="191"/>
      <x:c r="E219" s="191"/>
      <x:c r="F219" s="191"/>
      <x:c r="G219" s="191"/>
      <x:c r="H219" s="191"/>
      <x:c r="I219" s="191"/>
      <x:c r="J219" s="191"/>
      <x:c r="K219" s="191"/>
      <x:c r="L219" s="191"/>
      <x:c r="M219" s="191"/>
      <x:c r="N219" s="191"/>
      <x:c r="O219" s="191"/>
      <x:c r="P219" s="191"/>
      <x:c r="Q219" s="191"/>
      <x:c r="R219" s="191"/>
      <x:c r="S219" s="191"/>
      <x:c r="T219" s="191"/>
      <x:c r="U219" s="191"/>
      <x:c r="V219" s="191"/>
      <x:c r="W219" s="191"/>
      <x:c r="X219" s="191"/>
      <x:c r="Y219" s="191"/>
      <x:c r="Z219" s="191"/>
      <x:c r="AA219" s="191"/>
      <x:c r="AB219" s="191"/>
      <x:c r="AC219" s="191"/>
      <x:c r="AD219" s="191"/>
      <x:c r="AE219" s="191"/>
      <x:c r="AF219" s="191"/>
      <x:c r="AG219" s="191"/>
      <x:c r="AH219" s="191"/>
      <x:c r="AI219" s="191"/>
      <x:c r="AJ219" s="191"/>
      <x:c r="AK219" s="191"/>
    </x:row>
    <x:row r="220">
      <x:c r="A220" s="191"/>
      <x:c r="B220" s="191"/>
      <x:c r="C220" s="191"/>
      <x:c r="D220" s="191"/>
      <x:c r="E220" s="191"/>
      <x:c r="F220" s="191"/>
      <x:c r="G220" s="191"/>
      <x:c r="H220" s="191"/>
      <x:c r="I220" s="191"/>
      <x:c r="J220" s="191"/>
      <x:c r="K220" s="191"/>
      <x:c r="L220" s="191"/>
      <x:c r="M220" s="191"/>
      <x:c r="N220" s="191"/>
      <x:c r="O220" s="191"/>
      <x:c r="P220" s="191"/>
      <x:c r="Q220" s="191"/>
      <x:c r="R220" s="191"/>
      <x:c r="S220" s="191"/>
      <x:c r="T220" s="191"/>
      <x:c r="U220" s="191"/>
      <x:c r="V220" s="191"/>
      <x:c r="W220" s="191"/>
      <x:c r="X220" s="191"/>
      <x:c r="Y220" s="191"/>
      <x:c r="Z220" s="191"/>
      <x:c r="AA220" s="191"/>
      <x:c r="AB220" s="191"/>
      <x:c r="AC220" s="191"/>
      <x:c r="AD220" s="191"/>
      <x:c r="AE220" s="191"/>
      <x:c r="AF220" s="191"/>
      <x:c r="AG220" s="191"/>
      <x:c r="AH220" s="191"/>
      <x:c r="AI220" s="191"/>
      <x:c r="AJ220" s="191"/>
      <x:c r="AK220" s="191"/>
    </x:row>
    <x:row r="221">
      <x:c r="A221" s="191"/>
      <x:c r="B221" s="191"/>
      <x:c r="C221" s="191"/>
      <x:c r="D221" s="191"/>
      <x:c r="E221" s="191"/>
      <x:c r="F221" s="191"/>
      <x:c r="G221" s="191"/>
      <x:c r="H221" s="191"/>
      <x:c r="I221" s="191"/>
      <x:c r="J221" s="191"/>
      <x:c r="K221" s="191"/>
      <x:c r="L221" s="191"/>
      <x:c r="M221" s="191"/>
      <x:c r="N221" s="191"/>
      <x:c r="O221" s="191"/>
      <x:c r="P221" s="191"/>
      <x:c r="Q221" s="191"/>
      <x:c r="R221" s="191"/>
      <x:c r="S221" s="191"/>
      <x:c r="T221" s="191"/>
      <x:c r="U221" s="191"/>
      <x:c r="V221" s="191"/>
      <x:c r="W221" s="191"/>
      <x:c r="X221" s="191"/>
      <x:c r="Y221" s="191"/>
      <x:c r="Z221" s="191"/>
      <x:c r="AA221" s="191"/>
      <x:c r="AB221" s="191"/>
      <x:c r="AC221" s="191"/>
      <x:c r="AD221" s="191"/>
      <x:c r="AE221" s="191"/>
      <x:c r="AF221" s="191"/>
      <x:c r="AG221" s="191"/>
      <x:c r="AH221" s="191"/>
      <x:c r="AI221" s="191"/>
      <x:c r="AJ221" s="191"/>
      <x:c r="AK221" s="191"/>
    </x:row>
    <x:row r="222">
      <x:c r="A222" s="191"/>
      <x:c r="B222" s="191"/>
      <x:c r="C222" s="191"/>
      <x:c r="D222" s="191"/>
      <x:c r="E222" s="191"/>
      <x:c r="F222" s="191"/>
      <x:c r="G222" s="191"/>
      <x:c r="H222" s="191"/>
      <x:c r="I222" s="191"/>
      <x:c r="J222" s="191"/>
      <x:c r="K222" s="191"/>
      <x:c r="L222" s="191"/>
      <x:c r="M222" s="191"/>
      <x:c r="N222" s="191"/>
      <x:c r="O222" s="191"/>
      <x:c r="P222" s="191"/>
      <x:c r="Q222" s="191"/>
      <x:c r="R222" s="191"/>
      <x:c r="S222" s="191"/>
      <x:c r="T222" s="191"/>
      <x:c r="U222" s="191"/>
      <x:c r="V222" s="191"/>
      <x:c r="W222" s="191"/>
      <x:c r="X222" s="191"/>
      <x:c r="Y222" s="191"/>
      <x:c r="Z222" s="191"/>
      <x:c r="AA222" s="191"/>
      <x:c r="AB222" s="191"/>
      <x:c r="AC222" s="191"/>
      <x:c r="AD222" s="191"/>
      <x:c r="AE222" s="191"/>
      <x:c r="AF222" s="191"/>
      <x:c r="AG222" s="191"/>
      <x:c r="AH222" s="191"/>
      <x:c r="AI222" s="191"/>
      <x:c r="AJ222" s="191"/>
      <x:c r="AK222" s="191"/>
    </x:row>
    <x:row r="223">
      <x:c r="A223" s="191"/>
      <x:c r="B223" s="191"/>
      <x:c r="C223" s="191"/>
      <x:c r="D223" s="191"/>
      <x:c r="E223" s="191"/>
      <x:c r="F223" s="191"/>
      <x:c r="G223" s="191"/>
      <x:c r="H223" s="191"/>
      <x:c r="I223" s="191"/>
      <x:c r="J223" s="191"/>
      <x:c r="K223" s="191"/>
      <x:c r="L223" s="191"/>
      <x:c r="M223" s="191"/>
      <x:c r="N223" s="191"/>
      <x:c r="O223" s="191"/>
      <x:c r="P223" s="191"/>
      <x:c r="Q223" s="191"/>
      <x:c r="R223" s="191"/>
      <x:c r="S223" s="191"/>
      <x:c r="T223" s="191"/>
      <x:c r="U223" s="191"/>
      <x:c r="V223" s="191"/>
      <x:c r="W223" s="191"/>
      <x:c r="X223" s="191"/>
      <x:c r="Y223" s="191"/>
      <x:c r="Z223" s="191"/>
      <x:c r="AA223" s="191"/>
      <x:c r="AB223" s="191"/>
      <x:c r="AC223" s="191"/>
      <x:c r="AD223" s="191"/>
      <x:c r="AE223" s="191"/>
      <x:c r="AF223" s="191"/>
      <x:c r="AG223" s="191"/>
      <x:c r="AH223" s="191"/>
      <x:c r="AI223" s="191"/>
      <x:c r="AJ223" s="191"/>
      <x:c r="AK223" s="191"/>
    </x:row>
    <x:row r="224">
      <x:c r="A224" s="191"/>
      <x:c r="B224" s="191"/>
      <x:c r="C224" s="191"/>
      <x:c r="D224" s="191"/>
      <x:c r="E224" s="191"/>
      <x:c r="F224" s="191"/>
      <x:c r="G224" s="191"/>
      <x:c r="H224" s="191"/>
      <x:c r="I224" s="191"/>
      <x:c r="J224" s="191"/>
      <x:c r="K224" s="191"/>
      <x:c r="L224" s="191"/>
      <x:c r="M224" s="191"/>
      <x:c r="N224" s="191"/>
      <x:c r="O224" s="191"/>
      <x:c r="P224" s="191"/>
      <x:c r="Q224" s="191"/>
      <x:c r="R224" s="191"/>
      <x:c r="S224" s="191"/>
      <x:c r="T224" s="191"/>
      <x:c r="U224" s="191"/>
      <x:c r="V224" s="191"/>
      <x:c r="W224" s="191"/>
      <x:c r="X224" s="191"/>
      <x:c r="Y224" s="191"/>
      <x:c r="Z224" s="191"/>
      <x:c r="AA224" s="191"/>
      <x:c r="AB224" s="191"/>
      <x:c r="AC224" s="191"/>
      <x:c r="AD224" s="191"/>
      <x:c r="AE224" s="191"/>
      <x:c r="AF224" s="191"/>
      <x:c r="AG224" s="191"/>
      <x:c r="AH224" s="191"/>
      <x:c r="AI224" s="191"/>
      <x:c r="AJ224" s="191"/>
      <x:c r="AK224" s="191"/>
    </x:row>
    <x:row r="225">
      <x:c r="A225" s="191"/>
      <x:c r="B225" s="191"/>
      <x:c r="C225" s="191"/>
      <x:c r="D225" s="191"/>
      <x:c r="E225" s="191"/>
      <x:c r="F225" s="191"/>
      <x:c r="G225" s="191"/>
      <x:c r="H225" s="191"/>
      <x:c r="I225" s="191"/>
      <x:c r="J225" s="191"/>
      <x:c r="K225" s="191"/>
      <x:c r="L225" s="191"/>
      <x:c r="M225" s="191"/>
      <x:c r="N225" s="191"/>
      <x:c r="O225" s="191"/>
      <x:c r="P225" s="191"/>
      <x:c r="Q225" s="191"/>
      <x:c r="R225" s="191"/>
      <x:c r="S225" s="191"/>
      <x:c r="T225" s="191"/>
      <x:c r="U225" s="191"/>
      <x:c r="V225" s="191"/>
      <x:c r="W225" s="191"/>
      <x:c r="X225" s="191"/>
      <x:c r="Y225" s="191"/>
      <x:c r="Z225" s="191"/>
      <x:c r="AA225" s="191"/>
      <x:c r="AB225" s="191"/>
      <x:c r="AC225" s="191"/>
      <x:c r="AD225" s="191"/>
      <x:c r="AE225" s="191"/>
      <x:c r="AF225" s="191"/>
      <x:c r="AG225" s="191"/>
      <x:c r="AH225" s="191"/>
      <x:c r="AI225" s="191"/>
      <x:c r="AJ225" s="191"/>
      <x:c r="AK225" s="191"/>
    </x:row>
    <x:row r="226">
      <x:c r="A226" s="191"/>
      <x:c r="B226" s="191"/>
      <x:c r="C226" s="191"/>
      <x:c r="D226" s="191"/>
      <x:c r="E226" s="191"/>
      <x:c r="F226" s="191"/>
      <x:c r="G226" s="191"/>
      <x:c r="H226" s="191"/>
      <x:c r="I226" s="191"/>
      <x:c r="J226" s="191"/>
      <x:c r="K226" s="191"/>
      <x:c r="L226" s="191"/>
      <x:c r="M226" s="191"/>
      <x:c r="N226" s="191"/>
      <x:c r="O226" s="191"/>
      <x:c r="P226" s="191"/>
      <x:c r="Q226" s="191"/>
      <x:c r="R226" s="191"/>
      <x:c r="S226" s="191"/>
      <x:c r="T226" s="191"/>
      <x:c r="U226" s="191"/>
      <x:c r="V226" s="191"/>
      <x:c r="W226" s="191"/>
      <x:c r="X226" s="191"/>
      <x:c r="Y226" s="191"/>
      <x:c r="Z226" s="191"/>
      <x:c r="AA226" s="191"/>
      <x:c r="AB226" s="191"/>
      <x:c r="AC226" s="191"/>
      <x:c r="AD226" s="191"/>
      <x:c r="AE226" s="191"/>
      <x:c r="AF226" s="191"/>
      <x:c r="AG226" s="191"/>
      <x:c r="AH226" s="191"/>
      <x:c r="AI226" s="191"/>
      <x:c r="AJ226" s="191"/>
      <x:c r="AK226" s="191"/>
    </x:row>
    <x:row r="227">
      <x:c r="A227" s="191"/>
      <x:c r="B227" s="191"/>
      <x:c r="C227" s="191"/>
      <x:c r="D227" s="191"/>
      <x:c r="E227" s="191"/>
      <x:c r="F227" s="191"/>
      <x:c r="G227" s="191"/>
      <x:c r="H227" s="191"/>
      <x:c r="I227" s="191"/>
      <x:c r="J227" s="191"/>
      <x:c r="K227" s="191"/>
      <x:c r="L227" s="191"/>
      <x:c r="M227" s="191"/>
      <x:c r="N227" s="191"/>
      <x:c r="O227" s="191"/>
      <x:c r="P227" s="191"/>
      <x:c r="Q227" s="191"/>
      <x:c r="R227" s="191"/>
      <x:c r="S227" s="191"/>
      <x:c r="T227" s="191"/>
      <x:c r="U227" s="191"/>
      <x:c r="V227" s="191"/>
      <x:c r="W227" s="191"/>
      <x:c r="X227" s="191"/>
      <x:c r="Y227" s="191"/>
      <x:c r="Z227" s="191"/>
      <x:c r="AA227" s="191"/>
      <x:c r="AB227" s="191"/>
      <x:c r="AC227" s="191"/>
      <x:c r="AD227" s="191"/>
      <x:c r="AE227" s="191"/>
      <x:c r="AF227" s="191"/>
      <x:c r="AG227" s="191"/>
      <x:c r="AH227" s="191"/>
      <x:c r="AI227" s="191"/>
      <x:c r="AJ227" s="191"/>
      <x:c r="AK227" s="191"/>
    </x:row>
    <x:row r="228">
      <x:c r="A228" s="191"/>
      <x:c r="B228" s="191"/>
      <x:c r="C228" s="191"/>
      <x:c r="D228" s="191"/>
      <x:c r="E228" s="191"/>
      <x:c r="F228" s="191"/>
      <x:c r="G228" s="191"/>
      <x:c r="H228" s="191"/>
      <x:c r="I228" s="191"/>
      <x:c r="J228" s="191"/>
      <x:c r="K228" s="191"/>
      <x:c r="L228" s="191"/>
      <x:c r="M228" s="191"/>
      <x:c r="N228" s="191"/>
      <x:c r="O228" s="191"/>
      <x:c r="P228" s="191"/>
      <x:c r="Q228" s="191"/>
      <x:c r="R228" s="191"/>
      <x:c r="S228" s="191"/>
      <x:c r="T228" s="191"/>
      <x:c r="U228" s="191"/>
      <x:c r="V228" s="191"/>
      <x:c r="W228" s="191"/>
      <x:c r="X228" s="191"/>
      <x:c r="Y228" s="191"/>
      <x:c r="Z228" s="191"/>
      <x:c r="AA228" s="191"/>
      <x:c r="AB228" s="191"/>
      <x:c r="AC228" s="191"/>
      <x:c r="AD228" s="191"/>
      <x:c r="AE228" s="191"/>
      <x:c r="AF228" s="191"/>
      <x:c r="AG228" s="191"/>
      <x:c r="AH228" s="191"/>
      <x:c r="AI228" s="191"/>
      <x:c r="AJ228" s="191"/>
      <x:c r="AK228" s="191"/>
    </x:row>
    <x:row r="229">
      <x:c r="A229" s="191"/>
      <x:c r="B229" s="191"/>
      <x:c r="C229" s="191"/>
      <x:c r="D229" s="191"/>
      <x:c r="E229" s="191"/>
      <x:c r="F229" s="191"/>
      <x:c r="G229" s="191"/>
      <x:c r="H229" s="191"/>
      <x:c r="I229" s="191"/>
      <x:c r="J229" s="191"/>
      <x:c r="K229" s="191"/>
      <x:c r="L229" s="191"/>
      <x:c r="M229" s="191"/>
      <x:c r="N229" s="191"/>
      <x:c r="O229" s="191"/>
      <x:c r="P229" s="191"/>
      <x:c r="Q229" s="191"/>
      <x:c r="R229" s="191"/>
      <x:c r="S229" s="191"/>
      <x:c r="T229" s="191"/>
      <x:c r="U229" s="191"/>
      <x:c r="V229" s="191"/>
      <x:c r="W229" s="191"/>
      <x:c r="X229" s="191"/>
      <x:c r="Y229" s="191"/>
      <x:c r="Z229" s="191"/>
      <x:c r="AA229" s="191"/>
      <x:c r="AB229" s="191"/>
      <x:c r="AC229" s="191"/>
      <x:c r="AD229" s="191"/>
      <x:c r="AE229" s="191"/>
      <x:c r="AF229" s="191"/>
      <x:c r="AG229" s="191"/>
      <x:c r="AH229" s="191"/>
      <x:c r="AI229" s="191"/>
      <x:c r="AJ229" s="191"/>
      <x:c r="AK229" s="191"/>
    </x:row>
    <x:row r="230">
      <x:c r="A230" s="191"/>
      <x:c r="B230" s="191"/>
      <x:c r="C230" s="191"/>
      <x:c r="D230" s="191"/>
      <x:c r="E230" s="191"/>
      <x:c r="F230" s="191"/>
      <x:c r="G230" s="191"/>
      <x:c r="H230" s="191"/>
      <x:c r="I230" s="191"/>
      <x:c r="J230" s="191"/>
      <x:c r="K230" s="191"/>
      <x:c r="L230" s="191"/>
      <x:c r="M230" s="191"/>
      <x:c r="N230" s="191"/>
      <x:c r="O230" s="191"/>
      <x:c r="P230" s="191"/>
      <x:c r="Q230" s="191"/>
      <x:c r="R230" s="191"/>
      <x:c r="S230" s="191"/>
      <x:c r="T230" s="191"/>
      <x:c r="U230" s="191"/>
      <x:c r="V230" s="191"/>
      <x:c r="W230" s="191"/>
      <x:c r="X230" s="191"/>
      <x:c r="Y230" s="191"/>
      <x:c r="Z230" s="191"/>
      <x:c r="AA230" s="191"/>
      <x:c r="AB230" s="191"/>
      <x:c r="AC230" s="191"/>
      <x:c r="AD230" s="191"/>
      <x:c r="AE230" s="191"/>
      <x:c r="AF230" s="191"/>
      <x:c r="AG230" s="191"/>
      <x:c r="AH230" s="191"/>
      <x:c r="AI230" s="191"/>
      <x:c r="AJ230" s="191"/>
      <x:c r="AK230" s="191"/>
    </x:row>
    <x:row r="231">
      <x:c r="A231" s="191"/>
      <x:c r="B231" s="191"/>
      <x:c r="C231" s="191"/>
      <x:c r="D231" s="191"/>
      <x:c r="E231" s="191"/>
      <x:c r="F231" s="191"/>
      <x:c r="G231" s="191"/>
      <x:c r="H231" s="191"/>
      <x:c r="I231" s="191"/>
      <x:c r="J231" s="191"/>
      <x:c r="K231" s="191"/>
      <x:c r="L231" s="191"/>
      <x:c r="M231" s="191"/>
      <x:c r="N231" s="191"/>
      <x:c r="O231" s="191"/>
      <x:c r="P231" s="191"/>
      <x:c r="Q231" s="191"/>
      <x:c r="R231" s="191"/>
      <x:c r="S231" s="191"/>
      <x:c r="T231" s="191"/>
      <x:c r="U231" s="191"/>
      <x:c r="V231" s="191"/>
      <x:c r="W231" s="191"/>
      <x:c r="X231" s="191"/>
      <x:c r="Y231" s="191"/>
      <x:c r="Z231" s="191"/>
      <x:c r="AA231" s="191"/>
      <x:c r="AB231" s="191"/>
      <x:c r="AC231" s="191"/>
      <x:c r="AD231" s="191"/>
      <x:c r="AE231" s="191"/>
      <x:c r="AF231" s="191"/>
      <x:c r="AG231" s="191"/>
      <x:c r="AH231" s="191"/>
      <x:c r="AI231" s="191"/>
      <x:c r="AJ231" s="191"/>
      <x:c r="AK231" s="191"/>
    </x:row>
    <x:row r="232">
      <x:c r="A232" s="191"/>
      <x:c r="B232" s="191"/>
      <x:c r="C232" s="191"/>
      <x:c r="D232" s="191"/>
      <x:c r="E232" s="191"/>
      <x:c r="F232" s="191"/>
      <x:c r="G232" s="191"/>
      <x:c r="H232" s="191"/>
      <x:c r="I232" s="191"/>
      <x:c r="J232" s="191"/>
      <x:c r="K232" s="191"/>
      <x:c r="L232" s="191"/>
      <x:c r="M232" s="191"/>
      <x:c r="N232" s="191"/>
      <x:c r="O232" s="191"/>
      <x:c r="P232" s="191"/>
      <x:c r="Q232" s="191"/>
      <x:c r="R232" s="191"/>
      <x:c r="S232" s="191"/>
      <x:c r="T232" s="191"/>
      <x:c r="U232" s="191"/>
      <x:c r="V232" s="191"/>
      <x:c r="W232" s="191"/>
      <x:c r="X232" s="191"/>
      <x:c r="Y232" s="191"/>
      <x:c r="Z232" s="191"/>
      <x:c r="AA232" s="191"/>
      <x:c r="AB232" s="191"/>
      <x:c r="AC232" s="191"/>
      <x:c r="AD232" s="191"/>
      <x:c r="AE232" s="191"/>
      <x:c r="AF232" s="191"/>
      <x:c r="AG232" s="191"/>
      <x:c r="AH232" s="191"/>
      <x:c r="AI232" s="191"/>
      <x:c r="AJ232" s="191"/>
      <x:c r="AK232" s="191"/>
    </x:row>
    <x:row r="233">
      <x:c r="A233" s="191"/>
      <x:c r="B233" s="191"/>
      <x:c r="C233" s="191"/>
      <x:c r="D233" s="191"/>
      <x:c r="E233" s="191"/>
      <x:c r="F233" s="191"/>
      <x:c r="G233" s="191"/>
      <x:c r="H233" s="191"/>
      <x:c r="I233" s="191"/>
      <x:c r="J233" s="191"/>
      <x:c r="K233" s="191"/>
      <x:c r="L233" s="191"/>
      <x:c r="M233" s="191"/>
      <x:c r="N233" s="191"/>
      <x:c r="O233" s="191"/>
      <x:c r="P233" s="191"/>
      <x:c r="Q233" s="191"/>
      <x:c r="R233" s="191"/>
      <x:c r="S233" s="191"/>
      <x:c r="T233" s="191"/>
      <x:c r="U233" s="191"/>
      <x:c r="V233" s="191"/>
      <x:c r="W233" s="191"/>
      <x:c r="X233" s="191"/>
      <x:c r="Y233" s="191"/>
      <x:c r="Z233" s="191"/>
      <x:c r="AA233" s="191"/>
      <x:c r="AB233" s="191"/>
      <x:c r="AC233" s="191"/>
      <x:c r="AD233" s="191"/>
      <x:c r="AE233" s="191"/>
      <x:c r="AF233" s="191"/>
      <x:c r="AG233" s="191"/>
      <x:c r="AH233" s="191"/>
      <x:c r="AI233" s="191"/>
      <x:c r="AJ233" s="191"/>
      <x:c r="AK233" s="191"/>
    </x:row>
    <x:row r="234">
      <x:c r="A234" s="191"/>
      <x:c r="B234" s="191"/>
      <x:c r="C234" s="191"/>
      <x:c r="D234" s="191"/>
      <x:c r="E234" s="191"/>
      <x:c r="F234" s="191"/>
      <x:c r="G234" s="191"/>
      <x:c r="H234" s="191"/>
      <x:c r="I234" s="191"/>
      <x:c r="J234" s="191"/>
      <x:c r="K234" s="191"/>
      <x:c r="L234" s="191"/>
      <x:c r="M234" s="191"/>
      <x:c r="N234" s="191"/>
      <x:c r="O234" s="191"/>
      <x:c r="P234" s="191"/>
      <x:c r="Q234" s="191"/>
      <x:c r="R234" s="191"/>
      <x:c r="S234" s="191"/>
      <x:c r="T234" s="191"/>
      <x:c r="U234" s="191"/>
      <x:c r="V234" s="191"/>
      <x:c r="W234" s="191"/>
      <x:c r="X234" s="191"/>
      <x:c r="Y234" s="191"/>
      <x:c r="Z234" s="191"/>
      <x:c r="AA234" s="191"/>
      <x:c r="AB234" s="191"/>
      <x:c r="AC234" s="191"/>
      <x:c r="AD234" s="191"/>
      <x:c r="AE234" s="191"/>
      <x:c r="AF234" s="191"/>
      <x:c r="AG234" s="191"/>
      <x:c r="AH234" s="191"/>
      <x:c r="AI234" s="191"/>
      <x:c r="AJ234" s="191"/>
      <x:c r="AK234" s="191"/>
    </x:row>
    <x:row r="235">
      <x:c r="A235" s="191"/>
      <x:c r="B235" s="191"/>
      <x:c r="C235" s="191"/>
      <x:c r="D235" s="191"/>
      <x:c r="E235" s="191"/>
      <x:c r="F235" s="191"/>
      <x:c r="G235" s="191"/>
      <x:c r="H235" s="191"/>
      <x:c r="I235" s="191"/>
      <x:c r="J235" s="191"/>
      <x:c r="K235" s="191"/>
      <x:c r="L235" s="191"/>
      <x:c r="M235" s="191"/>
      <x:c r="N235" s="191"/>
      <x:c r="O235" s="191"/>
      <x:c r="P235" s="191"/>
      <x:c r="Q235" s="191"/>
      <x:c r="R235" s="191"/>
      <x:c r="S235" s="191"/>
      <x:c r="T235" s="191"/>
      <x:c r="U235" s="191"/>
      <x:c r="V235" s="191"/>
      <x:c r="W235" s="191"/>
      <x:c r="X235" s="191"/>
      <x:c r="Y235" s="191"/>
      <x:c r="Z235" s="191"/>
      <x:c r="AA235" s="191"/>
      <x:c r="AB235" s="191"/>
      <x:c r="AC235" s="191"/>
      <x:c r="AD235" s="191"/>
      <x:c r="AE235" s="191"/>
      <x:c r="AF235" s="191"/>
      <x:c r="AG235" s="191"/>
      <x:c r="AH235" s="191"/>
      <x:c r="AI235" s="191"/>
      <x:c r="AJ235" s="191"/>
      <x:c r="AK235" s="191"/>
    </x:row>
    <x:row r="236">
      <x:c r="A236" s="191"/>
      <x:c r="B236" s="191"/>
      <x:c r="C236" s="191"/>
      <x:c r="D236" s="191"/>
      <x:c r="E236" s="191"/>
      <x:c r="F236" s="191"/>
      <x:c r="G236" s="191"/>
      <x:c r="H236" s="191"/>
      <x:c r="I236" s="191"/>
      <x:c r="J236" s="191"/>
      <x:c r="K236" s="191"/>
      <x:c r="L236" s="191"/>
      <x:c r="M236" s="191"/>
      <x:c r="N236" s="191"/>
      <x:c r="O236" s="191"/>
      <x:c r="P236" s="191"/>
      <x:c r="Q236" s="191"/>
      <x:c r="R236" s="191"/>
      <x:c r="S236" s="191"/>
      <x:c r="T236" s="191"/>
      <x:c r="U236" s="191"/>
      <x:c r="V236" s="191"/>
      <x:c r="W236" s="191"/>
      <x:c r="X236" s="191"/>
      <x:c r="Y236" s="191"/>
      <x:c r="Z236" s="191"/>
      <x:c r="AA236" s="191"/>
      <x:c r="AB236" s="191"/>
      <x:c r="AC236" s="191"/>
      <x:c r="AD236" s="191"/>
      <x:c r="AE236" s="191"/>
      <x:c r="AF236" s="191"/>
      <x:c r="AG236" s="191"/>
      <x:c r="AH236" s="191"/>
      <x:c r="AI236" s="191"/>
      <x:c r="AJ236" s="191"/>
      <x:c r="AK236" s="191"/>
    </x:row>
    <x:row r="237">
      <x:c r="A237" s="191"/>
      <x:c r="B237" s="191"/>
      <x:c r="C237" s="191"/>
      <x:c r="D237" s="191"/>
      <x:c r="E237" s="191"/>
      <x:c r="F237" s="191"/>
      <x:c r="G237" s="191"/>
      <x:c r="H237" s="191"/>
      <x:c r="I237" s="191"/>
      <x:c r="J237" s="191"/>
      <x:c r="K237" s="191"/>
      <x:c r="L237" s="191"/>
      <x:c r="M237" s="191"/>
      <x:c r="N237" s="191"/>
      <x:c r="O237" s="191"/>
      <x:c r="P237" s="191"/>
      <x:c r="Q237" s="191"/>
      <x:c r="R237" s="191"/>
      <x:c r="S237" s="191"/>
      <x:c r="T237" s="191"/>
      <x:c r="U237" s="191"/>
      <x:c r="V237" s="191"/>
      <x:c r="W237" s="191"/>
      <x:c r="X237" s="191"/>
      <x:c r="Y237" s="191"/>
      <x:c r="Z237" s="191"/>
      <x:c r="AA237" s="191"/>
      <x:c r="AB237" s="191"/>
      <x:c r="AC237" s="191"/>
      <x:c r="AD237" s="191"/>
      <x:c r="AE237" s="191"/>
      <x:c r="AF237" s="191"/>
      <x:c r="AG237" s="191"/>
      <x:c r="AH237" s="191"/>
      <x:c r="AI237" s="191"/>
      <x:c r="AJ237" s="191"/>
      <x:c r="AK237" s="191"/>
    </x:row>
    <x:row r="238">
      <x:c r="A238" s="191"/>
      <x:c r="B238" s="191"/>
      <x:c r="C238" s="191"/>
      <x:c r="D238" s="191"/>
      <x:c r="E238" s="191"/>
      <x:c r="F238" s="191"/>
      <x:c r="G238" s="191"/>
      <x:c r="H238" s="191"/>
      <x:c r="I238" s="191"/>
      <x:c r="J238" s="191"/>
      <x:c r="K238" s="191"/>
      <x:c r="L238" s="191"/>
      <x:c r="M238" s="191"/>
      <x:c r="N238" s="191"/>
      <x:c r="O238" s="191"/>
      <x:c r="P238" s="191"/>
      <x:c r="Q238" s="191"/>
      <x:c r="R238" s="191"/>
      <x:c r="S238" s="191"/>
      <x:c r="T238" s="191"/>
      <x:c r="U238" s="191"/>
      <x:c r="V238" s="191"/>
      <x:c r="W238" s="191"/>
      <x:c r="X238" s="191"/>
      <x:c r="Y238" s="191"/>
      <x:c r="Z238" s="191"/>
      <x:c r="AA238" s="191"/>
      <x:c r="AB238" s="191"/>
      <x:c r="AC238" s="191"/>
      <x:c r="AD238" s="191"/>
      <x:c r="AE238" s="191"/>
      <x:c r="AF238" s="191"/>
      <x:c r="AG238" s="191"/>
      <x:c r="AH238" s="191"/>
      <x:c r="AI238" s="191"/>
      <x:c r="AJ238" s="191"/>
      <x:c r="AK238" s="191"/>
    </x:row>
    <x:row r="239">
      <x:c r="A239" s="191"/>
      <x:c r="B239" s="191"/>
      <x:c r="C239" s="191"/>
      <x:c r="D239" s="191"/>
      <x:c r="E239" s="191"/>
      <x:c r="F239" s="191"/>
      <x:c r="G239" s="191"/>
      <x:c r="H239" s="191"/>
      <x:c r="I239" s="191"/>
      <x:c r="J239" s="191"/>
      <x:c r="K239" s="191"/>
      <x:c r="L239" s="191"/>
      <x:c r="M239" s="191"/>
      <x:c r="N239" s="191"/>
      <x:c r="O239" s="191"/>
      <x:c r="P239" s="191"/>
      <x:c r="Q239" s="191"/>
      <x:c r="R239" s="191"/>
      <x:c r="S239" s="191"/>
      <x:c r="T239" s="191"/>
      <x:c r="U239" s="191"/>
      <x:c r="V239" s="191"/>
      <x:c r="W239" s="191"/>
      <x:c r="X239" s="191"/>
      <x:c r="Y239" s="191"/>
      <x:c r="Z239" s="191"/>
      <x:c r="AA239" s="191"/>
      <x:c r="AB239" s="191"/>
      <x:c r="AC239" s="191"/>
      <x:c r="AD239" s="191"/>
      <x:c r="AE239" s="191"/>
      <x:c r="AF239" s="191"/>
      <x:c r="AG239" s="191"/>
      <x:c r="AH239" s="191"/>
      <x:c r="AI239" s="191"/>
      <x:c r="AJ239" s="191"/>
      <x:c r="AK239" s="191"/>
    </x:row>
    <x:row r="240">
      <x:c r="A240" s="191"/>
      <x:c r="B240" s="191"/>
      <x:c r="C240" s="191"/>
      <x:c r="D240" s="191"/>
      <x:c r="E240" s="191"/>
      <x:c r="F240" s="191"/>
      <x:c r="G240" s="191"/>
      <x:c r="H240" s="191"/>
      <x:c r="I240" s="191"/>
      <x:c r="J240" s="191"/>
      <x:c r="K240" s="191"/>
      <x:c r="L240" s="191"/>
      <x:c r="M240" s="191"/>
      <x:c r="N240" s="191"/>
      <x:c r="O240" s="191"/>
      <x:c r="P240" s="191"/>
      <x:c r="Q240" s="191"/>
      <x:c r="R240" s="191"/>
      <x:c r="S240" s="191"/>
      <x:c r="T240" s="191"/>
      <x:c r="U240" s="191"/>
      <x:c r="V240" s="191"/>
      <x:c r="W240" s="191"/>
      <x:c r="X240" s="191"/>
      <x:c r="Y240" s="191"/>
      <x:c r="Z240" s="191"/>
      <x:c r="AA240" s="191"/>
      <x:c r="AB240" s="191"/>
      <x:c r="AC240" s="191"/>
      <x:c r="AD240" s="191"/>
      <x:c r="AE240" s="191"/>
      <x:c r="AF240" s="191"/>
      <x:c r="AG240" s="191"/>
      <x:c r="AH240" s="191"/>
      <x:c r="AI240" s="191"/>
      <x:c r="AJ240" s="191"/>
      <x:c r="AK240" s="191"/>
    </x:row>
    <x:row r="241">
      <x:c r="A241" s="191"/>
      <x:c r="B241" s="191"/>
      <x:c r="C241" s="191"/>
      <x:c r="D241" s="191"/>
      <x:c r="E241" s="191"/>
      <x:c r="F241" s="191"/>
      <x:c r="G241" s="191"/>
      <x:c r="H241" s="191"/>
      <x:c r="I241" s="191"/>
      <x:c r="J241" s="191"/>
      <x:c r="K241" s="191"/>
      <x:c r="L241" s="191"/>
      <x:c r="M241" s="191"/>
      <x:c r="N241" s="191"/>
      <x:c r="O241" s="191"/>
      <x:c r="P241" s="191"/>
      <x:c r="Q241" s="191"/>
      <x:c r="R241" s="191"/>
      <x:c r="S241" s="191"/>
      <x:c r="T241" s="191"/>
      <x:c r="U241" s="191"/>
      <x:c r="V241" s="191"/>
      <x:c r="W241" s="191"/>
      <x:c r="X241" s="191"/>
      <x:c r="Y241" s="191"/>
      <x:c r="Z241" s="191"/>
      <x:c r="AA241" s="191"/>
      <x:c r="AB241" s="191"/>
      <x:c r="AC241" s="191"/>
      <x:c r="AD241" s="191"/>
      <x:c r="AE241" s="191"/>
      <x:c r="AF241" s="191"/>
      <x:c r="AG241" s="191"/>
      <x:c r="AH241" s="191"/>
      <x:c r="AI241" s="191"/>
      <x:c r="AJ241" s="191"/>
      <x:c r="AK241" s="191"/>
    </x:row>
    <x:row r="242">
      <x:c r="A242" s="191"/>
      <x:c r="B242" s="191"/>
      <x:c r="C242" s="191"/>
      <x:c r="D242" s="191"/>
      <x:c r="E242" s="191"/>
      <x:c r="F242" s="191"/>
      <x:c r="G242" s="191"/>
      <x:c r="H242" s="191"/>
      <x:c r="I242" s="191"/>
      <x:c r="J242" s="191"/>
      <x:c r="K242" s="191"/>
      <x:c r="L242" s="191"/>
      <x:c r="M242" s="191"/>
      <x:c r="N242" s="191"/>
      <x:c r="O242" s="191"/>
      <x:c r="P242" s="191"/>
      <x:c r="Q242" s="191"/>
      <x:c r="R242" s="191"/>
      <x:c r="S242" s="191"/>
      <x:c r="T242" s="191"/>
      <x:c r="U242" s="191"/>
      <x:c r="V242" s="191"/>
      <x:c r="W242" s="191"/>
      <x:c r="X242" s="191"/>
      <x:c r="Y242" s="191"/>
      <x:c r="Z242" s="191"/>
      <x:c r="AA242" s="191"/>
      <x:c r="AB242" s="191"/>
      <x:c r="AC242" s="191"/>
      <x:c r="AD242" s="191"/>
      <x:c r="AE242" s="191"/>
      <x:c r="AF242" s="191"/>
      <x:c r="AG242" s="191"/>
      <x:c r="AH242" s="191"/>
      <x:c r="AI242" s="191"/>
      <x:c r="AJ242" s="191"/>
      <x:c r="AK242" s="191"/>
    </x:row>
    <x:row r="243">
      <x:c r="A243" s="191"/>
      <x:c r="B243" s="191"/>
      <x:c r="C243" s="191"/>
      <x:c r="D243" s="191"/>
      <x:c r="E243" s="191"/>
      <x:c r="F243" s="191"/>
      <x:c r="G243" s="191"/>
      <x:c r="H243" s="191"/>
      <x:c r="I243" s="191"/>
      <x:c r="J243" s="191"/>
      <x:c r="K243" s="191"/>
      <x:c r="L243" s="191"/>
      <x:c r="M243" s="191"/>
      <x:c r="N243" s="191"/>
      <x:c r="O243" s="191"/>
      <x:c r="P243" s="191"/>
      <x:c r="Q243" s="191"/>
      <x:c r="R243" s="191"/>
      <x:c r="S243" s="191"/>
      <x:c r="T243" s="191"/>
      <x:c r="U243" s="191"/>
      <x:c r="V243" s="191"/>
      <x:c r="W243" s="191"/>
      <x:c r="X243" s="191"/>
      <x:c r="Y243" s="191"/>
      <x:c r="Z243" s="191"/>
      <x:c r="AA243" s="191"/>
      <x:c r="AB243" s="191"/>
      <x:c r="AC243" s="191"/>
      <x:c r="AD243" s="191"/>
      <x:c r="AE243" s="191"/>
      <x:c r="AF243" s="191"/>
      <x:c r="AG243" s="191"/>
      <x:c r="AH243" s="191"/>
      <x:c r="AI243" s="191"/>
      <x:c r="AJ243" s="191"/>
      <x:c r="AK243" s="191"/>
    </x:row>
    <x:row r="244">
      <x:c r="A244" s="191"/>
      <x:c r="B244" s="191"/>
      <x:c r="C244" s="191"/>
      <x:c r="D244" s="191"/>
      <x:c r="E244" s="191"/>
      <x:c r="F244" s="191"/>
      <x:c r="G244" s="191"/>
      <x:c r="H244" s="191"/>
      <x:c r="I244" s="191"/>
      <x:c r="J244" s="191"/>
      <x:c r="K244" s="191"/>
      <x:c r="L244" s="191"/>
      <x:c r="M244" s="191"/>
      <x:c r="N244" s="191"/>
      <x:c r="O244" s="191"/>
      <x:c r="P244" s="191"/>
      <x:c r="Q244" s="191"/>
      <x:c r="R244" s="191"/>
      <x:c r="S244" s="191"/>
      <x:c r="T244" s="191"/>
      <x:c r="U244" s="191"/>
      <x:c r="V244" s="191"/>
      <x:c r="W244" s="191"/>
      <x:c r="X244" s="191"/>
      <x:c r="Y244" s="191"/>
      <x:c r="Z244" s="191"/>
      <x:c r="AA244" s="191"/>
      <x:c r="AB244" s="191"/>
      <x:c r="AC244" s="191"/>
      <x:c r="AD244" s="191"/>
      <x:c r="AE244" s="191"/>
      <x:c r="AF244" s="191"/>
      <x:c r="AG244" s="191"/>
      <x:c r="AH244" s="191"/>
      <x:c r="AI244" s="191"/>
      <x:c r="AJ244" s="191"/>
      <x:c r="AK244" s="191"/>
    </x:row>
    <x:row r="245">
      <x:c r="A245" s="191"/>
      <x:c r="B245" s="191"/>
      <x:c r="C245" s="191"/>
      <x:c r="D245" s="191"/>
      <x:c r="E245" s="191"/>
      <x:c r="F245" s="191"/>
      <x:c r="G245" s="191"/>
      <x:c r="H245" s="191"/>
      <x:c r="I245" s="191"/>
      <x:c r="J245" s="191"/>
      <x:c r="K245" s="191"/>
      <x:c r="L245" s="191"/>
      <x:c r="M245" s="191"/>
      <x:c r="N245" s="191"/>
      <x:c r="O245" s="191"/>
      <x:c r="P245" s="191"/>
      <x:c r="Q245" s="191"/>
      <x:c r="R245" s="191"/>
      <x:c r="S245" s="191"/>
      <x:c r="T245" s="191"/>
      <x:c r="U245" s="191"/>
      <x:c r="V245" s="191"/>
      <x:c r="W245" s="191"/>
      <x:c r="X245" s="191"/>
      <x:c r="Y245" s="191"/>
      <x:c r="Z245" s="191"/>
      <x:c r="AA245" s="191"/>
      <x:c r="AB245" s="191"/>
      <x:c r="AC245" s="191"/>
      <x:c r="AD245" s="191"/>
      <x:c r="AE245" s="191"/>
      <x:c r="AF245" s="191"/>
      <x:c r="AG245" s="191"/>
      <x:c r="AH245" s="191"/>
      <x:c r="AI245" s="191"/>
      <x:c r="AJ245" s="191"/>
      <x:c r="AK245" s="191"/>
    </x:row>
    <x:row r="246">
      <x:c r="A246" s="191"/>
      <x:c r="B246" s="191"/>
      <x:c r="C246" s="191"/>
      <x:c r="D246" s="191"/>
      <x:c r="E246" s="191"/>
      <x:c r="F246" s="191"/>
      <x:c r="G246" s="191"/>
      <x:c r="H246" s="191"/>
      <x:c r="I246" s="191"/>
      <x:c r="J246" s="191"/>
      <x:c r="K246" s="191"/>
      <x:c r="L246" s="191"/>
      <x:c r="M246" s="191"/>
      <x:c r="N246" s="191"/>
      <x:c r="O246" s="191"/>
      <x:c r="P246" s="191"/>
      <x:c r="Q246" s="191"/>
      <x:c r="R246" s="191"/>
      <x:c r="S246" s="191"/>
      <x:c r="T246" s="191"/>
      <x:c r="U246" s="191"/>
      <x:c r="V246" s="191"/>
      <x:c r="W246" s="191"/>
      <x:c r="X246" s="191"/>
      <x:c r="Y246" s="191"/>
      <x:c r="Z246" s="191"/>
      <x:c r="AA246" s="191"/>
      <x:c r="AB246" s="191"/>
      <x:c r="AC246" s="191"/>
      <x:c r="AD246" s="191"/>
      <x:c r="AE246" s="191"/>
      <x:c r="AF246" s="191"/>
      <x:c r="AG246" s="191"/>
      <x:c r="AH246" s="191"/>
      <x:c r="AI246" s="191"/>
      <x:c r="AJ246" s="191"/>
      <x:c r="AK246" s="191"/>
    </x:row>
    <x:row r="247">
      <x:c r="A247" s="191"/>
      <x:c r="B247" s="191"/>
      <x:c r="C247" s="191"/>
      <x:c r="D247" s="191"/>
      <x:c r="E247" s="191"/>
      <x:c r="F247" s="191"/>
      <x:c r="G247" s="191"/>
      <x:c r="H247" s="191"/>
      <x:c r="I247" s="191"/>
      <x:c r="J247" s="191"/>
      <x:c r="K247" s="191"/>
      <x:c r="L247" s="191"/>
      <x:c r="M247" s="191"/>
      <x:c r="N247" s="191"/>
      <x:c r="O247" s="191"/>
      <x:c r="P247" s="191"/>
      <x:c r="Q247" s="191"/>
      <x:c r="R247" s="191"/>
      <x:c r="S247" s="191"/>
      <x:c r="T247" s="191"/>
      <x:c r="U247" s="191"/>
      <x:c r="V247" s="191"/>
      <x:c r="W247" s="191"/>
      <x:c r="X247" s="191"/>
      <x:c r="Y247" s="191"/>
      <x:c r="Z247" s="191"/>
      <x:c r="AA247" s="191"/>
      <x:c r="AB247" s="191"/>
      <x:c r="AC247" s="191"/>
      <x:c r="AD247" s="191"/>
      <x:c r="AE247" s="191"/>
      <x:c r="AF247" s="191"/>
      <x:c r="AG247" s="191"/>
      <x:c r="AH247" s="191"/>
      <x:c r="AI247" s="191"/>
      <x:c r="AJ247" s="191"/>
      <x:c r="AK247" s="191"/>
    </x:row>
    <x:row r="248">
      <x:c r="A248" s="191"/>
      <x:c r="B248" s="191"/>
      <x:c r="C248" s="191"/>
      <x:c r="D248" s="191"/>
      <x:c r="E248" s="191"/>
      <x:c r="F248" s="191"/>
      <x:c r="G248" s="191"/>
      <x:c r="H248" s="191"/>
      <x:c r="I248" s="191"/>
      <x:c r="J248" s="191"/>
      <x:c r="K248" s="191"/>
      <x:c r="L248" s="191"/>
      <x:c r="M248" s="191"/>
      <x:c r="N248" s="191"/>
      <x:c r="O248" s="191"/>
      <x:c r="P248" s="191"/>
      <x:c r="Q248" s="191"/>
      <x:c r="R248" s="191"/>
      <x:c r="S248" s="191"/>
      <x:c r="T248" s="191"/>
      <x:c r="U248" s="191"/>
      <x:c r="V248" s="191"/>
      <x:c r="W248" s="191"/>
      <x:c r="X248" s="191"/>
      <x:c r="Y248" s="191"/>
      <x:c r="Z248" s="191"/>
      <x:c r="AA248" s="191"/>
      <x:c r="AB248" s="191"/>
      <x:c r="AC248" s="191"/>
      <x:c r="AD248" s="191"/>
      <x:c r="AE248" s="191"/>
      <x:c r="AF248" s="191"/>
      <x:c r="AG248" s="191"/>
      <x:c r="AH248" s="191"/>
      <x:c r="AI248" s="191"/>
      <x:c r="AJ248" s="191"/>
      <x:c r="AK248" s="191"/>
    </x:row>
    <x:row r="249">
      <x:c r="A249" s="191"/>
      <x:c r="B249" s="191"/>
      <x:c r="C249" s="191"/>
      <x:c r="D249" s="191"/>
      <x:c r="E249" s="191"/>
      <x:c r="F249" s="191"/>
      <x:c r="G249" s="191"/>
      <x:c r="H249" s="191"/>
      <x:c r="I249" s="191"/>
      <x:c r="J249" s="191"/>
      <x:c r="K249" s="191"/>
      <x:c r="L249" s="191"/>
      <x:c r="M249" s="191"/>
      <x:c r="N249" s="191"/>
      <x:c r="O249" s="191"/>
      <x:c r="P249" s="191"/>
      <x:c r="Q249" s="191"/>
      <x:c r="R249" s="191"/>
      <x:c r="S249" s="191"/>
      <x:c r="T249" s="191"/>
      <x:c r="U249" s="191"/>
      <x:c r="V249" s="191"/>
      <x:c r="W249" s="191"/>
      <x:c r="X249" s="191"/>
      <x:c r="Y249" s="191"/>
      <x:c r="Z249" s="191"/>
      <x:c r="AA249" s="191"/>
      <x:c r="AB249" s="191"/>
      <x:c r="AC249" s="191"/>
      <x:c r="AD249" s="191"/>
      <x:c r="AE249" s="191"/>
      <x:c r="AF249" s="191"/>
      <x:c r="AG249" s="191"/>
      <x:c r="AH249" s="191"/>
      <x:c r="AI249" s="191"/>
      <x:c r="AJ249" s="191"/>
      <x:c r="AK249" s="191"/>
    </x:row>
    <x:row r="250">
      <x:c r="A250" s="191"/>
      <x:c r="B250" s="191"/>
      <x:c r="C250" s="191"/>
      <x:c r="D250" s="191"/>
      <x:c r="E250" s="191"/>
      <x:c r="F250" s="191"/>
      <x:c r="G250" s="191"/>
      <x:c r="H250" s="191"/>
      <x:c r="I250" s="191"/>
      <x:c r="J250" s="191"/>
      <x:c r="K250" s="191"/>
      <x:c r="L250" s="191"/>
      <x:c r="M250" s="191"/>
      <x:c r="N250" s="191"/>
      <x:c r="O250" s="191"/>
      <x:c r="P250" s="191"/>
      <x:c r="Q250" s="191"/>
      <x:c r="R250" s="191"/>
      <x:c r="S250" s="191"/>
      <x:c r="T250" s="191"/>
      <x:c r="U250" s="191"/>
      <x:c r="V250" s="191"/>
      <x:c r="W250" s="191"/>
      <x:c r="X250" s="191"/>
      <x:c r="Y250" s="191"/>
      <x:c r="Z250" s="191"/>
      <x:c r="AA250" s="191"/>
      <x:c r="AB250" s="191"/>
      <x:c r="AC250" s="191"/>
      <x:c r="AD250" s="191"/>
      <x:c r="AE250" s="191"/>
      <x:c r="AF250" s="191"/>
      <x:c r="AG250" s="191"/>
      <x:c r="AH250" s="191"/>
      <x:c r="AI250" s="191"/>
      <x:c r="AJ250" s="191"/>
      <x:c r="AK250" s="191"/>
    </x:row>
    <x:row r="251">
      <x:c r="A251" s="191"/>
      <x:c r="B251" s="191"/>
      <x:c r="C251" s="191"/>
      <x:c r="D251" s="191"/>
      <x:c r="E251" s="191"/>
      <x:c r="F251" s="191"/>
      <x:c r="G251" s="191"/>
      <x:c r="H251" s="191"/>
      <x:c r="I251" s="191"/>
      <x:c r="J251" s="191"/>
      <x:c r="K251" s="191"/>
      <x:c r="L251" s="191"/>
      <x:c r="M251" s="191"/>
      <x:c r="N251" s="191"/>
      <x:c r="O251" s="191"/>
      <x:c r="P251" s="191"/>
      <x:c r="Q251" s="191"/>
      <x:c r="R251" s="191"/>
      <x:c r="S251" s="191"/>
      <x:c r="T251" s="191"/>
      <x:c r="U251" s="191"/>
      <x:c r="V251" s="191"/>
      <x:c r="W251" s="191"/>
      <x:c r="X251" s="191"/>
      <x:c r="Y251" s="191"/>
      <x:c r="Z251" s="191"/>
      <x:c r="AA251" s="191"/>
      <x:c r="AB251" s="191"/>
      <x:c r="AC251" s="191"/>
      <x:c r="AD251" s="191"/>
      <x:c r="AE251" s="191"/>
      <x:c r="AF251" s="191"/>
      <x:c r="AG251" s="191"/>
      <x:c r="AH251" s="191"/>
      <x:c r="AI251" s="191"/>
      <x:c r="AJ251" s="191"/>
      <x:c r="AK251" s="191"/>
    </x:row>
    <x:row r="252">
      <x:c r="A252" s="191"/>
      <x:c r="B252" s="191"/>
      <x:c r="C252" s="191"/>
      <x:c r="D252" s="191"/>
      <x:c r="E252" s="191"/>
      <x:c r="F252" s="191"/>
      <x:c r="G252" s="191"/>
      <x:c r="H252" s="191"/>
      <x:c r="I252" s="191"/>
      <x:c r="J252" s="191"/>
      <x:c r="K252" s="191"/>
      <x:c r="L252" s="191"/>
      <x:c r="M252" s="191"/>
      <x:c r="N252" s="191"/>
      <x:c r="O252" s="191"/>
      <x:c r="P252" s="191"/>
      <x:c r="Q252" s="191"/>
      <x:c r="R252" s="191"/>
      <x:c r="S252" s="191"/>
      <x:c r="T252" s="191"/>
      <x:c r="U252" s="191"/>
      <x:c r="V252" s="191"/>
      <x:c r="W252" s="191"/>
      <x:c r="X252" s="191"/>
      <x:c r="Y252" s="191"/>
      <x:c r="Z252" s="191"/>
      <x:c r="AA252" s="191"/>
      <x:c r="AB252" s="191"/>
      <x:c r="AC252" s="191"/>
      <x:c r="AD252" s="191"/>
      <x:c r="AE252" s="191"/>
      <x:c r="AF252" s="191"/>
      <x:c r="AG252" s="191"/>
      <x:c r="AH252" s="191"/>
      <x:c r="AI252" s="191"/>
      <x:c r="AJ252" s="191"/>
      <x:c r="AK252" s="191"/>
    </x:row>
    <x:row r="253">
      <x:c r="A253" s="191"/>
      <x:c r="B253" s="191"/>
      <x:c r="C253" s="191"/>
      <x:c r="D253" s="191"/>
      <x:c r="E253" s="191"/>
      <x:c r="F253" s="191"/>
      <x:c r="G253" s="191"/>
      <x:c r="H253" s="191"/>
      <x:c r="I253" s="191"/>
      <x:c r="J253" s="191"/>
      <x:c r="K253" s="191"/>
      <x:c r="L253" s="191"/>
      <x:c r="M253" s="191"/>
      <x:c r="N253" s="191"/>
      <x:c r="O253" s="191"/>
      <x:c r="P253" s="191"/>
      <x:c r="Q253" s="191"/>
      <x:c r="R253" s="191"/>
      <x:c r="S253" s="191"/>
      <x:c r="T253" s="191"/>
      <x:c r="U253" s="191"/>
      <x:c r="V253" s="191"/>
      <x:c r="W253" s="191"/>
      <x:c r="X253" s="191"/>
      <x:c r="Y253" s="191"/>
      <x:c r="Z253" s="191"/>
      <x:c r="AA253" s="191"/>
      <x:c r="AB253" s="191"/>
      <x:c r="AC253" s="191"/>
      <x:c r="AD253" s="191"/>
      <x:c r="AE253" s="191"/>
      <x:c r="AF253" s="191"/>
      <x:c r="AG253" s="191"/>
      <x:c r="AH253" s="191"/>
      <x:c r="AI253" s="191"/>
      <x:c r="AJ253" s="191"/>
      <x:c r="AK253" s="191"/>
    </x:row>
    <x:row r="254">
      <x:c r="A254" s="191"/>
      <x:c r="B254" s="191"/>
      <x:c r="C254" s="191"/>
      <x:c r="D254" s="191"/>
      <x:c r="E254" s="191"/>
      <x:c r="F254" s="191"/>
      <x:c r="G254" s="191"/>
      <x:c r="H254" s="191"/>
      <x:c r="I254" s="191"/>
      <x:c r="J254" s="191"/>
      <x:c r="K254" s="191"/>
      <x:c r="L254" s="191"/>
      <x:c r="M254" s="191"/>
      <x:c r="N254" s="191"/>
      <x:c r="O254" s="191"/>
      <x:c r="P254" s="191"/>
      <x:c r="Q254" s="191"/>
      <x:c r="R254" s="191"/>
      <x:c r="S254" s="191"/>
      <x:c r="T254" s="191"/>
      <x:c r="U254" s="191"/>
      <x:c r="V254" s="191"/>
      <x:c r="W254" s="191"/>
      <x:c r="X254" s="191"/>
      <x:c r="Y254" s="191"/>
      <x:c r="Z254" s="191"/>
      <x:c r="AA254" s="191"/>
      <x:c r="AB254" s="191"/>
      <x:c r="AC254" s="191"/>
      <x:c r="AD254" s="191"/>
      <x:c r="AE254" s="191"/>
      <x:c r="AF254" s="191"/>
      <x:c r="AG254" s="191"/>
      <x:c r="AH254" s="191"/>
      <x:c r="AI254" s="191"/>
      <x:c r="AJ254" s="191"/>
      <x:c r="AK254" s="191"/>
    </x:row>
    <x:row r="255">
      <x:c r="A255" s="191"/>
      <x:c r="B255" s="191"/>
      <x:c r="C255" s="191"/>
      <x:c r="D255" s="191"/>
      <x:c r="E255" s="191"/>
      <x:c r="F255" s="191"/>
      <x:c r="G255" s="191"/>
      <x:c r="H255" s="191"/>
      <x:c r="I255" s="191"/>
      <x:c r="J255" s="191"/>
      <x:c r="K255" s="191"/>
      <x:c r="L255" s="191"/>
      <x:c r="M255" s="191"/>
      <x:c r="N255" s="191"/>
      <x:c r="O255" s="191"/>
      <x:c r="P255" s="191"/>
      <x:c r="Q255" s="191"/>
      <x:c r="R255" s="191"/>
      <x:c r="S255" s="191"/>
      <x:c r="T255" s="191"/>
      <x:c r="U255" s="191"/>
      <x:c r="V255" s="191"/>
      <x:c r="W255" s="191"/>
      <x:c r="X255" s="191"/>
      <x:c r="Y255" s="191"/>
      <x:c r="Z255" s="191"/>
      <x:c r="AA255" s="191"/>
      <x:c r="AB255" s="191"/>
      <x:c r="AC255" s="191"/>
      <x:c r="AD255" s="191"/>
      <x:c r="AE255" s="191"/>
      <x:c r="AF255" s="191"/>
      <x:c r="AG255" s="191"/>
      <x:c r="AH255" s="191"/>
      <x:c r="AI255" s="191"/>
      <x:c r="AJ255" s="191"/>
      <x:c r="AK255" s="191"/>
    </x:row>
    <x:row r="256">
      <x:c r="A256" s="191"/>
      <x:c r="B256" s="191"/>
      <x:c r="C256" s="191"/>
      <x:c r="D256" s="191"/>
      <x:c r="E256" s="191"/>
      <x:c r="F256" s="191"/>
      <x:c r="G256" s="191"/>
      <x:c r="H256" s="191"/>
      <x:c r="I256" s="191"/>
      <x:c r="J256" s="191"/>
      <x:c r="K256" s="191"/>
      <x:c r="L256" s="191"/>
      <x:c r="M256" s="191"/>
      <x:c r="N256" s="191"/>
      <x:c r="O256" s="191"/>
      <x:c r="P256" s="191"/>
      <x:c r="Q256" s="191"/>
      <x:c r="R256" s="191"/>
      <x:c r="S256" s="191"/>
      <x:c r="T256" s="191"/>
      <x:c r="U256" s="191"/>
      <x:c r="V256" s="191"/>
      <x:c r="W256" s="191"/>
      <x:c r="X256" s="191"/>
      <x:c r="Y256" s="191"/>
      <x:c r="Z256" s="191"/>
      <x:c r="AA256" s="191"/>
      <x:c r="AB256" s="191"/>
      <x:c r="AC256" s="191"/>
      <x:c r="AD256" s="191"/>
      <x:c r="AE256" s="191"/>
      <x:c r="AF256" s="191"/>
      <x:c r="AG256" s="191"/>
      <x:c r="AH256" s="191"/>
      <x:c r="AI256" s="191"/>
      <x:c r="AJ256" s="191"/>
      <x:c r="AK256" s="191"/>
    </x:row>
    <x:row r="257">
      <x:c r="A257" s="191"/>
      <x:c r="B257" s="191"/>
      <x:c r="C257" s="191"/>
      <x:c r="D257" s="191"/>
      <x:c r="E257" s="191"/>
      <x:c r="F257" s="191"/>
      <x:c r="G257" s="191"/>
      <x:c r="H257" s="191"/>
      <x:c r="I257" s="191"/>
      <x:c r="J257" s="191"/>
      <x:c r="K257" s="191"/>
      <x:c r="L257" s="191"/>
      <x:c r="M257" s="191"/>
      <x:c r="N257" s="191"/>
      <x:c r="O257" s="191"/>
      <x:c r="P257" s="191"/>
      <x:c r="Q257" s="191"/>
      <x:c r="R257" s="191"/>
      <x:c r="S257" s="191"/>
      <x:c r="T257" s="191"/>
      <x:c r="U257" s="191"/>
      <x:c r="V257" s="191"/>
      <x:c r="W257" s="191"/>
      <x:c r="X257" s="191"/>
      <x:c r="Y257" s="191"/>
      <x:c r="Z257" s="191"/>
      <x:c r="AA257" s="191"/>
      <x:c r="AB257" s="191"/>
      <x:c r="AC257" s="191"/>
      <x:c r="AD257" s="191"/>
      <x:c r="AE257" s="191"/>
      <x:c r="AF257" s="191"/>
      <x:c r="AG257" s="191"/>
      <x:c r="AH257" s="191"/>
      <x:c r="AI257" s="191"/>
      <x:c r="AJ257" s="191"/>
      <x:c r="AK257" s="191"/>
    </x:row>
    <x:row r="258">
      <x:c r="A258" s="191"/>
      <x:c r="B258" s="191"/>
      <x:c r="C258" s="191"/>
      <x:c r="D258" s="191"/>
      <x:c r="E258" s="191"/>
      <x:c r="F258" s="191"/>
      <x:c r="G258" s="191"/>
      <x:c r="H258" s="191"/>
      <x:c r="I258" s="191"/>
      <x:c r="J258" s="191"/>
      <x:c r="K258" s="191"/>
      <x:c r="L258" s="191"/>
      <x:c r="M258" s="191"/>
      <x:c r="N258" s="191"/>
      <x:c r="O258" s="191"/>
      <x:c r="P258" s="191"/>
      <x:c r="Q258" s="191"/>
      <x:c r="R258" s="191"/>
      <x:c r="S258" s="191"/>
      <x:c r="T258" s="191"/>
      <x:c r="U258" s="191"/>
      <x:c r="V258" s="191"/>
      <x:c r="W258" s="191"/>
      <x:c r="X258" s="191"/>
      <x:c r="Y258" s="191"/>
      <x:c r="Z258" s="191"/>
      <x:c r="AA258" s="191"/>
      <x:c r="AB258" s="191"/>
      <x:c r="AC258" s="191"/>
      <x:c r="AD258" s="191"/>
      <x:c r="AE258" s="191"/>
      <x:c r="AF258" s="191"/>
      <x:c r="AG258" s="191"/>
      <x:c r="AH258" s="191"/>
      <x:c r="AI258" s="191"/>
      <x:c r="AJ258" s="191"/>
      <x:c r="AK258" s="191"/>
    </x:row>
    <x:row r="259">
      <x:c r="A259" s="191"/>
      <x:c r="B259" s="191"/>
      <x:c r="C259" s="191"/>
      <x:c r="D259" s="191"/>
      <x:c r="E259" s="191"/>
      <x:c r="F259" s="191"/>
      <x:c r="G259" s="191"/>
      <x:c r="H259" s="191"/>
      <x:c r="I259" s="191"/>
      <x:c r="J259" s="191"/>
      <x:c r="K259" s="191"/>
      <x:c r="L259" s="191"/>
      <x:c r="M259" s="191"/>
      <x:c r="N259" s="191"/>
      <x:c r="O259" s="191"/>
      <x:c r="P259" s="191"/>
      <x:c r="Q259" s="191"/>
      <x:c r="R259" s="191"/>
      <x:c r="S259" s="191"/>
      <x:c r="T259" s="191"/>
      <x:c r="U259" s="191"/>
      <x:c r="V259" s="191"/>
      <x:c r="W259" s="191"/>
      <x:c r="X259" s="191"/>
      <x:c r="Y259" s="191"/>
      <x:c r="Z259" s="191"/>
      <x:c r="AA259" s="191"/>
      <x:c r="AB259" s="191"/>
      <x:c r="AC259" s="191"/>
      <x:c r="AD259" s="191"/>
      <x:c r="AE259" s="191"/>
      <x:c r="AF259" s="191"/>
      <x:c r="AG259" s="191"/>
      <x:c r="AH259" s="191"/>
      <x:c r="AI259" s="191"/>
      <x:c r="AJ259" s="191"/>
      <x:c r="AK259" s="191"/>
    </x:row>
    <x:row r="260">
      <x:c r="A260" s="191"/>
      <x:c r="B260" s="191"/>
      <x:c r="C260" s="191"/>
      <x:c r="D260" s="191"/>
      <x:c r="E260" s="191"/>
      <x:c r="F260" s="191"/>
      <x:c r="G260" s="191"/>
      <x:c r="H260" s="191"/>
      <x:c r="I260" s="191"/>
      <x:c r="J260" s="191"/>
      <x:c r="K260" s="191"/>
      <x:c r="L260" s="191"/>
      <x:c r="M260" s="191"/>
      <x:c r="N260" s="191"/>
      <x:c r="O260" s="191"/>
      <x:c r="P260" s="191"/>
      <x:c r="Q260" s="191"/>
      <x:c r="R260" s="191"/>
      <x:c r="S260" s="191"/>
      <x:c r="T260" s="191"/>
      <x:c r="U260" s="191"/>
      <x:c r="V260" s="191"/>
      <x:c r="W260" s="191"/>
      <x:c r="X260" s="191"/>
      <x:c r="Y260" s="191"/>
      <x:c r="Z260" s="191"/>
      <x:c r="AA260" s="191"/>
      <x:c r="AB260" s="191"/>
      <x:c r="AC260" s="191"/>
      <x:c r="AD260" s="191"/>
      <x:c r="AE260" s="191"/>
      <x:c r="AF260" s="191"/>
      <x:c r="AG260" s="191"/>
      <x:c r="AH260" s="191"/>
      <x:c r="AI260" s="191"/>
      <x:c r="AJ260" s="191"/>
      <x:c r="AK260" s="191"/>
    </x:row>
    <x:row r="261">
      <x:c r="A261" s="191"/>
      <x:c r="B261" s="191"/>
      <x:c r="C261" s="191"/>
      <x:c r="D261" s="191"/>
      <x:c r="E261" s="191"/>
      <x:c r="F261" s="191"/>
      <x:c r="G261" s="191"/>
      <x:c r="H261" s="191"/>
      <x:c r="I261" s="191"/>
      <x:c r="J261" s="191"/>
      <x:c r="K261" s="191"/>
      <x:c r="L261" s="191"/>
      <x:c r="M261" s="191"/>
      <x:c r="N261" s="191"/>
      <x:c r="O261" s="191"/>
      <x:c r="P261" s="191"/>
      <x:c r="Q261" s="191"/>
      <x:c r="R261" s="191"/>
      <x:c r="S261" s="191"/>
      <x:c r="T261" s="191"/>
      <x:c r="U261" s="191"/>
      <x:c r="V261" s="191"/>
      <x:c r="W261" s="191"/>
      <x:c r="X261" s="191"/>
      <x:c r="Y261" s="191"/>
      <x:c r="Z261" s="191"/>
      <x:c r="AA261" s="191"/>
      <x:c r="AB261" s="191"/>
      <x:c r="AC261" s="191"/>
      <x:c r="AD261" s="191"/>
      <x:c r="AE261" s="191"/>
      <x:c r="AF261" s="191"/>
      <x:c r="AG261" s="191"/>
      <x:c r="AH261" s="191"/>
      <x:c r="AI261" s="191"/>
      <x:c r="AJ261" s="191"/>
      <x:c r="AK261" s="191"/>
    </x:row>
    <x:row r="262">
      <x:c r="A262" s="191"/>
      <x:c r="B262" s="191"/>
      <x:c r="C262" s="191"/>
      <x:c r="D262" s="191"/>
      <x:c r="E262" s="191"/>
      <x:c r="F262" s="191"/>
      <x:c r="G262" s="191"/>
      <x:c r="H262" s="191"/>
      <x:c r="I262" s="191"/>
      <x:c r="J262" s="191"/>
      <x:c r="K262" s="191"/>
      <x:c r="L262" s="191"/>
      <x:c r="M262" s="191"/>
      <x:c r="N262" s="191"/>
      <x:c r="O262" s="191"/>
      <x:c r="P262" s="191"/>
      <x:c r="Q262" s="191"/>
      <x:c r="R262" s="191"/>
      <x:c r="S262" s="191"/>
      <x:c r="T262" s="191"/>
      <x:c r="U262" s="191"/>
      <x:c r="V262" s="191"/>
      <x:c r="W262" s="191"/>
      <x:c r="X262" s="191"/>
      <x:c r="Y262" s="191"/>
      <x:c r="Z262" s="191"/>
      <x:c r="AA262" s="191"/>
      <x:c r="AB262" s="191"/>
      <x:c r="AC262" s="191"/>
      <x:c r="AD262" s="191"/>
      <x:c r="AE262" s="191"/>
      <x:c r="AF262" s="191"/>
      <x:c r="AG262" s="191"/>
      <x:c r="AH262" s="191"/>
      <x:c r="AI262" s="191"/>
      <x:c r="AJ262" s="191"/>
      <x:c r="AK262" s="191"/>
    </x:row>
    <x:row r="263">
      <x:c r="A263" s="191"/>
      <x:c r="B263" s="191"/>
      <x:c r="C263" s="191"/>
      <x:c r="D263" s="191"/>
      <x:c r="E263" s="191"/>
      <x:c r="F263" s="191"/>
      <x:c r="G263" s="191"/>
      <x:c r="H263" s="191"/>
      <x:c r="I263" s="191"/>
      <x:c r="J263" s="191"/>
      <x:c r="K263" s="191"/>
      <x:c r="L263" s="191"/>
      <x:c r="M263" s="191"/>
      <x:c r="N263" s="191"/>
      <x:c r="O263" s="191"/>
      <x:c r="P263" s="191"/>
      <x:c r="Q263" s="191"/>
      <x:c r="R263" s="191"/>
      <x:c r="S263" s="191"/>
      <x:c r="T263" s="191"/>
      <x:c r="U263" s="191"/>
      <x:c r="V263" s="191"/>
      <x:c r="W263" s="191"/>
      <x:c r="X263" s="191"/>
      <x:c r="Y263" s="191"/>
      <x:c r="Z263" s="191"/>
      <x:c r="AA263" s="191"/>
      <x:c r="AB263" s="191"/>
      <x:c r="AC263" s="191"/>
      <x:c r="AD263" s="191"/>
      <x:c r="AE263" s="191"/>
      <x:c r="AF263" s="191"/>
      <x:c r="AG263" s="191"/>
      <x:c r="AH263" s="191"/>
      <x:c r="AI263" s="191"/>
      <x:c r="AJ263" s="191"/>
      <x:c r="AK263" s="191"/>
    </x:row>
    <x:row r="264">
      <x:c r="A264" s="191"/>
      <x:c r="B264" s="191"/>
      <x:c r="C264" s="191"/>
      <x:c r="D264" s="191"/>
      <x:c r="E264" s="191"/>
      <x:c r="F264" s="191"/>
      <x:c r="G264" s="191"/>
      <x:c r="H264" s="191"/>
      <x:c r="I264" s="191"/>
      <x:c r="J264" s="191"/>
      <x:c r="K264" s="191"/>
      <x:c r="L264" s="191"/>
      <x:c r="M264" s="191"/>
      <x:c r="N264" s="191"/>
      <x:c r="O264" s="191"/>
      <x:c r="P264" s="191"/>
      <x:c r="Q264" s="191"/>
      <x:c r="R264" s="191"/>
      <x:c r="S264" s="191"/>
      <x:c r="T264" s="191"/>
      <x:c r="U264" s="191"/>
      <x:c r="V264" s="191"/>
      <x:c r="W264" s="191"/>
      <x:c r="X264" s="191"/>
      <x:c r="Y264" s="191"/>
      <x:c r="Z264" s="191"/>
      <x:c r="AA264" s="191"/>
      <x:c r="AB264" s="191"/>
      <x:c r="AC264" s="191"/>
      <x:c r="AD264" s="191"/>
      <x:c r="AE264" s="191"/>
      <x:c r="AF264" s="191"/>
      <x:c r="AG264" s="191"/>
      <x:c r="AH264" s="191"/>
      <x:c r="AI264" s="191"/>
      <x:c r="AJ264" s="191"/>
      <x:c r="AK264" s="191"/>
    </x:row>
    <x:row r="265">
      <x:c r="A265" s="191"/>
      <x:c r="B265" s="191"/>
      <x:c r="C265" s="191"/>
      <x:c r="D265" s="191"/>
      <x:c r="E265" s="191"/>
      <x:c r="F265" s="191"/>
      <x:c r="G265" s="191"/>
      <x:c r="H265" s="191"/>
      <x:c r="I265" s="191"/>
      <x:c r="J265" s="191"/>
      <x:c r="K265" s="191"/>
      <x:c r="L265" s="191"/>
      <x:c r="M265" s="191"/>
      <x:c r="N265" s="191"/>
      <x:c r="O265" s="191"/>
      <x:c r="P265" s="191"/>
      <x:c r="Q265" s="191"/>
      <x:c r="R265" s="191"/>
      <x:c r="S265" s="191"/>
      <x:c r="T265" s="191"/>
      <x:c r="U265" s="191"/>
      <x:c r="V265" s="191"/>
      <x:c r="W265" s="191"/>
      <x:c r="X265" s="191"/>
      <x:c r="Y265" s="191"/>
      <x:c r="Z265" s="191"/>
      <x:c r="AA265" s="191"/>
      <x:c r="AB265" s="191"/>
      <x:c r="AC265" s="191"/>
      <x:c r="AD265" s="191"/>
      <x:c r="AE265" s="191"/>
      <x:c r="AF265" s="191"/>
      <x:c r="AG265" s="191"/>
      <x:c r="AH265" s="191"/>
      <x:c r="AI265" s="191"/>
      <x:c r="AJ265" s="191"/>
      <x:c r="AK265" s="191"/>
    </x:row>
    <x:row r="266">
      <x:c r="A266" s="191"/>
      <x:c r="B266" s="191"/>
      <x:c r="C266" s="191"/>
      <x:c r="D266" s="191"/>
      <x:c r="E266" s="191"/>
      <x:c r="F266" s="191"/>
      <x:c r="G266" s="191"/>
      <x:c r="H266" s="191"/>
      <x:c r="I266" s="191"/>
      <x:c r="J266" s="191"/>
      <x:c r="K266" s="191"/>
      <x:c r="L266" s="191"/>
      <x:c r="M266" s="191"/>
      <x:c r="N266" s="191"/>
      <x:c r="O266" s="191"/>
      <x:c r="P266" s="191"/>
      <x:c r="Q266" s="191"/>
      <x:c r="R266" s="191"/>
      <x:c r="S266" s="191"/>
      <x:c r="T266" s="191"/>
      <x:c r="U266" s="191"/>
      <x:c r="V266" s="191"/>
      <x:c r="W266" s="191"/>
      <x:c r="X266" s="191"/>
      <x:c r="Y266" s="191"/>
      <x:c r="Z266" s="191"/>
      <x:c r="AA266" s="191"/>
      <x:c r="AB266" s="191"/>
      <x:c r="AC266" s="191"/>
      <x:c r="AD266" s="191"/>
      <x:c r="AE266" s="191"/>
      <x:c r="AF266" s="191"/>
      <x:c r="AG266" s="191"/>
      <x:c r="AH266" s="191"/>
      <x:c r="AI266" s="191"/>
      <x:c r="AJ266" s="191"/>
      <x:c r="AK266" s="191"/>
    </x:row>
    <x:row r="267">
      <x:c r="A267" s="191"/>
      <x:c r="B267" s="191"/>
      <x:c r="C267" s="191"/>
      <x:c r="D267" s="191"/>
      <x:c r="E267" s="191"/>
      <x:c r="F267" s="191"/>
      <x:c r="G267" s="191"/>
      <x:c r="H267" s="191"/>
      <x:c r="I267" s="191"/>
      <x:c r="J267" s="191"/>
      <x:c r="K267" s="191"/>
      <x:c r="L267" s="191"/>
      <x:c r="M267" s="191"/>
      <x:c r="N267" s="191"/>
      <x:c r="O267" s="191"/>
      <x:c r="P267" s="191"/>
      <x:c r="Q267" s="191"/>
      <x:c r="R267" s="191"/>
      <x:c r="S267" s="191"/>
      <x:c r="T267" s="191"/>
      <x:c r="U267" s="191"/>
      <x:c r="V267" s="191"/>
      <x:c r="W267" s="191"/>
      <x:c r="X267" s="191"/>
      <x:c r="Y267" s="191"/>
      <x:c r="Z267" s="191"/>
      <x:c r="AA267" s="191"/>
      <x:c r="AB267" s="191"/>
      <x:c r="AC267" s="191"/>
      <x:c r="AD267" s="191"/>
      <x:c r="AE267" s="191"/>
      <x:c r="AF267" s="191"/>
      <x:c r="AG267" s="191"/>
      <x:c r="AH267" s="191"/>
      <x:c r="AI267" s="191"/>
      <x:c r="AJ267" s="191"/>
      <x:c r="AK267" s="191"/>
    </x:row>
    <x:row r="268">
      <x:c r="A268" s="191"/>
      <x:c r="B268" s="191"/>
      <x:c r="C268" s="191"/>
      <x:c r="D268" s="191"/>
      <x:c r="E268" s="191"/>
      <x:c r="F268" s="191"/>
      <x:c r="G268" s="191"/>
      <x:c r="H268" s="191"/>
      <x:c r="I268" s="191"/>
      <x:c r="J268" s="191"/>
      <x:c r="K268" s="191"/>
      <x:c r="L268" s="191"/>
      <x:c r="M268" s="191"/>
      <x:c r="N268" s="191"/>
      <x:c r="O268" s="191"/>
      <x:c r="P268" s="191"/>
      <x:c r="Q268" s="191"/>
      <x:c r="R268" s="191"/>
      <x:c r="S268" s="191"/>
      <x:c r="T268" s="191"/>
      <x:c r="U268" s="191"/>
      <x:c r="V268" s="191"/>
      <x:c r="W268" s="191"/>
      <x:c r="X268" s="191"/>
      <x:c r="Y268" s="191"/>
      <x:c r="Z268" s="191"/>
      <x:c r="AA268" s="191"/>
      <x:c r="AB268" s="191"/>
      <x:c r="AC268" s="191"/>
      <x:c r="AD268" s="191"/>
      <x:c r="AE268" s="191"/>
      <x:c r="AF268" s="191"/>
      <x:c r="AG268" s="191"/>
      <x:c r="AH268" s="191"/>
      <x:c r="AI268" s="191"/>
      <x:c r="AJ268" s="191"/>
      <x:c r="AK268" s="191"/>
    </x:row>
    <x:row r="269">
      <x:c r="A269" s="191"/>
      <x:c r="B269" s="191"/>
      <x:c r="C269" s="191"/>
      <x:c r="D269" s="191"/>
      <x:c r="E269" s="191"/>
      <x:c r="F269" s="191"/>
      <x:c r="G269" s="191"/>
      <x:c r="H269" s="191"/>
      <x:c r="I269" s="191"/>
      <x:c r="J269" s="191"/>
      <x:c r="K269" s="191"/>
      <x:c r="L269" s="191"/>
      <x:c r="M269" s="191"/>
      <x:c r="N269" s="191"/>
      <x:c r="O269" s="191"/>
      <x:c r="P269" s="191"/>
      <x:c r="Q269" s="191"/>
      <x:c r="R269" s="191"/>
      <x:c r="S269" s="191"/>
      <x:c r="T269" s="191"/>
      <x:c r="U269" s="191"/>
      <x:c r="V269" s="191"/>
      <x:c r="W269" s="191"/>
      <x:c r="X269" s="191"/>
      <x:c r="Y269" s="191"/>
      <x:c r="Z269" s="191"/>
      <x:c r="AA269" s="191"/>
      <x:c r="AB269" s="191"/>
      <x:c r="AC269" s="191"/>
      <x:c r="AD269" s="191"/>
      <x:c r="AE269" s="191"/>
      <x:c r="AF269" s="191"/>
      <x:c r="AG269" s="191"/>
      <x:c r="AH269" s="191"/>
      <x:c r="AI269" s="191"/>
      <x:c r="AJ269" s="191"/>
      <x:c r="AK269" s="191"/>
    </x:row>
    <x:row r="270">
      <x:c r="A270" s="191"/>
      <x:c r="B270" s="191"/>
      <x:c r="C270" s="191"/>
      <x:c r="D270" s="191"/>
      <x:c r="E270" s="191"/>
      <x:c r="F270" s="191"/>
      <x:c r="G270" s="191"/>
      <x:c r="H270" s="191"/>
      <x:c r="I270" s="191"/>
      <x:c r="J270" s="191"/>
      <x:c r="K270" s="191"/>
      <x:c r="L270" s="191"/>
      <x:c r="M270" s="191"/>
      <x:c r="N270" s="191"/>
      <x:c r="O270" s="191"/>
      <x:c r="P270" s="191"/>
      <x:c r="Q270" s="191"/>
      <x:c r="R270" s="191"/>
      <x:c r="S270" s="191"/>
      <x:c r="T270" s="191"/>
      <x:c r="U270" s="191"/>
      <x:c r="V270" s="191"/>
      <x:c r="W270" s="191"/>
      <x:c r="X270" s="191"/>
      <x:c r="Y270" s="191"/>
      <x:c r="Z270" s="191"/>
      <x:c r="AA270" s="191"/>
      <x:c r="AB270" s="191"/>
      <x:c r="AC270" s="191"/>
      <x:c r="AD270" s="191"/>
      <x:c r="AE270" s="191"/>
      <x:c r="AF270" s="191"/>
      <x:c r="AG270" s="191"/>
      <x:c r="AH270" s="191"/>
      <x:c r="AI270" s="191"/>
      <x:c r="AJ270" s="191"/>
      <x:c r="AK270" s="191"/>
    </x:row>
    <x:row r="271">
      <x:c r="A271" s="191"/>
      <x:c r="B271" s="191"/>
      <x:c r="C271" s="191"/>
      <x:c r="D271" s="191"/>
      <x:c r="E271" s="191"/>
      <x:c r="F271" s="191"/>
      <x:c r="G271" s="191"/>
      <x:c r="H271" s="191"/>
      <x:c r="I271" s="191"/>
      <x:c r="J271" s="191"/>
      <x:c r="K271" s="191"/>
      <x:c r="L271" s="191"/>
      <x:c r="M271" s="191"/>
      <x:c r="N271" s="191"/>
      <x:c r="O271" s="191"/>
      <x:c r="P271" s="191"/>
      <x:c r="Q271" s="191"/>
      <x:c r="R271" s="191"/>
      <x:c r="S271" s="191"/>
      <x:c r="T271" s="191"/>
      <x:c r="U271" s="191"/>
      <x:c r="V271" s="191"/>
      <x:c r="W271" s="191"/>
      <x:c r="X271" s="191"/>
      <x:c r="Y271" s="191"/>
      <x:c r="Z271" s="191"/>
      <x:c r="AA271" s="191"/>
      <x:c r="AB271" s="191"/>
      <x:c r="AC271" s="191"/>
      <x:c r="AD271" s="191"/>
      <x:c r="AE271" s="191"/>
      <x:c r="AF271" s="191"/>
      <x:c r="AG271" s="191"/>
      <x:c r="AH271" s="191"/>
      <x:c r="AI271" s="191"/>
      <x:c r="AJ271" s="191"/>
      <x:c r="AK271" s="191"/>
    </x:row>
    <x:row r="272">
      <x:c r="A272" s="191"/>
      <x:c r="B272" s="191"/>
      <x:c r="C272" s="191"/>
      <x:c r="D272" s="191"/>
      <x:c r="E272" s="191"/>
      <x:c r="F272" s="191"/>
      <x:c r="G272" s="191"/>
      <x:c r="H272" s="191"/>
      <x:c r="I272" s="191"/>
      <x:c r="J272" s="191"/>
      <x:c r="K272" s="191"/>
      <x:c r="L272" s="191"/>
      <x:c r="M272" s="191"/>
      <x:c r="N272" s="191"/>
      <x:c r="O272" s="191"/>
      <x:c r="P272" s="191"/>
      <x:c r="Q272" s="191"/>
      <x:c r="R272" s="191"/>
      <x:c r="S272" s="191"/>
      <x:c r="T272" s="191"/>
      <x:c r="U272" s="191"/>
      <x:c r="V272" s="191"/>
      <x:c r="W272" s="191"/>
      <x:c r="X272" s="191"/>
      <x:c r="Y272" s="191"/>
      <x:c r="Z272" s="191"/>
      <x:c r="AA272" s="191"/>
      <x:c r="AB272" s="191"/>
      <x:c r="AC272" s="191"/>
      <x:c r="AD272" s="191"/>
      <x:c r="AE272" s="191"/>
      <x:c r="AF272" s="191"/>
      <x:c r="AG272" s="191"/>
      <x:c r="AH272" s="191"/>
      <x:c r="AI272" s="191"/>
      <x:c r="AJ272" s="191"/>
      <x:c r="AK272" s="191"/>
    </x:row>
    <x:row r="273">
      <x:c r="A273" s="191"/>
      <x:c r="B273" s="191"/>
      <x:c r="C273" s="191"/>
      <x:c r="D273" s="191"/>
      <x:c r="E273" s="191"/>
      <x:c r="F273" s="191"/>
      <x:c r="G273" s="191"/>
      <x:c r="H273" s="191"/>
      <x:c r="I273" s="191"/>
      <x:c r="J273" s="191"/>
      <x:c r="K273" s="191"/>
      <x:c r="L273" s="191"/>
      <x:c r="M273" s="191"/>
      <x:c r="N273" s="191"/>
      <x:c r="O273" s="191"/>
      <x:c r="P273" s="191"/>
      <x:c r="Q273" s="191"/>
      <x:c r="R273" s="191"/>
      <x:c r="S273" s="191"/>
      <x:c r="T273" s="191"/>
      <x:c r="U273" s="191"/>
      <x:c r="V273" s="191"/>
      <x:c r="W273" s="191"/>
      <x:c r="X273" s="191"/>
      <x:c r="Y273" s="191"/>
      <x:c r="Z273" s="191"/>
      <x:c r="AA273" s="191"/>
      <x:c r="AB273" s="191"/>
      <x:c r="AC273" s="191"/>
      <x:c r="AD273" s="191"/>
      <x:c r="AE273" s="191"/>
      <x:c r="AF273" s="191"/>
      <x:c r="AG273" s="191"/>
      <x:c r="AH273" s="191"/>
      <x:c r="AI273" s="191"/>
      <x:c r="AJ273" s="191"/>
      <x:c r="AK273" s="191"/>
    </x:row>
    <x:row r="274">
      <x:c r="A274" s="191"/>
      <x:c r="B274" s="191"/>
      <x:c r="C274" s="191"/>
      <x:c r="D274" s="191"/>
      <x:c r="E274" s="191"/>
      <x:c r="F274" s="191"/>
      <x:c r="G274" s="191"/>
      <x:c r="H274" s="191"/>
      <x:c r="I274" s="191"/>
      <x:c r="J274" s="191"/>
      <x:c r="K274" s="191"/>
      <x:c r="L274" s="191"/>
      <x:c r="M274" s="191"/>
      <x:c r="N274" s="191"/>
      <x:c r="O274" s="191"/>
      <x:c r="P274" s="191"/>
      <x:c r="Q274" s="191"/>
      <x:c r="R274" s="191"/>
      <x:c r="S274" s="191"/>
      <x:c r="T274" s="191"/>
      <x:c r="U274" s="191"/>
      <x:c r="V274" s="191"/>
      <x:c r="W274" s="191"/>
      <x:c r="X274" s="191"/>
      <x:c r="Y274" s="191"/>
      <x:c r="Z274" s="191"/>
      <x:c r="AA274" s="191"/>
      <x:c r="AB274" s="191"/>
      <x:c r="AC274" s="191"/>
      <x:c r="AD274" s="191"/>
      <x:c r="AE274" s="191"/>
      <x:c r="AF274" s="191"/>
      <x:c r="AG274" s="191"/>
      <x:c r="AH274" s="191"/>
      <x:c r="AI274" s="191"/>
      <x:c r="AJ274" s="191"/>
      <x:c r="AK274" s="191"/>
    </x:row>
    <x:row r="275">
      <x:c r="A275" s="191"/>
      <x:c r="B275" s="191"/>
      <x:c r="C275" s="191"/>
      <x:c r="D275" s="191"/>
      <x:c r="E275" s="191"/>
      <x:c r="F275" s="191"/>
      <x:c r="G275" s="191"/>
      <x:c r="H275" s="191"/>
      <x:c r="I275" s="191"/>
      <x:c r="J275" s="191"/>
      <x:c r="K275" s="191"/>
      <x:c r="L275" s="191"/>
      <x:c r="M275" s="191"/>
      <x:c r="N275" s="191"/>
      <x:c r="O275" s="191"/>
      <x:c r="P275" s="191"/>
      <x:c r="Q275" s="191"/>
      <x:c r="R275" s="191"/>
      <x:c r="S275" s="191"/>
      <x:c r="T275" s="191"/>
      <x:c r="U275" s="191"/>
      <x:c r="V275" s="191"/>
      <x:c r="W275" s="191"/>
      <x:c r="X275" s="191"/>
      <x:c r="Y275" s="191"/>
      <x:c r="Z275" s="191"/>
      <x:c r="AA275" s="191"/>
      <x:c r="AB275" s="191"/>
      <x:c r="AC275" s="191"/>
      <x:c r="AD275" s="191"/>
      <x:c r="AE275" s="191"/>
      <x:c r="AF275" s="191"/>
      <x:c r="AG275" s="191"/>
      <x:c r="AH275" s="191"/>
      <x:c r="AI275" s="191"/>
      <x:c r="AJ275" s="191"/>
      <x:c r="AK275" s="191"/>
    </x:row>
    <x:row r="276">
      <x:c r="A276" s="191"/>
      <x:c r="B276" s="191"/>
      <x:c r="C276" s="191"/>
      <x:c r="D276" s="191"/>
      <x:c r="E276" s="191"/>
      <x:c r="F276" s="191"/>
      <x:c r="G276" s="191"/>
      <x:c r="H276" s="191"/>
      <x:c r="I276" s="191"/>
      <x:c r="J276" s="191"/>
      <x:c r="K276" s="191"/>
      <x:c r="L276" s="191"/>
      <x:c r="M276" s="191"/>
      <x:c r="N276" s="191"/>
      <x:c r="O276" s="191"/>
      <x:c r="P276" s="191"/>
      <x:c r="Q276" s="191"/>
      <x:c r="R276" s="191"/>
      <x:c r="S276" s="191"/>
      <x:c r="T276" s="191"/>
      <x:c r="U276" s="191"/>
      <x:c r="V276" s="191"/>
      <x:c r="W276" s="191"/>
      <x:c r="X276" s="191"/>
      <x:c r="Y276" s="191"/>
      <x:c r="Z276" s="191"/>
      <x:c r="AA276" s="191"/>
      <x:c r="AB276" s="191"/>
      <x:c r="AC276" s="191"/>
      <x:c r="AD276" s="191"/>
      <x:c r="AE276" s="191"/>
      <x:c r="AF276" s="191"/>
      <x:c r="AG276" s="191"/>
      <x:c r="AH276" s="191"/>
      <x:c r="AI276" s="191"/>
      <x:c r="AJ276" s="191"/>
      <x:c r="AK276" s="191"/>
    </x:row>
    <x:row r="277">
      <x:c r="A277" s="191"/>
      <x:c r="B277" s="191"/>
      <x:c r="C277" s="191"/>
      <x:c r="D277" s="191"/>
      <x:c r="E277" s="191"/>
      <x:c r="F277" s="191"/>
      <x:c r="G277" s="191"/>
      <x:c r="H277" s="191"/>
      <x:c r="I277" s="191"/>
      <x:c r="J277" s="191"/>
      <x:c r="K277" s="191"/>
      <x:c r="L277" s="191"/>
      <x:c r="M277" s="191"/>
      <x:c r="N277" s="191"/>
      <x:c r="O277" s="191"/>
      <x:c r="P277" s="191"/>
      <x:c r="Q277" s="191"/>
      <x:c r="R277" s="191"/>
      <x:c r="S277" s="191"/>
      <x:c r="T277" s="191"/>
      <x:c r="U277" s="191"/>
      <x:c r="V277" s="191"/>
      <x:c r="W277" s="191"/>
      <x:c r="X277" s="191"/>
      <x:c r="Y277" s="191"/>
      <x:c r="Z277" s="191"/>
      <x:c r="AA277" s="191"/>
      <x:c r="AB277" s="191"/>
      <x:c r="AC277" s="191"/>
      <x:c r="AD277" s="191"/>
      <x:c r="AE277" s="191"/>
      <x:c r="AF277" s="191"/>
      <x:c r="AG277" s="191"/>
      <x:c r="AH277" s="191"/>
      <x:c r="AI277" s="191"/>
      <x:c r="AJ277" s="191"/>
      <x:c r="AK277" s="191"/>
    </x:row>
    <x:row r="278">
      <x:c r="A278" s="191"/>
      <x:c r="B278" s="191"/>
      <x:c r="C278" s="191"/>
      <x:c r="D278" s="191"/>
      <x:c r="E278" s="191"/>
      <x:c r="F278" s="191"/>
      <x:c r="G278" s="191"/>
      <x:c r="H278" s="191"/>
      <x:c r="I278" s="191"/>
      <x:c r="J278" s="191"/>
      <x:c r="K278" s="191"/>
      <x:c r="L278" s="191"/>
      <x:c r="M278" s="191"/>
      <x:c r="N278" s="191"/>
      <x:c r="O278" s="191"/>
      <x:c r="P278" s="191"/>
      <x:c r="Q278" s="191"/>
      <x:c r="R278" s="191"/>
      <x:c r="S278" s="191"/>
      <x:c r="T278" s="191"/>
      <x:c r="U278" s="191"/>
      <x:c r="V278" s="191"/>
      <x:c r="W278" s="191"/>
      <x:c r="X278" s="191"/>
      <x:c r="Y278" s="191"/>
      <x:c r="Z278" s="191"/>
      <x:c r="AA278" s="191"/>
      <x:c r="AB278" s="191"/>
      <x:c r="AC278" s="191"/>
      <x:c r="AD278" s="191"/>
      <x:c r="AE278" s="191"/>
      <x:c r="AF278" s="191"/>
      <x:c r="AG278" s="191"/>
      <x:c r="AH278" s="191"/>
      <x:c r="AI278" s="191"/>
      <x:c r="AJ278" s="191"/>
      <x:c r="AK278" s="191"/>
    </x:row>
    <x:row r="279">
      <x:c r="A279" s="191"/>
      <x:c r="B279" s="191"/>
      <x:c r="C279" s="191"/>
      <x:c r="D279" s="191"/>
      <x:c r="E279" s="191"/>
      <x:c r="F279" s="191"/>
      <x:c r="G279" s="191"/>
      <x:c r="H279" s="191"/>
      <x:c r="I279" s="191"/>
      <x:c r="J279" s="191"/>
      <x:c r="K279" s="191"/>
      <x:c r="L279" s="191"/>
      <x:c r="M279" s="191"/>
      <x:c r="N279" s="191"/>
      <x:c r="O279" s="191"/>
      <x:c r="P279" s="191"/>
      <x:c r="Q279" s="191"/>
      <x:c r="R279" s="191"/>
      <x:c r="S279" s="191"/>
      <x:c r="T279" s="191"/>
      <x:c r="U279" s="191"/>
      <x:c r="V279" s="191"/>
      <x:c r="W279" s="191"/>
      <x:c r="X279" s="191"/>
      <x:c r="Y279" s="191"/>
      <x:c r="Z279" s="191"/>
      <x:c r="AA279" s="191"/>
      <x:c r="AB279" s="191"/>
      <x:c r="AC279" s="191"/>
      <x:c r="AD279" s="191"/>
      <x:c r="AE279" s="191"/>
      <x:c r="AF279" s="191"/>
      <x:c r="AG279" s="191"/>
      <x:c r="AH279" s="191"/>
      <x:c r="AI279" s="191"/>
      <x:c r="AJ279" s="191"/>
      <x:c r="AK279" s="191"/>
    </x:row>
    <x:row r="280">
      <x:c r="A280" s="191"/>
      <x:c r="B280" s="191"/>
      <x:c r="C280" s="191"/>
      <x:c r="D280" s="191"/>
      <x:c r="E280" s="191"/>
      <x:c r="F280" s="191"/>
      <x:c r="G280" s="191"/>
      <x:c r="H280" s="191"/>
      <x:c r="I280" s="191"/>
      <x:c r="J280" s="191"/>
      <x:c r="K280" s="191"/>
      <x:c r="L280" s="191"/>
      <x:c r="M280" s="191"/>
      <x:c r="N280" s="191"/>
      <x:c r="O280" s="191"/>
      <x:c r="P280" s="191"/>
      <x:c r="Q280" s="191"/>
      <x:c r="R280" s="191"/>
      <x:c r="S280" s="191"/>
      <x:c r="T280" s="191"/>
      <x:c r="U280" s="191"/>
      <x:c r="V280" s="191"/>
      <x:c r="W280" s="191"/>
      <x:c r="X280" s="191"/>
      <x:c r="Y280" s="191"/>
      <x:c r="Z280" s="191"/>
      <x:c r="AA280" s="191"/>
      <x:c r="AB280" s="191"/>
      <x:c r="AC280" s="191"/>
      <x:c r="AD280" s="191"/>
      <x:c r="AE280" s="191"/>
      <x:c r="AF280" s="191"/>
      <x:c r="AG280" s="191"/>
      <x:c r="AH280" s="191"/>
      <x:c r="AI280" s="191"/>
      <x:c r="AJ280" s="191"/>
      <x:c r="AK280" s="191"/>
    </x:row>
    <x:row r="281">
      <x:c r="A281" s="191"/>
      <x:c r="B281" s="191"/>
      <x:c r="C281" s="191"/>
      <x:c r="D281" s="191"/>
      <x:c r="E281" s="191"/>
      <x:c r="F281" s="191"/>
      <x:c r="G281" s="191"/>
      <x:c r="H281" s="191"/>
      <x:c r="I281" s="191"/>
      <x:c r="J281" s="191"/>
      <x:c r="K281" s="191"/>
      <x:c r="L281" s="191"/>
      <x:c r="M281" s="191"/>
      <x:c r="N281" s="191"/>
      <x:c r="O281" s="191"/>
      <x:c r="P281" s="191"/>
      <x:c r="Q281" s="191"/>
      <x:c r="R281" s="191"/>
      <x:c r="S281" s="191"/>
      <x:c r="T281" s="191"/>
      <x:c r="U281" s="191"/>
      <x:c r="V281" s="191"/>
      <x:c r="W281" s="191"/>
      <x:c r="X281" s="191"/>
      <x:c r="Y281" s="191"/>
      <x:c r="Z281" s="191"/>
      <x:c r="AA281" s="191"/>
      <x:c r="AB281" s="191"/>
      <x:c r="AC281" s="191"/>
      <x:c r="AD281" s="191"/>
      <x:c r="AE281" s="191"/>
      <x:c r="AF281" s="191"/>
      <x:c r="AG281" s="191"/>
      <x:c r="AH281" s="191"/>
      <x:c r="AI281" s="191"/>
      <x:c r="AJ281" s="191"/>
      <x:c r="AK281" s="191"/>
    </x:row>
    <x:row r="282">
      <x:c r="A282" s="191"/>
      <x:c r="B282" s="191"/>
      <x:c r="C282" s="191"/>
      <x:c r="D282" s="191"/>
      <x:c r="E282" s="191"/>
      <x:c r="F282" s="191"/>
      <x:c r="G282" s="191"/>
      <x:c r="H282" s="191"/>
      <x:c r="I282" s="191"/>
      <x:c r="J282" s="191"/>
      <x:c r="K282" s="191"/>
      <x:c r="L282" s="191"/>
      <x:c r="M282" s="191"/>
      <x:c r="N282" s="191"/>
      <x:c r="O282" s="191"/>
      <x:c r="P282" s="191"/>
      <x:c r="Q282" s="191"/>
      <x:c r="R282" s="191"/>
      <x:c r="S282" s="191"/>
      <x:c r="T282" s="191"/>
      <x:c r="U282" s="191"/>
      <x:c r="V282" s="191"/>
      <x:c r="W282" s="191"/>
      <x:c r="X282" s="191"/>
      <x:c r="Y282" s="191"/>
      <x:c r="Z282" s="191"/>
      <x:c r="AA282" s="191"/>
      <x:c r="AB282" s="191"/>
      <x:c r="AC282" s="191"/>
      <x:c r="AD282" s="191"/>
      <x:c r="AE282" s="191"/>
      <x:c r="AF282" s="191"/>
      <x:c r="AG282" s="191"/>
      <x:c r="AH282" s="191"/>
      <x:c r="AI282" s="191"/>
      <x:c r="AJ282" s="191"/>
      <x:c r="AK282" s="191"/>
    </x:row>
    <x:row r="283">
      <x:c r="A283" s="191"/>
      <x:c r="B283" s="191"/>
      <x:c r="C283" s="191"/>
      <x:c r="D283" s="191"/>
      <x:c r="E283" s="191"/>
      <x:c r="F283" s="191"/>
      <x:c r="G283" s="191"/>
      <x:c r="H283" s="191"/>
      <x:c r="I283" s="191"/>
      <x:c r="J283" s="191"/>
      <x:c r="K283" s="191"/>
      <x:c r="L283" s="191"/>
      <x:c r="M283" s="191"/>
      <x:c r="N283" s="191"/>
      <x:c r="O283" s="191"/>
      <x:c r="P283" s="191"/>
      <x:c r="Q283" s="191"/>
      <x:c r="R283" s="191"/>
      <x:c r="S283" s="191"/>
      <x:c r="T283" s="191"/>
      <x:c r="U283" s="191"/>
      <x:c r="V283" s="191"/>
      <x:c r="W283" s="191"/>
      <x:c r="X283" s="191"/>
      <x:c r="Y283" s="191"/>
      <x:c r="Z283" s="191"/>
      <x:c r="AA283" s="191"/>
      <x:c r="AB283" s="191"/>
      <x:c r="AC283" s="191"/>
      <x:c r="AD283" s="191"/>
      <x:c r="AE283" s="191"/>
      <x:c r="AF283" s="191"/>
      <x:c r="AG283" s="191"/>
      <x:c r="AH283" s="191"/>
      <x:c r="AI283" s="191"/>
      <x:c r="AJ283" s="191"/>
      <x:c r="AK283" s="191"/>
    </x:row>
    <x:row r="284">
      <x:c r="A284" s="191"/>
      <x:c r="B284" s="191"/>
      <x:c r="C284" s="191"/>
      <x:c r="D284" s="191"/>
      <x:c r="E284" s="191"/>
      <x:c r="F284" s="191"/>
      <x:c r="G284" s="191"/>
      <x:c r="H284" s="191"/>
      <x:c r="I284" s="191"/>
      <x:c r="J284" s="191"/>
      <x:c r="K284" s="191"/>
      <x:c r="L284" s="191"/>
      <x:c r="M284" s="191"/>
      <x:c r="N284" s="191"/>
      <x:c r="O284" s="191"/>
      <x:c r="P284" s="191"/>
      <x:c r="Q284" s="191"/>
      <x:c r="R284" s="191"/>
      <x:c r="S284" s="191"/>
      <x:c r="T284" s="191"/>
      <x:c r="U284" s="191"/>
      <x:c r="V284" s="191"/>
      <x:c r="W284" s="191"/>
      <x:c r="X284" s="191"/>
      <x:c r="Y284" s="191"/>
      <x:c r="Z284" s="191"/>
      <x:c r="AA284" s="191"/>
      <x:c r="AB284" s="191"/>
      <x:c r="AC284" s="191"/>
      <x:c r="AD284" s="191"/>
      <x:c r="AE284" s="191"/>
      <x:c r="AF284" s="191"/>
      <x:c r="AG284" s="191"/>
      <x:c r="AH284" s="191"/>
      <x:c r="AI284" s="191"/>
      <x:c r="AJ284" s="191"/>
      <x:c r="AK284" s="191"/>
    </x:row>
    <x:row r="285">
      <x:c r="A285" s="191"/>
      <x:c r="B285" s="191"/>
      <x:c r="C285" s="191"/>
      <x:c r="D285" s="191"/>
      <x:c r="E285" s="191"/>
      <x:c r="F285" s="191"/>
      <x:c r="G285" s="191"/>
      <x:c r="H285" s="191"/>
      <x:c r="I285" s="191"/>
      <x:c r="J285" s="191"/>
      <x:c r="K285" s="191"/>
      <x:c r="L285" s="191"/>
      <x:c r="M285" s="191"/>
      <x:c r="N285" s="191"/>
      <x:c r="O285" s="191"/>
      <x:c r="P285" s="191"/>
      <x:c r="Q285" s="191"/>
      <x:c r="R285" s="191"/>
      <x:c r="S285" s="191"/>
      <x:c r="T285" s="191"/>
      <x:c r="U285" s="191"/>
      <x:c r="V285" s="191"/>
      <x:c r="W285" s="191"/>
      <x:c r="X285" s="191"/>
      <x:c r="Y285" s="191"/>
      <x:c r="Z285" s="191"/>
      <x:c r="AA285" s="191"/>
      <x:c r="AB285" s="191"/>
      <x:c r="AC285" s="191"/>
      <x:c r="AD285" s="191"/>
      <x:c r="AE285" s="191"/>
      <x:c r="AF285" s="191"/>
      <x:c r="AG285" s="191"/>
      <x:c r="AH285" s="191"/>
      <x:c r="AI285" s="191"/>
      <x:c r="AJ285" s="191"/>
      <x:c r="AK285" s="191"/>
    </x:row>
    <x:row r="286">
      <x:c r="A286" s="191"/>
      <x:c r="B286" s="191"/>
      <x:c r="C286" s="191"/>
      <x:c r="D286" s="191"/>
      <x:c r="E286" s="191"/>
      <x:c r="F286" s="191"/>
      <x:c r="G286" s="191"/>
      <x:c r="H286" s="191"/>
      <x:c r="I286" s="191"/>
      <x:c r="J286" s="191"/>
      <x:c r="K286" s="191"/>
      <x:c r="L286" s="191"/>
      <x:c r="M286" s="191"/>
      <x:c r="N286" s="191"/>
      <x:c r="O286" s="191"/>
      <x:c r="P286" s="191"/>
      <x:c r="Q286" s="191"/>
      <x:c r="R286" s="191"/>
      <x:c r="S286" s="191"/>
      <x:c r="T286" s="191"/>
      <x:c r="U286" s="191"/>
      <x:c r="V286" s="191"/>
      <x:c r="W286" s="191"/>
      <x:c r="X286" s="191"/>
      <x:c r="Y286" s="191"/>
      <x:c r="Z286" s="191"/>
      <x:c r="AA286" s="191"/>
      <x:c r="AB286" s="191"/>
      <x:c r="AC286" s="191"/>
      <x:c r="AD286" s="191"/>
      <x:c r="AE286" s="191"/>
      <x:c r="AF286" s="191"/>
      <x:c r="AG286" s="191"/>
      <x:c r="AH286" s="191"/>
      <x:c r="AI286" s="191"/>
      <x:c r="AJ286" s="191"/>
      <x:c r="AK286" s="191"/>
    </x:row>
    <x:row r="287">
      <x:c r="A287" s="191"/>
      <x:c r="B287" s="191"/>
      <x:c r="C287" s="191"/>
      <x:c r="D287" s="191"/>
      <x:c r="E287" s="191"/>
      <x:c r="F287" s="191"/>
      <x:c r="G287" s="191"/>
      <x:c r="H287" s="191"/>
      <x:c r="I287" s="191"/>
      <x:c r="J287" s="191"/>
      <x:c r="K287" s="191"/>
      <x:c r="L287" s="191"/>
      <x:c r="M287" s="191"/>
      <x:c r="N287" s="191"/>
      <x:c r="O287" s="191"/>
      <x:c r="P287" s="191"/>
      <x:c r="Q287" s="191"/>
      <x:c r="R287" s="191"/>
      <x:c r="S287" s="191"/>
      <x:c r="T287" s="191"/>
      <x:c r="U287" s="191"/>
      <x:c r="V287" s="191"/>
      <x:c r="W287" s="191"/>
      <x:c r="X287" s="191"/>
      <x:c r="Y287" s="191"/>
      <x:c r="Z287" s="191"/>
      <x:c r="AA287" s="191"/>
      <x:c r="AB287" s="191"/>
      <x:c r="AC287" s="191"/>
      <x:c r="AD287" s="191"/>
      <x:c r="AE287" s="191"/>
      <x:c r="AF287" s="191"/>
      <x:c r="AG287" s="191"/>
      <x:c r="AH287" s="191"/>
      <x:c r="AI287" s="191"/>
      <x:c r="AJ287" s="191"/>
      <x:c r="AK287" s="191"/>
    </x:row>
    <x:row r="288">
      <x:c r="A288" s="191"/>
      <x:c r="B288" s="191"/>
      <x:c r="C288" s="191"/>
      <x:c r="D288" s="191"/>
      <x:c r="E288" s="191"/>
      <x:c r="F288" s="191"/>
      <x:c r="G288" s="191"/>
      <x:c r="H288" s="191"/>
      <x:c r="I288" s="191"/>
      <x:c r="J288" s="191"/>
      <x:c r="K288" s="191"/>
      <x:c r="L288" s="191"/>
      <x:c r="M288" s="191"/>
      <x:c r="N288" s="191"/>
      <x:c r="O288" s="191"/>
      <x:c r="P288" s="191"/>
      <x:c r="Q288" s="191"/>
      <x:c r="R288" s="191"/>
      <x:c r="S288" s="191"/>
      <x:c r="T288" s="191"/>
      <x:c r="U288" s="191"/>
      <x:c r="V288" s="191"/>
      <x:c r="W288" s="191"/>
      <x:c r="X288" s="191"/>
      <x:c r="Y288" s="191"/>
      <x:c r="Z288" s="191"/>
      <x:c r="AA288" s="191"/>
      <x:c r="AB288" s="191"/>
      <x:c r="AC288" s="191"/>
      <x:c r="AD288" s="191"/>
      <x:c r="AE288" s="191"/>
      <x:c r="AF288" s="191"/>
      <x:c r="AG288" s="191"/>
      <x:c r="AH288" s="191"/>
      <x:c r="AI288" s="191"/>
      <x:c r="AJ288" s="191"/>
      <x:c r="AK288" s="191"/>
    </x:row>
    <x:row r="289">
      <x:c r="A289" s="191"/>
      <x:c r="B289" s="191"/>
      <x:c r="C289" s="191"/>
      <x:c r="D289" s="191"/>
      <x:c r="E289" s="191"/>
      <x:c r="F289" s="191"/>
      <x:c r="G289" s="191"/>
      <x:c r="H289" s="191"/>
      <x:c r="I289" s="191"/>
      <x:c r="J289" s="191"/>
      <x:c r="K289" s="191"/>
      <x:c r="L289" s="191"/>
      <x:c r="M289" s="191"/>
      <x:c r="N289" s="191"/>
      <x:c r="O289" s="191"/>
      <x:c r="P289" s="191"/>
      <x:c r="Q289" s="191"/>
      <x:c r="R289" s="191"/>
      <x:c r="S289" s="191"/>
      <x:c r="T289" s="191"/>
      <x:c r="U289" s="191"/>
      <x:c r="V289" s="191"/>
      <x:c r="W289" s="191"/>
      <x:c r="X289" s="191"/>
      <x:c r="Y289" s="191"/>
      <x:c r="Z289" s="191"/>
      <x:c r="AA289" s="191"/>
      <x:c r="AB289" s="191"/>
      <x:c r="AC289" s="191"/>
      <x:c r="AD289" s="191"/>
      <x:c r="AE289" s="191"/>
      <x:c r="AF289" s="191"/>
      <x:c r="AG289" s="191"/>
      <x:c r="AH289" s="191"/>
      <x:c r="AI289" s="191"/>
      <x:c r="AJ289" s="191"/>
      <x:c r="AK289" s="191"/>
    </x:row>
    <x:row r="290">
      <x:c r="A290" s="191"/>
      <x:c r="B290" s="191"/>
      <x:c r="C290" s="191"/>
      <x:c r="D290" s="191"/>
      <x:c r="E290" s="191"/>
      <x:c r="F290" s="191"/>
      <x:c r="G290" s="191"/>
      <x:c r="H290" s="191"/>
      <x:c r="I290" s="191"/>
      <x:c r="J290" s="191"/>
      <x:c r="K290" s="191"/>
      <x:c r="L290" s="191"/>
      <x:c r="M290" s="191"/>
      <x:c r="N290" s="191"/>
      <x:c r="O290" s="191"/>
      <x:c r="P290" s="191"/>
      <x:c r="Q290" s="191"/>
      <x:c r="R290" s="191"/>
      <x:c r="S290" s="191"/>
      <x:c r="T290" s="191"/>
      <x:c r="U290" s="191"/>
      <x:c r="V290" s="191"/>
      <x:c r="W290" s="191"/>
      <x:c r="X290" s="191"/>
      <x:c r="Y290" s="191"/>
      <x:c r="Z290" s="191"/>
      <x:c r="AA290" s="191"/>
      <x:c r="AB290" s="191"/>
      <x:c r="AC290" s="191"/>
      <x:c r="AD290" s="191"/>
      <x:c r="AE290" s="191"/>
      <x:c r="AF290" s="191"/>
      <x:c r="AG290" s="191"/>
      <x:c r="AH290" s="191"/>
      <x:c r="AI290" s="191"/>
      <x:c r="AJ290" s="191"/>
      <x:c r="AK290" s="191"/>
    </x:row>
    <x:row r="291">
      <x:c r="A291" s="191"/>
      <x:c r="B291" s="191"/>
      <x:c r="C291" s="191"/>
      <x:c r="D291" s="191"/>
      <x:c r="E291" s="191"/>
      <x:c r="F291" s="191"/>
      <x:c r="G291" s="191"/>
      <x:c r="H291" s="191"/>
      <x:c r="I291" s="191"/>
      <x:c r="J291" s="191"/>
      <x:c r="K291" s="191"/>
      <x:c r="L291" s="191"/>
      <x:c r="M291" s="191"/>
      <x:c r="N291" s="191"/>
      <x:c r="O291" s="191"/>
      <x:c r="P291" s="191"/>
      <x:c r="Q291" s="191"/>
      <x:c r="R291" s="191"/>
      <x:c r="S291" s="191"/>
      <x:c r="T291" s="191"/>
      <x:c r="U291" s="191"/>
      <x:c r="V291" s="191"/>
      <x:c r="W291" s="191"/>
      <x:c r="X291" s="191"/>
      <x:c r="Y291" s="191"/>
      <x:c r="Z291" s="191"/>
      <x:c r="AA291" s="191"/>
      <x:c r="AB291" s="191"/>
      <x:c r="AC291" s="191"/>
      <x:c r="AD291" s="191"/>
      <x:c r="AE291" s="191"/>
      <x:c r="AF291" s="191"/>
      <x:c r="AG291" s="191"/>
      <x:c r="AH291" s="191"/>
      <x:c r="AI291" s="191"/>
      <x:c r="AJ291" s="191"/>
      <x:c r="AK291" s="191"/>
    </x:row>
    <x:row r="292">
      <x:c r="A292" s="191"/>
      <x:c r="B292" s="191"/>
      <x:c r="C292" s="191"/>
      <x:c r="D292" s="191"/>
      <x:c r="E292" s="191"/>
      <x:c r="F292" s="191"/>
      <x:c r="G292" s="191"/>
      <x:c r="H292" s="191"/>
      <x:c r="I292" s="191"/>
      <x:c r="J292" s="191"/>
      <x:c r="K292" s="191"/>
      <x:c r="L292" s="191"/>
      <x:c r="M292" s="191"/>
      <x:c r="N292" s="191"/>
      <x:c r="O292" s="191"/>
      <x:c r="P292" s="191"/>
      <x:c r="Q292" s="191"/>
      <x:c r="R292" s="191"/>
      <x:c r="S292" s="191"/>
      <x:c r="T292" s="191"/>
      <x:c r="U292" s="191"/>
      <x:c r="V292" s="191"/>
      <x:c r="W292" s="191"/>
      <x:c r="X292" s="191"/>
      <x:c r="Y292" s="191"/>
      <x:c r="Z292" s="191"/>
      <x:c r="AA292" s="191"/>
      <x:c r="AB292" s="191"/>
      <x:c r="AC292" s="191"/>
      <x:c r="AD292" s="191"/>
      <x:c r="AE292" s="191"/>
      <x:c r="AF292" s="191"/>
      <x:c r="AG292" s="191"/>
      <x:c r="AH292" s="191"/>
      <x:c r="AI292" s="191"/>
      <x:c r="AJ292" s="191"/>
      <x:c r="AK292" s="191"/>
    </x:row>
    <x:row r="293">
      <x:c r="A293" s="191"/>
      <x:c r="B293" s="191"/>
      <x:c r="C293" s="191"/>
      <x:c r="D293" s="191"/>
      <x:c r="E293" s="191"/>
      <x:c r="F293" s="191"/>
      <x:c r="G293" s="191"/>
      <x:c r="H293" s="191"/>
      <x:c r="I293" s="191"/>
      <x:c r="J293" s="191"/>
      <x:c r="K293" s="191"/>
      <x:c r="L293" s="191"/>
      <x:c r="M293" s="191"/>
      <x:c r="N293" s="191"/>
      <x:c r="O293" s="191"/>
      <x:c r="P293" s="191"/>
      <x:c r="Q293" s="191"/>
      <x:c r="R293" s="191"/>
      <x:c r="S293" s="191"/>
      <x:c r="T293" s="191"/>
      <x:c r="U293" s="191"/>
      <x:c r="V293" s="191"/>
      <x:c r="W293" s="191"/>
      <x:c r="X293" s="191"/>
      <x:c r="Y293" s="191"/>
      <x:c r="Z293" s="191"/>
      <x:c r="AA293" s="191"/>
      <x:c r="AB293" s="191"/>
      <x:c r="AC293" s="191"/>
      <x:c r="AD293" s="191"/>
      <x:c r="AE293" s="191"/>
      <x:c r="AF293" s="191"/>
      <x:c r="AG293" s="191"/>
      <x:c r="AH293" s="191"/>
      <x:c r="AI293" s="191"/>
      <x:c r="AJ293" s="191"/>
      <x:c r="AK293" s="191"/>
    </x:row>
    <x:row r="294">
      <x:c r="A294" s="191"/>
      <x:c r="B294" s="191"/>
      <x:c r="C294" s="191"/>
      <x:c r="D294" s="191"/>
      <x:c r="E294" s="191"/>
      <x:c r="F294" s="191"/>
      <x:c r="G294" s="191"/>
      <x:c r="H294" s="191"/>
      <x:c r="I294" s="191"/>
      <x:c r="J294" s="191"/>
      <x:c r="K294" s="191"/>
      <x:c r="L294" s="191"/>
      <x:c r="M294" s="191"/>
      <x:c r="N294" s="191"/>
      <x:c r="O294" s="191"/>
      <x:c r="P294" s="191"/>
      <x:c r="Q294" s="191"/>
      <x:c r="R294" s="191"/>
      <x:c r="S294" s="191"/>
      <x:c r="T294" s="191"/>
      <x:c r="U294" s="191"/>
      <x:c r="V294" s="191"/>
      <x:c r="W294" s="191"/>
      <x:c r="X294" s="191"/>
      <x:c r="Y294" s="191"/>
      <x:c r="Z294" s="191"/>
      <x:c r="AA294" s="191"/>
      <x:c r="AB294" s="191"/>
      <x:c r="AC294" s="191"/>
      <x:c r="AD294" s="191"/>
      <x:c r="AE294" s="191"/>
      <x:c r="AF294" s="191"/>
      <x:c r="AG294" s="191"/>
      <x:c r="AH294" s="191"/>
      <x:c r="AI294" s="191"/>
      <x:c r="AJ294" s="191"/>
      <x:c r="AK294" s="191"/>
    </x:row>
    <x:row r="295">
      <x:c r="A295" s="191"/>
      <x:c r="B295" s="191"/>
      <x:c r="C295" s="191"/>
      <x:c r="D295" s="191"/>
      <x:c r="E295" s="191"/>
      <x:c r="F295" s="191"/>
      <x:c r="G295" s="191"/>
      <x:c r="H295" s="191"/>
      <x:c r="I295" s="191"/>
      <x:c r="J295" s="191"/>
      <x:c r="K295" s="191"/>
      <x:c r="L295" s="191"/>
      <x:c r="M295" s="191"/>
      <x:c r="N295" s="191"/>
      <x:c r="O295" s="191"/>
      <x:c r="P295" s="191"/>
      <x:c r="Q295" s="191"/>
      <x:c r="R295" s="191"/>
      <x:c r="S295" s="191"/>
      <x:c r="T295" s="191"/>
      <x:c r="U295" s="191"/>
      <x:c r="V295" s="191"/>
      <x:c r="W295" s="191"/>
      <x:c r="X295" s="191"/>
      <x:c r="Y295" s="191"/>
      <x:c r="Z295" s="191"/>
      <x:c r="AA295" s="191"/>
      <x:c r="AB295" s="191"/>
      <x:c r="AC295" s="191"/>
      <x:c r="AD295" s="191"/>
      <x:c r="AE295" s="191"/>
      <x:c r="AF295" s="191"/>
      <x:c r="AG295" s="191"/>
      <x:c r="AH295" s="191"/>
      <x:c r="AI295" s="191"/>
      <x:c r="AJ295" s="191"/>
      <x:c r="AK295" s="191"/>
    </x:row>
    <x:row r="296">
      <x:c r="A296" s="191"/>
      <x:c r="B296" s="191"/>
      <x:c r="C296" s="191"/>
      <x:c r="D296" s="191"/>
      <x:c r="E296" s="191"/>
      <x:c r="F296" s="191"/>
      <x:c r="G296" s="191"/>
      <x:c r="H296" s="191"/>
      <x:c r="I296" s="191"/>
      <x:c r="J296" s="191"/>
      <x:c r="K296" s="191"/>
      <x:c r="L296" s="191"/>
      <x:c r="M296" s="191"/>
      <x:c r="N296" s="191"/>
      <x:c r="O296" s="191"/>
      <x:c r="P296" s="191"/>
      <x:c r="Q296" s="191"/>
      <x:c r="R296" s="191"/>
      <x:c r="S296" s="191"/>
      <x:c r="T296" s="191"/>
      <x:c r="U296" s="191"/>
      <x:c r="V296" s="191"/>
      <x:c r="W296" s="191"/>
      <x:c r="X296" s="191"/>
      <x:c r="Y296" s="191"/>
      <x:c r="Z296" s="191"/>
      <x:c r="AA296" s="191"/>
      <x:c r="AB296" s="191"/>
      <x:c r="AC296" s="191"/>
      <x:c r="AD296" s="191"/>
      <x:c r="AE296" s="191"/>
      <x:c r="AF296" s="191"/>
      <x:c r="AG296" s="191"/>
      <x:c r="AH296" s="191"/>
      <x:c r="AI296" s="191"/>
      <x:c r="AJ296" s="191"/>
      <x:c r="AK296" s="191"/>
    </x:row>
    <x:row r="297">
      <x:c r="A297" s="191"/>
      <x:c r="B297" s="191"/>
      <x:c r="C297" s="191"/>
      <x:c r="D297" s="191"/>
      <x:c r="E297" s="191"/>
      <x:c r="F297" s="191"/>
      <x:c r="G297" s="191"/>
      <x:c r="H297" s="191"/>
      <x:c r="I297" s="191"/>
      <x:c r="J297" s="191"/>
      <x:c r="K297" s="191"/>
      <x:c r="L297" s="191"/>
      <x:c r="M297" s="191"/>
      <x:c r="N297" s="191"/>
      <x:c r="O297" s="191"/>
      <x:c r="P297" s="191"/>
      <x:c r="Q297" s="191"/>
      <x:c r="R297" s="191"/>
      <x:c r="S297" s="191"/>
      <x:c r="T297" s="191"/>
      <x:c r="U297" s="191"/>
      <x:c r="V297" s="191"/>
      <x:c r="W297" s="191"/>
      <x:c r="X297" s="191"/>
      <x:c r="Y297" s="191"/>
      <x:c r="Z297" s="191"/>
      <x:c r="AA297" s="191"/>
      <x:c r="AB297" s="191"/>
      <x:c r="AC297" s="191"/>
      <x:c r="AD297" s="191"/>
      <x:c r="AE297" s="191"/>
      <x:c r="AF297" s="191"/>
      <x:c r="AG297" s="191"/>
      <x:c r="AH297" s="191"/>
      <x:c r="AI297" s="191"/>
      <x:c r="AJ297" s="191"/>
      <x:c r="AK297" s="191"/>
    </x:row>
    <x:row r="298">
      <x:c r="A298" s="191"/>
      <x:c r="B298" s="191"/>
      <x:c r="C298" s="191"/>
      <x:c r="D298" s="191"/>
      <x:c r="E298" s="191"/>
      <x:c r="F298" s="191"/>
      <x:c r="G298" s="191"/>
      <x:c r="H298" s="191"/>
      <x:c r="I298" s="191"/>
      <x:c r="J298" s="191"/>
      <x:c r="K298" s="191"/>
      <x:c r="L298" s="191"/>
      <x:c r="M298" s="191"/>
      <x:c r="N298" s="191"/>
      <x:c r="O298" s="191"/>
      <x:c r="P298" s="191"/>
      <x:c r="Q298" s="191"/>
      <x:c r="R298" s="191"/>
      <x:c r="S298" s="191"/>
      <x:c r="T298" s="191"/>
      <x:c r="U298" s="191"/>
      <x:c r="V298" s="191"/>
      <x:c r="W298" s="191"/>
      <x:c r="X298" s="191"/>
      <x:c r="Y298" s="191"/>
      <x:c r="Z298" s="191"/>
      <x:c r="AA298" s="191"/>
      <x:c r="AB298" s="191"/>
      <x:c r="AC298" s="191"/>
      <x:c r="AD298" s="191"/>
      <x:c r="AE298" s="191"/>
      <x:c r="AF298" s="191"/>
      <x:c r="AG298" s="191"/>
      <x:c r="AH298" s="191"/>
      <x:c r="AI298" s="191"/>
      <x:c r="AJ298" s="191"/>
      <x:c r="AK298" s="191"/>
    </x:row>
    <x:row r="299">
      <x:c r="A299" s="191"/>
      <x:c r="B299" s="191"/>
      <x:c r="C299" s="191"/>
      <x:c r="D299" s="191"/>
      <x:c r="E299" s="191"/>
      <x:c r="F299" s="191"/>
      <x:c r="G299" s="191"/>
      <x:c r="H299" s="191"/>
      <x:c r="I299" s="191"/>
      <x:c r="J299" s="191"/>
      <x:c r="K299" s="191"/>
      <x:c r="L299" s="191"/>
      <x:c r="M299" s="191"/>
      <x:c r="N299" s="191"/>
      <x:c r="O299" s="191"/>
      <x:c r="P299" s="191"/>
      <x:c r="Q299" s="191"/>
      <x:c r="R299" s="191"/>
      <x:c r="S299" s="191"/>
      <x:c r="T299" s="191"/>
      <x:c r="U299" s="191"/>
      <x:c r="V299" s="191"/>
      <x:c r="W299" s="191"/>
      <x:c r="X299" s="191"/>
      <x:c r="Y299" s="191"/>
      <x:c r="Z299" s="191"/>
      <x:c r="AA299" s="191"/>
      <x:c r="AB299" s="191"/>
      <x:c r="AC299" s="191"/>
      <x:c r="AD299" s="191"/>
      <x:c r="AE299" s="191"/>
      <x:c r="AF299" s="191"/>
      <x:c r="AG299" s="191"/>
      <x:c r="AH299" s="191"/>
      <x:c r="AI299" s="191"/>
      <x:c r="AJ299" s="191"/>
      <x:c r="AK299" s="191"/>
    </x:row>
    <x:row r="300">
      <x:c r="A300" s="191"/>
      <x:c r="B300" s="191"/>
      <x:c r="C300" s="191"/>
      <x:c r="D300" s="191"/>
      <x:c r="E300" s="191"/>
      <x:c r="F300" s="191"/>
      <x:c r="G300" s="191"/>
      <x:c r="H300" s="191"/>
      <x:c r="I300" s="191"/>
      <x:c r="J300" s="191"/>
      <x:c r="K300" s="191"/>
      <x:c r="L300" s="191"/>
      <x:c r="M300" s="191"/>
      <x:c r="N300" s="191"/>
      <x:c r="O300" s="191"/>
      <x:c r="P300" s="191"/>
      <x:c r="Q300" s="191"/>
      <x:c r="R300" s="191"/>
      <x:c r="S300" s="191"/>
      <x:c r="T300" s="191"/>
      <x:c r="U300" s="191"/>
      <x:c r="V300" s="191"/>
      <x:c r="W300" s="191"/>
      <x:c r="X300" s="191"/>
      <x:c r="Y300" s="191"/>
      <x:c r="Z300" s="191"/>
      <x:c r="AA300" s="191"/>
      <x:c r="AB300" s="191"/>
      <x:c r="AC300" s="191"/>
      <x:c r="AD300" s="191"/>
      <x:c r="AE300" s="191"/>
      <x:c r="AF300" s="191"/>
      <x:c r="AG300" s="191"/>
      <x:c r="AH300" s="191"/>
      <x:c r="AI300" s="191"/>
      <x:c r="AJ300" s="191"/>
      <x:c r="AK300" s="191"/>
    </x:row>
  </x:sheetData>
  <x:mergeCells>
    <x:mergeCell ref="A1:J1"/>
    <x:mergeCell ref="A3:D3"/>
    <x:mergeCell ref="C4:D7"/>
    <x:mergeCell ref="A9:D9"/>
    <x:mergeCell ref="F3:J3"/>
    <x:mergeCell ref="A20:F20"/>
    <x:mergeCell ref="A35:J35"/>
    <x:mergeCell ref="A36:J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8" hidden="0" customWidth="1"/>
    <x:col min="4" max="4" width="9" hidden="0" customWidth="1"/>
    <x:col min="5" max="5" width="15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3" hidden="0" customWidth="1"/>
    <x:col min="12" max="12" width="14" hidden="0" customWidth="1"/>
    <x:col min="13" max="13" width="15" hidden="0" customWidth="1"/>
    <x:col min="14" max="14" width="10" hidden="0" customWidth="1"/>
    <x:col min="15" max="15" width="25" hidden="0" customWidth="1"/>
    <x:col min="16" max="16" width="48" hidden="0" customWidth="1"/>
    <x:col min="17" max="17" width="22" hidden="0" customWidth="1"/>
  </x:cols>
  <x:sheetData>
    <x:row r="1" ht="28" customHeight="1">
      <x:c r="A1" s="5" t="str">
        <x:v>Base Discount Curves, Historical Node Shifts and Final Sequentially Shocked Curves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191"/>
      <x:c r="S1" s="191"/>
      <x:c r="T1" s="191"/>
      <x:c r="U1" s="191"/>
      <x:c r="V1" s="191"/>
      <x:c r="W1" s="191"/>
      <x:c r="X1" s="191"/>
      <x:c r="Y1" s="191"/>
      <x:c r="Z1" s="191"/>
      <x:c r="AA1" s="191"/>
      <x:c r="AB1" s="191"/>
      <x:c r="AC1" s="191"/>
      <x:c r="AD1" s="191"/>
      <x:c r="AE1" s="191"/>
      <x:c r="AF1" s="191"/>
      <x:c r="AG1" s="191"/>
      <x:c r="AH1" s="191"/>
      <x:c r="AI1" s="191"/>
      <x:c r="AJ1" s="191"/>
      <x:c r="AK1" s="191"/>
    </x:row>
    <x:row r="2">
      <x:c r="A2" s="191"/>
      <x:c r="B2" s="191"/>
      <x:c r="C2" s="191"/>
      <x:c r="D2" s="191"/>
      <x:c r="E2" s="191"/>
      <x:c r="F2" s="191"/>
      <x:c r="G2" s="191"/>
      <x:c r="H2" s="191"/>
      <x:c r="I2" s="191"/>
      <x:c r="J2" s="191"/>
      <x:c r="K2" s="191"/>
      <x:c r="L2" s="191"/>
      <x:c r="M2" s="191"/>
      <x:c r="N2" s="191"/>
      <x:c r="O2" s="191"/>
      <x:c r="P2" s="191"/>
      <x:c r="Q2" s="191"/>
      <x:c r="R2" s="191"/>
      <x:c r="S2" s="191"/>
      <x:c r="T2" s="191"/>
      <x:c r="U2" s="191"/>
      <x:c r="V2" s="191"/>
      <x:c r="W2" s="191"/>
      <x:c r="X2" s="191"/>
      <x:c r="Y2" s="191"/>
      <x:c r="Z2" s="191"/>
      <x:c r="AA2" s="191"/>
      <x:c r="AB2" s="191"/>
      <x:c r="AC2" s="191"/>
      <x:c r="AD2" s="191"/>
      <x:c r="AE2" s="191"/>
      <x:c r="AF2" s="191"/>
      <x:c r="AG2" s="191"/>
      <x:c r="AH2" s="191"/>
      <x:c r="AI2" s="191"/>
      <x:c r="AJ2" s="191"/>
      <x:c r="AK2" s="191"/>
    </x:row>
    <x:row r="3">
      <x:c r="A3" s="45" t="str">
        <x:v>Curve</x:v>
      </x:c>
      <x:c r="B3" s="45" t="str">
        <x:v>Risk Class</x:v>
      </x:c>
      <x:c r="C3" s="45" t="str">
        <x:v>Node #</x:v>
      </x:c>
      <x:c r="D3" s="45" t="str">
        <x:v>Tenor</x:v>
      </x:c>
      <x:c r="E3" s="45" t="str">
        <x:v>Maturity Date</x:v>
      </x:c>
      <x:c r="F3" s="45" t="str">
        <x:v>Year Fraction</x:v>
      </x:c>
      <x:c r="G3" s="45" t="str">
        <x:v>Base Zero Rate</x:v>
      </x:c>
      <x:c r="H3" s="45" t="str">
        <x:v>Base DF</x:v>
      </x:c>
      <x:c r="I3" s="45" t="str">
        <x:v>Base Forward</x:v>
      </x:c>
      <x:c r="J3" s="45" t="str">
        <x:v>Shock (bp)</x:v>
      </x:c>
      <x:c r="K3" s="45" t="str">
        <x:v>Shock Decimal</x:v>
      </x:c>
      <x:c r="L3" s="45" t="str">
        <x:v>Shocked Forward</x:v>
      </x:c>
      <x:c r="M3" s="45" t="str">
        <x:v>Final Shocked DF</x:v>
      </x:c>
      <x:c r="N3" s="45" t="str">
        <x:v>Apply Step</x:v>
      </x:c>
      <x:c r="O3" s="45" t="str">
        <x:v>Input Source</x:v>
      </x:c>
      <x:c r="P3" s="45" t="str">
        <x:v>Illustrative gxlCurveDiscShift Call</x:v>
      </x:c>
      <x:c r="Q3" s="45" t="str">
        <x:v>Output Curve Object</x:v>
      </x:c>
      <x:c r="R3" s="191"/>
      <x:c r="S3" s="191"/>
      <x:c r="T3" s="191"/>
      <x:c r="U3" s="191"/>
      <x:c r="V3" s="191"/>
      <x:c r="W3" s="191"/>
      <x:c r="X3" s="191"/>
      <x:c r="Y3" s="191"/>
      <x:c r="Z3" s="191"/>
      <x:c r="AA3" s="191"/>
      <x:c r="AB3" s="191"/>
      <x:c r="AC3" s="191"/>
      <x:c r="AD3" s="191"/>
      <x:c r="AE3" s="191"/>
      <x:c r="AF3" s="191"/>
      <x:c r="AG3" s="191"/>
      <x:c r="AH3" s="191"/>
      <x:c r="AI3" s="191"/>
      <x:c r="AJ3" s="191"/>
      <x:c r="AK3" s="191"/>
    </x:row>
    <x:row r="4">
      <x:c r="A4" s="198" t="str">
        <x:v>Agency_FNMA</x:v>
      </x:c>
      <x:c r="B4" s="198" t="str">
        <x:v>Credit</x:v>
      </x:c>
      <x:c r="C4" s="198" t="n">
        <x:v>1</x:v>
      </x:c>
      <x:c r="D4" s="198" t="str">
        <x:v>3M</x:v>
      </x:c>
      <x:c r="E4" s="197" t="n">
        <x:v>46318</x:v>
      </x:c>
      <x:c r="F4" s="211" t="n">
        <x:f>(E4-'02_Assumptions'!$B$4)/365</x:f>
        <x:v>0.25205479452054796</x:v>
      </x:c>
      <x:c r="G4" s="212" t="n">
        <x:v>0.046</x:v>
      </x:c>
      <x:c r="H4" s="212" t="n">
        <x:f>EXP(-G4*F4)</x:f>
        <x:v>0.9884724368758391</x:v>
      </x:c>
      <x:c r="I4" s="212" t="n">
        <x:f>-LN(H4)/F4</x:f>
        <x:v>0.045999999999999916</x:v>
      </x:c>
      <x:c r="J4" s="213" t="n">
        <x:v>40</x:v>
      </x:c>
      <x:c r="K4" s="212" t="n">
        <x:f>J4/10000</x:f>
        <x:v>0.004</x:v>
      </x:c>
      <x:c r="L4" s="212" t="n">
        <x:f>I4+K4</x:f>
        <x:v>0.04999999999999992</x:v>
      </x:c>
      <x:c r="M4" s="212" t="n">
        <x:f>EXP(-L4*F4)</x:f>
        <x:v>0.9874763422332141</x:v>
      </x:c>
      <x:c r="N4" s="191" t="n">
        <x:v>1</x:v>
      </x:c>
      <x:c r="O4" s="191" t="str">
        <x:v>User design / illustrative value</x:v>
      </x:c>
      <x:c r="P4" s="214" t="str">
        <x:v>=gxlCurveDiscShift(Base_Agency_FNMA, "3M", 40)</x:v>
      </x:c>
      <x:c r="Q4" s="191" t="str">
        <x:v>Agency_FNMA_Step01</x:v>
      </x:c>
      <x:c r="R4" s="191"/>
      <x:c r="S4" s="191"/>
      <x:c r="T4" s="191"/>
      <x:c r="U4" s="191"/>
      <x:c r="V4" s="191"/>
      <x:c r="W4" s="191"/>
      <x:c r="X4" s="191"/>
      <x:c r="Y4" s="191"/>
      <x:c r="Z4" s="191"/>
      <x:c r="AA4" s="191"/>
      <x:c r="AB4" s="191"/>
      <x:c r="AC4" s="191"/>
      <x:c r="AD4" s="191"/>
      <x:c r="AE4" s="191"/>
      <x:c r="AF4" s="191"/>
      <x:c r="AG4" s="191"/>
      <x:c r="AH4" s="191"/>
      <x:c r="AI4" s="191"/>
      <x:c r="AJ4" s="191"/>
      <x:c r="AK4" s="191"/>
    </x:row>
    <x:row r="5">
      <x:c r="A5" s="198" t="str">
        <x:v>Agency_FNMA</x:v>
      </x:c>
      <x:c r="B5" s="198" t="str">
        <x:v>Credit</x:v>
      </x:c>
      <x:c r="C5" s="198" t="n">
        <x:v>2</x:v>
      </x:c>
      <x:c r="D5" s="198" t="str">
        <x:v>6M</x:v>
      </x:c>
      <x:c r="E5" s="197" t="n">
        <x:v>46410</x:v>
      </x:c>
      <x:c r="F5" s="211" t="n">
        <x:f>(E5-'02_Assumptions'!$B$4)/365</x:f>
        <x:v>0.5041095890410959</x:v>
      </x:c>
      <x:c r="G5" s="212" t="n">
        <x:v>0.0465</x:v>
      </x:c>
      <x:c r="H5" s="212" t="n">
        <x:f>EXP(-G5*F5)</x:f>
        <x:v>0.9768315123646781</x:v>
      </x:c>
      <x:c r="I5" s="212" t="n">
        <x:f>-LN(H5/H4)/(F5-F4)</x:f>
        <x:v>0.0470000000000004</x:v>
      </x:c>
      <x:c r="J5" s="213" t="n">
        <x:v>65</x:v>
      </x:c>
      <x:c r="K5" s="212" t="n">
        <x:f>J5/10000</x:f>
        <x:v>0.0065</x:v>
      </x:c>
      <x:c r="L5" s="212" t="n">
        <x:f>I5+K5</x:f>
        <x:v>0.0535000000000004</x:v>
      </x:c>
      <x:c r="M5" s="212" t="n">
        <x:f>M4*EXP(-L5*(F5-F4))</x:f>
        <x:v>0.9742496721945879</x:v>
      </x:c>
      <x:c r="N5" s="191" t="n">
        <x:v>2</x:v>
      </x:c>
      <x:c r="O5" s="191" t="str">
        <x:v>User design / illustrative value</x:v>
      </x:c>
      <x:c r="P5" s="214" t="str">
        <x:v>=gxlCurveDiscShift(Agency_FNMA_Step01, "6M", 65)</x:v>
      </x:c>
      <x:c r="Q5" s="191" t="str">
        <x:v>Agency_FNMA_Step02</x:v>
      </x:c>
      <x:c r="R5" s="191"/>
      <x:c r="S5" s="191"/>
      <x:c r="T5" s="191"/>
      <x:c r="U5" s="191"/>
      <x:c r="V5" s="191"/>
      <x:c r="W5" s="191"/>
      <x:c r="X5" s="191"/>
      <x:c r="Y5" s="191"/>
      <x:c r="Z5" s="191"/>
      <x:c r="AA5" s="191"/>
      <x:c r="AB5" s="191"/>
      <x:c r="AC5" s="191"/>
      <x:c r="AD5" s="191"/>
      <x:c r="AE5" s="191"/>
      <x:c r="AF5" s="191"/>
      <x:c r="AG5" s="191"/>
      <x:c r="AH5" s="191"/>
      <x:c r="AI5" s="191"/>
      <x:c r="AJ5" s="191"/>
      <x:c r="AK5" s="191"/>
    </x:row>
    <x:row r="6">
      <x:c r="A6" s="198" t="str">
        <x:v>Agency_FNMA</x:v>
      </x:c>
      <x:c r="B6" s="198" t="str">
        <x:v>Credit</x:v>
      </x:c>
      <x:c r="C6" s="198" t="n">
        <x:v>3</x:v>
      </x:c>
      <x:c r="D6" s="198" t="str">
        <x:v>1Y</x:v>
      </x:c>
      <x:c r="E6" s="197" t="n">
        <x:v>46591</x:v>
      </x:c>
      <x:c r="F6" s="211" t="n">
        <x:f>(E6-'02_Assumptions'!$B$4)/365</x:f>
        <x:v>1</x:v>
      </x:c>
      <x:c r="G6" s="212" t="n">
        <x:v>0.047</x:v>
      </x:c>
      <x:c r="H6" s="212" t="n">
        <x:f>EXP(-G6*F6)</x:f>
        <x:v>0.9540873975903711</x:v>
      </x:c>
      <x:c r="I6" s="212" t="n">
        <x:f>-LN(H6/H5)/(F6-F5)</x:f>
        <x:v>0.04750828729281775</x:v>
      </x:c>
      <x:c r="J6" s="213" t="n">
        <x:v>90</x:v>
      </x:c>
      <x:c r="K6" s="212" t="n">
        <x:f>J6/10000</x:f>
        <x:v>0.009</x:v>
      </x:c>
      <x:c r="L6" s="212" t="n">
        <x:f>I6+K6</x:f>
        <x:v>0.056508287292817753</x:v>
      </x:c>
      <x:c r="M6" s="212" t="n">
        <x:f>M5*EXP(-L6*(F6-F5))</x:f>
        <x:v>0.9473282840147506</x:v>
      </x:c>
      <x:c r="N6" s="191" t="n">
        <x:v>3</x:v>
      </x:c>
      <x:c r="O6" s="191" t="str">
        <x:v>User design / illustrative value</x:v>
      </x:c>
      <x:c r="P6" s="214" t="str">
        <x:v>=gxlCurveDiscShift(Agency_FNMA_Step02, "1Y", 90)</x:v>
      </x:c>
      <x:c r="Q6" s="191" t="str">
        <x:v>Agency_FNMA_Step03</x:v>
      </x:c>
      <x:c r="R6" s="191"/>
      <x:c r="S6" s="191"/>
      <x:c r="T6" s="191"/>
      <x:c r="U6" s="191"/>
      <x:c r="V6" s="191"/>
      <x:c r="W6" s="191"/>
      <x:c r="X6" s="191"/>
      <x:c r="Y6" s="191"/>
      <x:c r="Z6" s="191"/>
      <x:c r="AA6" s="191"/>
      <x:c r="AB6" s="191"/>
      <x:c r="AC6" s="191"/>
      <x:c r="AD6" s="191"/>
      <x:c r="AE6" s="191"/>
      <x:c r="AF6" s="191"/>
      <x:c r="AG6" s="191"/>
      <x:c r="AH6" s="191"/>
      <x:c r="AI6" s="191"/>
      <x:c r="AJ6" s="191"/>
      <x:c r="AK6" s="191"/>
    </x:row>
    <x:row r="7">
      <x:c r="A7" s="198" t="str">
        <x:v>Agency_FNMA</x:v>
      </x:c>
      <x:c r="B7" s="198" t="str">
        <x:v>Credit</x:v>
      </x:c>
      <x:c r="C7" s="198" t="n">
        <x:v>4</x:v>
      </x:c>
      <x:c r="D7" s="198" t="str">
        <x:v>2Y</x:v>
      </x:c>
      <x:c r="E7" s="197" t="n">
        <x:v>46957</x:v>
      </x:c>
      <x:c r="F7" s="211" t="n">
        <x:f>(E7-'02_Assumptions'!$B$4)/365</x:f>
        <x:v>2.0027397260273974</x:v>
      </x:c>
      <x:c r="G7" s="212" t="n">
        <x:v>0.0478</x:v>
      </x:c>
      <x:c r="H7" s="212" t="n">
        <x:f>EXP(-G7*F7)</x:f>
        <x:v>0.908708463104841</x:v>
      </x:c>
      <x:c r="I7" s="212" t="n">
        <x:f>-LN(H7/H6)/(F7-F6)</x:f>
        <x:v>0.04859781420765029</x:v>
      </x:c>
      <x:c r="J7" s="213" t="n">
        <x:v>130</x:v>
      </x:c>
      <x:c r="K7" s="212" t="n">
        <x:f>J7/10000</x:f>
        <x:v>0.013</x:v>
      </x:c>
      <x:c r="L7" s="212" t="n">
        <x:f>I7+K7</x:f>
        <x:v>0.06159781420765029</x:v>
      </x:c>
      <x:c r="M7" s="212" t="n">
        <x:f>M6*EXP(-L7*(F7-F6))</x:f>
        <x:v>0.890585502673789</x:v>
      </x:c>
      <x:c r="N7" s="191" t="n">
        <x:v>4</x:v>
      </x:c>
      <x:c r="O7" s="191" t="str">
        <x:v>User design / illustrative value</x:v>
      </x:c>
      <x:c r="P7" s="214" t="str">
        <x:v>=gxlCurveDiscShift(Agency_FNMA_Step03, "2Y", 130)</x:v>
      </x:c>
      <x:c r="Q7" s="191" t="str">
        <x:v>Agency_FNMA_Step04</x:v>
      </x:c>
      <x:c r="R7" s="191"/>
      <x:c r="S7" s="191"/>
      <x:c r="T7" s="191"/>
      <x:c r="U7" s="191"/>
      <x:c r="V7" s="191"/>
      <x:c r="W7" s="191"/>
      <x:c r="X7" s="191"/>
      <x:c r="Y7" s="191"/>
      <x:c r="Z7" s="191"/>
      <x:c r="AA7" s="191"/>
      <x:c r="AB7" s="191"/>
      <x:c r="AC7" s="191"/>
      <x:c r="AD7" s="191"/>
      <x:c r="AE7" s="191"/>
      <x:c r="AF7" s="191"/>
      <x:c r="AG7" s="191"/>
      <x:c r="AH7" s="191"/>
      <x:c r="AI7" s="191"/>
      <x:c r="AJ7" s="191"/>
      <x:c r="AK7" s="191"/>
    </x:row>
    <x:row r="8">
      <x:c r="A8" s="198" t="str">
        <x:v>Agency_FNMA</x:v>
      </x:c>
      <x:c r="B8" s="198" t="str">
        <x:v>Credit</x:v>
      </x:c>
      <x:c r="C8" s="198" t="n">
        <x:v>5</x:v>
      </x:c>
      <x:c r="D8" s="198" t="str">
        <x:v>3Y</x:v>
      </x:c>
      <x:c r="E8" s="197" t="n">
        <x:v>47322</x:v>
      </x:c>
      <x:c r="F8" s="211" t="n">
        <x:f>(E8-'02_Assumptions'!$B$4)/365</x:f>
        <x:v>3.0027397260273974</x:v>
      </x:c>
      <x:c r="G8" s="212" t="n">
        <x:v>0.0485</x:v>
      </x:c>
      <x:c r="H8" s="212" t="n">
        <x:f>EXP(-G8*F8)</x:f>
        <x:v>0.8644750138442047</x:v>
      </x:c>
      <x:c r="I8" s="212" t="n">
        <x:f>-LN(H8/H7)/(F8-F7)</x:f>
        <x:v>0.04990191780821914</x:v>
      </x:c>
      <x:c r="J8" s="213" t="n">
        <x:v>160</x:v>
      </x:c>
      <x:c r="K8" s="212" t="n">
        <x:f>J8/10000</x:f>
        <x:v>0.016</x:v>
      </x:c>
      <x:c r="L8" s="212" t="n">
        <x:f>I8+K8</x:f>
        <x:v>0.06590191780821913</x:v>
      </x:c>
      <x:c r="M8" s="212" t="n">
        <x:f>M7*EXP(-L8*(F8-F7))</x:f>
        <x:v>0.833786351926044</x:v>
      </x:c>
      <x:c r="N8" s="191" t="n">
        <x:v>5</x:v>
      </x:c>
      <x:c r="O8" s="191" t="str">
        <x:v>User design / illustrative value</x:v>
      </x:c>
      <x:c r="P8" s="214" t="str">
        <x:v>=gxlCurveDiscShift(Agency_FNMA_Step04, "3Y", 160)</x:v>
      </x:c>
      <x:c r="Q8" s="191" t="str">
        <x:v>Agency_FNMA_Step05</x:v>
      </x:c>
      <x:c r="R8" s="191"/>
      <x:c r="S8" s="191"/>
      <x:c r="T8" s="191"/>
      <x:c r="U8" s="191"/>
      <x:c r="V8" s="191"/>
      <x:c r="W8" s="191"/>
      <x:c r="X8" s="191"/>
      <x:c r="Y8" s="191"/>
      <x:c r="Z8" s="191"/>
      <x:c r="AA8" s="191"/>
      <x:c r="AB8" s="191"/>
      <x:c r="AC8" s="191"/>
      <x:c r="AD8" s="191"/>
      <x:c r="AE8" s="191"/>
      <x:c r="AF8" s="191"/>
      <x:c r="AG8" s="191"/>
      <x:c r="AH8" s="191"/>
      <x:c r="AI8" s="191"/>
      <x:c r="AJ8" s="191"/>
      <x:c r="AK8" s="191"/>
    </x:row>
    <x:row r="9">
      <x:c r="A9" s="198" t="str">
        <x:v>Agency_FNMA</x:v>
      </x:c>
      <x:c r="B9" s="198" t="str">
        <x:v>Credit</x:v>
      </x:c>
      <x:c r="C9" s="198" t="n">
        <x:v>6</x:v>
      </x:c>
      <x:c r="D9" s="198" t="str">
        <x:v>5Y</x:v>
      </x:c>
      <x:c r="E9" s="197" t="n">
        <x:v>48052</x:v>
      </x:c>
      <x:c r="F9" s="211" t="n">
        <x:f>(E9-'02_Assumptions'!$B$4)/365</x:f>
        <x:v>5.002739726027397</x:v>
      </x:c>
      <x:c r="G9" s="212" t="n">
        <x:v>0.0495</x:v>
      </x:c>
      <x:c r="H9" s="212" t="n">
        <x:f>EXP(-G9*F9)</x:f>
        <x:v>0.7806443454261172</x:v>
      </x:c>
      <x:c r="I9" s="212" t="n">
        <x:f>-LN(H9/H8)/(F9-F8)</x:f>
        <x:v>0.0510013698630137</x:v>
      </x:c>
      <x:c r="J9" s="213" t="n">
        <x:v>190</x:v>
      </x:c>
      <x:c r="K9" s="212" t="n">
        <x:f>J9/10000</x:f>
        <x:v>0.019</x:v>
      </x:c>
      <x:c r="L9" s="212" t="n">
        <x:f>I9+K9</x:f>
        <x:v>0.0700013698630137</x:v>
      </x:c>
      <x:c r="M9" s="212" t="n">
        <x:f>M8*EXP(-L9*(F9-F8))</x:f>
        <x:v>0.7248570456975987</x:v>
      </x:c>
      <x:c r="N9" s="191" t="n">
        <x:v>6</x:v>
      </x:c>
      <x:c r="O9" s="191" t="str">
        <x:v>User design / illustrative value</x:v>
      </x:c>
      <x:c r="P9" s="214" t="str">
        <x:v>=gxlCurveDiscShift(Agency_FNMA_Step05, "5Y", 190)</x:v>
      </x:c>
      <x:c r="Q9" s="191" t="str">
        <x:v>Agency_FNMA_Step06</x:v>
      </x:c>
      <x:c r="R9" s="191"/>
      <x:c r="S9" s="191"/>
      <x:c r="T9" s="191"/>
      <x:c r="U9" s="191"/>
      <x:c r="V9" s="191"/>
      <x:c r="W9" s="191"/>
      <x:c r="X9" s="191"/>
      <x:c r="Y9" s="191"/>
      <x:c r="Z9" s="191"/>
      <x:c r="AA9" s="191"/>
      <x:c r="AB9" s="191"/>
      <x:c r="AC9" s="191"/>
      <x:c r="AD9" s="191"/>
      <x:c r="AE9" s="191"/>
      <x:c r="AF9" s="191"/>
      <x:c r="AG9" s="191"/>
      <x:c r="AH9" s="191"/>
      <x:c r="AI9" s="191"/>
      <x:c r="AJ9" s="191"/>
      <x:c r="AK9" s="191"/>
    </x:row>
    <x:row r="10">
      <x:c r="A10" s="198" t="str">
        <x:v>Agency_FNMA</x:v>
      </x:c>
      <x:c r="B10" s="198" t="str">
        <x:v>Credit</x:v>
      </x:c>
      <x:c r="C10" s="198" t="n">
        <x:v>7</x:v>
      </x:c>
      <x:c r="D10" s="198" t="str">
        <x:v>10Y</x:v>
      </x:c>
      <x:c r="E10" s="197" t="n">
        <x:v>49879</x:v>
      </x:c>
      <x:c r="F10" s="211" t="n">
        <x:f>(E10-'02_Assumptions'!$B$4)/365</x:f>
        <x:v>10.008219178082191</x:v>
      </x:c>
      <x:c r="G10" s="212" t="n">
        <x:v>0.051</x:v>
      </x:c>
      <x:c r="H10" s="212" t="n">
        <x:f>EXP(-G10*F10)</x:f>
        <x:v>0.6002439169764227</x:v>
      </x:c>
      <x:c r="I10" s="212" t="n">
        <x:f>-LN(H10/H9)/(F10-F9)</x:f>
        <x:v>0.05249917898193758</x:v>
      </x:c>
      <x:c r="J10" s="213" t="n">
        <x:v>210</x:v>
      </x:c>
      <x:c r="K10" s="212" t="n">
        <x:f>J10/10000</x:f>
        <x:v>0.021</x:v>
      </x:c>
      <x:c r="L10" s="212" t="n">
        <x:f>I10+K10</x:f>
        <x:v>0.07349917898193759</x:v>
      </x:c>
      <x:c r="M10" s="212" t="n">
        <x:f>M9*EXP(-L10*(F10-F9))</x:f>
        <x:v>0.5017368740158301</x:v>
      </x:c>
      <x:c r="N10" s="191" t="n">
        <x:v>7</x:v>
      </x:c>
      <x:c r="O10" s="191" t="str">
        <x:v>User design / illustrative value</x:v>
      </x:c>
      <x:c r="P10" s="214" t="str">
        <x:v>=gxlCurveDiscShift(Agency_FNMA_Step06, "10Y", 210)</x:v>
      </x:c>
      <x:c r="Q10" s="191" t="str">
        <x:v>Agency_FNMA_Step07</x:v>
      </x:c>
      <x:c r="R10" s="191"/>
      <x:c r="S10" s="191"/>
      <x:c r="T10" s="191"/>
      <x:c r="U10" s="191"/>
      <x:c r="V10" s="191"/>
      <x:c r="W10" s="191"/>
      <x:c r="X10" s="191"/>
      <x:c r="Y10" s="191"/>
      <x:c r="Z10" s="191"/>
      <x:c r="AA10" s="191"/>
      <x:c r="AB10" s="191"/>
      <x:c r="AC10" s="191"/>
      <x:c r="AD10" s="191"/>
      <x:c r="AE10" s="191"/>
      <x:c r="AF10" s="191"/>
      <x:c r="AG10" s="191"/>
      <x:c r="AH10" s="191"/>
      <x:c r="AI10" s="191"/>
      <x:c r="AJ10" s="191"/>
      <x:c r="AK10" s="191"/>
    </x:row>
    <x:row r="11">
      <x:c r="A11" s="198" t="str">
        <x:v>Agency_FNMA</x:v>
      </x:c>
      <x:c r="B11" s="198" t="str">
        <x:v>Credit</x:v>
      </x:c>
      <x:c r="C11" s="198" t="n">
        <x:v>8</x:v>
      </x:c>
      <x:c r="D11" s="198" t="str">
        <x:v>20Y</x:v>
      </x:c>
      <x:c r="E11" s="197" t="n">
        <x:v>53531</x:v>
      </x:c>
      <x:c r="F11" s="211" t="n">
        <x:f>(E11-'02_Assumptions'!$B$4)/365</x:f>
        <x:v>20.013698630136986</x:v>
      </x:c>
      <x:c r="G11" s="212" t="n">
        <x:v>0.052</x:v>
      </x:c>
      <x:c r="H11" s="212" t="n">
        <x:f>EXP(-G11*F11)</x:f>
        <x:v>0.3532029956732797</x:v>
      </x:c>
      <x:c r="I11" s="212" t="n">
        <x:f>-LN(H11/H10)/(F11-F10)</x:f>
        <x:v>0.05300027382256297</x:v>
      </x:c>
      <x:c r="J11" s="213" t="n">
        <x:v>225</x:v>
      </x:c>
      <x:c r="K11" s="212" t="n">
        <x:f>J11/10000</x:f>
        <x:v>0.0225</x:v>
      </x:c>
      <x:c r="L11" s="212" t="n">
        <x:f>I11+K11</x:f>
        <x:v>0.07550027382256297</x:v>
      </x:c>
      <x:c r="M11" s="212" t="n">
        <x:f>M10*EXP(-L11*(F11-F10))</x:f>
        <x:v>0.23572347185150516</x:v>
      </x:c>
      <x:c r="N11" s="191" t="n">
        <x:v>8</x:v>
      </x:c>
      <x:c r="O11" s="191" t="str">
        <x:v>User design / illustrative value</x:v>
      </x:c>
      <x:c r="P11" s="214" t="str">
        <x:v>=gxlCurveDiscShift(Agency_FNMA_Step07, "20Y", 225)</x:v>
      </x:c>
      <x:c r="Q11" s="191" t="str">
        <x:v>Agency_FNMA_Step08</x:v>
      </x:c>
      <x:c r="R11" s="191"/>
      <x:c r="S11" s="191"/>
      <x:c r="T11" s="191"/>
      <x:c r="U11" s="191"/>
      <x:c r="V11" s="191"/>
      <x:c r="W11" s="191"/>
      <x:c r="X11" s="191"/>
      <x:c r="Y11" s="191"/>
      <x:c r="Z11" s="191"/>
      <x:c r="AA11" s="191"/>
      <x:c r="AB11" s="191"/>
      <x:c r="AC11" s="191"/>
      <x:c r="AD11" s="191"/>
      <x:c r="AE11" s="191"/>
      <x:c r="AF11" s="191"/>
      <x:c r="AG11" s="191"/>
      <x:c r="AH11" s="191"/>
      <x:c r="AI11" s="191"/>
      <x:c r="AJ11" s="191"/>
      <x:c r="AK11" s="191"/>
    </x:row>
    <x:row r="12">
      <x:c r="A12" s="198" t="str">
        <x:v>Agency_FNMA</x:v>
      </x:c>
      <x:c r="B12" s="198" t="str">
        <x:v>Credit</x:v>
      </x:c>
      <x:c r="C12" s="198" t="n">
        <x:v>9</x:v>
      </x:c>
      <x:c r="D12" s="198" t="str">
        <x:v>30Y</x:v>
      </x:c>
      <x:c r="E12" s="197" t="n">
        <x:v>57184</x:v>
      </x:c>
      <x:c r="F12" s="211" t="n">
        <x:f>(E12-'02_Assumptions'!$B$4)/365</x:f>
        <x:v>30.02191780821918</x:v>
      </x:c>
      <x:c r="G12" s="212" t="n">
        <x:v>0.0525</x:v>
      </x:c>
      <x:c r="H12" s="212" t="n">
        <x:f>EXP(-G12*F12)</x:f>
        <x:v>0.2067694892038702</x:v>
      </x:c>
      <x:c r="I12" s="212" t="n">
        <x:f>-LN(H12/H11)/(F12-F11)</x:f>
        <x:v>0.05349986312619766</x:v>
      </x:c>
      <x:c r="J12" s="213" t="n">
        <x:v>235</x:v>
      </x:c>
      <x:c r="K12" s="212" t="n">
        <x:f>J12/10000</x:f>
        <x:v>0.0235</x:v>
      </x:c>
      <x:c r="L12" s="212" t="n">
        <x:f>I12+K12</x:f>
        <x:v>0.07699986312619767</x:v>
      </x:c>
      <x:c r="M12" s="212" t="n">
        <x:f>M11*EXP(-L12*(F12-F11))</x:f>
        <x:v>0.10907414515118193</x:v>
      </x:c>
      <x:c r="N12" s="191" t="n">
        <x:v>9</x:v>
      </x:c>
      <x:c r="O12" s="191" t="str">
        <x:v>User design / illustrative value</x:v>
      </x:c>
      <x:c r="P12" s="214" t="str">
        <x:v>=gxlCurveDiscShift(Agency_FNMA_Step08, "30Y", 235)</x:v>
      </x:c>
      <x:c r="Q12" s="191" t="str">
        <x:v>Agency_FNMA_Step09</x:v>
      </x:c>
      <x:c r="R12" s="191"/>
      <x:c r="S12" s="191"/>
      <x:c r="T12" s="191"/>
      <x:c r="U12" s="191"/>
      <x:c r="V12" s="191"/>
      <x:c r="W12" s="191"/>
      <x:c r="X12" s="191"/>
      <x:c r="Y12" s="191"/>
      <x:c r="Z12" s="191"/>
      <x:c r="AA12" s="191"/>
      <x:c r="AB12" s="191"/>
      <x:c r="AC12" s="191"/>
      <x:c r="AD12" s="191"/>
      <x:c r="AE12" s="191"/>
      <x:c r="AF12" s="191"/>
      <x:c r="AG12" s="191"/>
      <x:c r="AH12" s="191"/>
      <x:c r="AI12" s="191"/>
      <x:c r="AJ12" s="191"/>
      <x:c r="AK12" s="191"/>
    </x:row>
    <x:row r="13">
      <x:c r="A13" s="198" t="str">
        <x:v>Eur_Govt</x:v>
      </x:c>
      <x:c r="B13" s="198" t="str">
        <x:v>Credit</x:v>
      </x:c>
      <x:c r="C13" s="198" t="n">
        <x:v>1</x:v>
      </x:c>
      <x:c r="D13" s="198" t="str">
        <x:v>3M</x:v>
      </x:c>
      <x:c r="E13" s="197" t="n">
        <x:v>46318</x:v>
      </x:c>
      <x:c r="F13" s="211" t="n">
        <x:f>(E13-'02_Assumptions'!$B$4)/365</x:f>
        <x:v>0.25205479452054796</x:v>
      </x:c>
      <x:c r="G13" s="212" t="n">
        <x:v>0.028</x:v>
      </x:c>
      <x:c r="H13" s="212" t="n">
        <x:f>EXP(-G13*F13)</x:f>
        <x:v>0.9929673116635981</x:v>
      </x:c>
      <x:c r="I13" s="212" t="n">
        <x:f>-LN(H13)/F13</x:f>
        <x:v>0.027999999999999973</x:v>
      </x:c>
      <x:c r="J13" s="213" t="n">
        <x:v>20</x:v>
      </x:c>
      <x:c r="K13" s="212" t="n">
        <x:f>J13/10000</x:f>
        <x:v>0.002</x:v>
      </x:c>
      <x:c r="L13" s="212" t="n">
        <x:f>I13+K13</x:f>
        <x:v>0.02999999999999997</x:v>
      </x:c>
      <x:c r="M13" s="212" t="n">
        <x:f>EXP(-L13*F13)</x:f>
        <x:v>0.9924668734686284</x:v>
      </x:c>
      <x:c r="N13" s="191" t="n">
        <x:v>1</x:v>
      </x:c>
      <x:c r="O13" s="191" t="str">
        <x:v>User design / illustrative value</x:v>
      </x:c>
      <x:c r="P13" s="214" t="str">
        <x:v>=gxlCurveDiscShift(Base_Eur_Govt, "3M", 20)</x:v>
      </x:c>
      <x:c r="Q13" s="191" t="str">
        <x:v>Eur_Govt_Step01</x:v>
      </x:c>
      <x:c r="R13" s="191"/>
      <x:c r="S13" s="191"/>
      <x:c r="T13" s="191"/>
      <x:c r="U13" s="191"/>
      <x:c r="V13" s="191"/>
      <x:c r="W13" s="191"/>
      <x:c r="X13" s="191"/>
      <x:c r="Y13" s="191"/>
      <x:c r="Z13" s="191"/>
      <x:c r="AA13" s="191"/>
      <x:c r="AB13" s="191"/>
      <x:c r="AC13" s="191"/>
      <x:c r="AD13" s="191"/>
      <x:c r="AE13" s="191"/>
      <x:c r="AF13" s="191"/>
      <x:c r="AG13" s="191"/>
      <x:c r="AH13" s="191"/>
      <x:c r="AI13" s="191"/>
      <x:c r="AJ13" s="191"/>
      <x:c r="AK13" s="191"/>
    </x:row>
    <x:row r="14">
      <x:c r="A14" s="198" t="str">
        <x:v>Eur_Govt</x:v>
      </x:c>
      <x:c r="B14" s="198" t="str">
        <x:v>Credit</x:v>
      </x:c>
      <x:c r="C14" s="198" t="n">
        <x:v>2</x:v>
      </x:c>
      <x:c r="D14" s="198" t="str">
        <x:v>6M</x:v>
      </x:c>
      <x:c r="E14" s="197" t="n">
        <x:v>46410</x:v>
      </x:c>
      <x:c r="F14" s="211" t="n">
        <x:f>(E14-'02_Assumptions'!$B$4)/365</x:f>
        <x:v>0.5041095890410959</x:v>
      </x:c>
      <x:c r="G14" s="212" t="n">
        <x:v>0.0285</x:v>
      </x:c>
      <x:c r="H14" s="212" t="n">
        <x:f>EXP(-G14*F14)</x:f>
        <x:v>0.9857355913351873</x:v>
      </x:c>
      <x:c r="I14" s="212" t="n">
        <x:f>-LN(H14/H13)/(F14-F13)</x:f>
        <x:v>0.028999999999999977</x:v>
      </x:c>
      <x:c r="J14" s="213" t="n">
        <x:v>30</x:v>
      </x:c>
      <x:c r="K14" s="212" t="n">
        <x:f>J14/10000</x:f>
        <x:v>0.003</x:v>
      </x:c>
      <x:c r="L14" s="212" t="n">
        <x:f>I14+K14</x:f>
        <x:v>0.03199999999999998</x:v>
      </x:c>
      <x:c r="M14" s="212" t="n">
        <x:f>M13*EXP(-L14*(F14-F13))</x:f>
        <x:v>0.984494076914039</x:v>
      </x:c>
      <x:c r="N14" s="191" t="n">
        <x:v>2</x:v>
      </x:c>
      <x:c r="O14" s="191" t="str">
        <x:v>User design / illustrative value</x:v>
      </x:c>
      <x:c r="P14" s="214" t="str">
        <x:v>=gxlCurveDiscShift(Eur_Govt_Step01, "6M", 30)</x:v>
      </x:c>
      <x:c r="Q14" s="191" t="str">
        <x:v>Eur_Govt_Step02</x:v>
      </x:c>
      <x:c r="R14" s="191"/>
      <x:c r="S14" s="191"/>
      <x:c r="T14" s="191"/>
      <x:c r="U14" s="191"/>
      <x:c r="V14" s="191"/>
      <x:c r="W14" s="191"/>
      <x:c r="X14" s="191"/>
      <x:c r="Y14" s="191"/>
      <x:c r="Z14" s="191"/>
      <x:c r="AA14" s="191"/>
      <x:c r="AB14" s="191"/>
      <x:c r="AC14" s="191"/>
      <x:c r="AD14" s="191"/>
      <x:c r="AE14" s="191"/>
      <x:c r="AF14" s="191"/>
      <x:c r="AG14" s="191"/>
      <x:c r="AH14" s="191"/>
      <x:c r="AI14" s="191"/>
      <x:c r="AJ14" s="191"/>
      <x:c r="AK14" s="191"/>
    </x:row>
    <x:row r="15">
      <x:c r="A15" s="198" t="str">
        <x:v>Eur_Govt</x:v>
      </x:c>
      <x:c r="B15" s="198" t="str">
        <x:v>Credit</x:v>
      </x:c>
      <x:c r="C15" s="198" t="n">
        <x:v>3</x:v>
      </x:c>
      <x:c r="D15" s="198" t="str">
        <x:v>1Y</x:v>
      </x:c>
      <x:c r="E15" s="197" t="n">
        <x:v>46591</x:v>
      </x:c>
      <x:c r="F15" s="211" t="n">
        <x:f>(E15-'02_Assumptions'!$B$4)/365</x:f>
        <x:v>1</x:v>
      </x:c>
      <x:c r="G15" s="212" t="n">
        <x:v>0.029</x:v>
      </x:c>
      <x:c r="H15" s="212" t="n">
        <x:f>EXP(-G15*F15)</x:f>
        <x:v>0.9714164644666048</x:v>
      </x:c>
      <x:c r="I15" s="212" t="n">
        <x:f>-LN(H15/H14)/(F15-F14)</x:f>
        <x:v>0.02950828729281766</x:v>
      </x:c>
      <x:c r="J15" s="213" t="n">
        <x:v>45</x:v>
      </x:c>
      <x:c r="K15" s="212" t="n">
        <x:f>J15/10000</x:f>
        <x:v>0.0045</x:v>
      </x:c>
      <x:c r="L15" s="212" t="n">
        <x:f>I15+K15</x:f>
        <x:v>0.03400828729281766</x:v>
      </x:c>
      <x:c r="M15" s="212" t="n">
        <x:f>M14*EXP(-L15*(F15-F14))</x:f>
        <x:v>0.9680304062129063</x:v>
      </x:c>
      <x:c r="N15" s="191" t="n">
        <x:v>3</x:v>
      </x:c>
      <x:c r="O15" s="191" t="str">
        <x:v>User design / illustrative value</x:v>
      </x:c>
      <x:c r="P15" s="214" t="str">
        <x:v>=gxlCurveDiscShift(Eur_Govt_Step02, "1Y", 45)</x:v>
      </x:c>
      <x:c r="Q15" s="191" t="str">
        <x:v>Eur_Govt_Step03</x:v>
      </x:c>
      <x:c r="R15" s="191"/>
      <x:c r="S15" s="191"/>
      <x:c r="T15" s="191"/>
      <x:c r="U15" s="191"/>
      <x:c r="V15" s="191"/>
      <x:c r="W15" s="191"/>
      <x:c r="X15" s="191"/>
      <x:c r="Y15" s="191"/>
      <x:c r="Z15" s="191"/>
      <x:c r="AA15" s="191"/>
      <x:c r="AB15" s="191"/>
      <x:c r="AC15" s="191"/>
      <x:c r="AD15" s="191"/>
      <x:c r="AE15" s="191"/>
      <x:c r="AF15" s="191"/>
      <x:c r="AG15" s="191"/>
      <x:c r="AH15" s="191"/>
      <x:c r="AI15" s="191"/>
      <x:c r="AJ15" s="191"/>
      <x:c r="AK15" s="191"/>
    </x:row>
    <x:row r="16">
      <x:c r="A16" s="198" t="str">
        <x:v>Eur_Govt</x:v>
      </x:c>
      <x:c r="B16" s="198" t="str">
        <x:v>Credit</x:v>
      </x:c>
      <x:c r="C16" s="198" t="n">
        <x:v>4</x:v>
      </x:c>
      <x:c r="D16" s="198" t="str">
        <x:v>2Y</x:v>
      </x:c>
      <x:c r="E16" s="197" t="n">
        <x:v>46957</x:v>
      </x:c>
      <x:c r="F16" s="211" t="n">
        <x:f>(E16-'02_Assumptions'!$B$4)/365</x:f>
        <x:v>2.0027397260273974</x:v>
      </x:c>
      <x:c r="G16" s="212" t="n">
        <x:v>0.03</x:v>
      </x:c>
      <x:c r="H16" s="212" t="n">
        <x:f>EXP(-G16*F16)</x:f>
        <x:v>0.9416871314610712</x:v>
      </x:c>
      <x:c r="I16" s="212" t="n">
        <x:f>-LN(H16/H15)/(F16-F15)</x:f>
        <x:v>0.03099726775956284</x:v>
      </x:c>
      <x:c r="J16" s="213" t="n">
        <x:v>60</x:v>
      </x:c>
      <x:c r="K16" s="212" t="n">
        <x:f>J16/10000</x:f>
        <x:v>0.006</x:v>
      </x:c>
      <x:c r="L16" s="212" t="n">
        <x:f>I16+K16</x:f>
        <x:v>0.036997267759562844</x:v>
      </x:c>
      <x:c r="M16" s="212" t="n">
        <x:f>M15*EXP(-L16*(F16-F15))</x:f>
        <x:v>0.9327757964179239</x:v>
      </x:c>
      <x:c r="N16" s="191" t="n">
        <x:v>4</x:v>
      </x:c>
      <x:c r="O16" s="191" t="str">
        <x:v>User design / illustrative value</x:v>
      </x:c>
      <x:c r="P16" s="214" t="str">
        <x:v>=gxlCurveDiscShift(Eur_Govt_Step03, "2Y", 60)</x:v>
      </x:c>
      <x:c r="Q16" s="191" t="str">
        <x:v>Eur_Govt_Step04</x:v>
      </x:c>
      <x:c r="R16" s="191"/>
      <x:c r="S16" s="191"/>
      <x:c r="T16" s="191"/>
      <x:c r="U16" s="191"/>
      <x:c r="V16" s="191"/>
      <x:c r="W16" s="191"/>
      <x:c r="X16" s="191"/>
      <x:c r="Y16" s="191"/>
      <x:c r="Z16" s="191"/>
      <x:c r="AA16" s="191"/>
      <x:c r="AB16" s="191"/>
      <x:c r="AC16" s="191"/>
      <x:c r="AD16" s="191"/>
      <x:c r="AE16" s="191"/>
      <x:c r="AF16" s="191"/>
      <x:c r="AG16" s="191"/>
      <x:c r="AH16" s="191"/>
      <x:c r="AI16" s="191"/>
      <x:c r="AJ16" s="191"/>
      <x:c r="AK16" s="191"/>
    </x:row>
    <x:row r="17">
      <x:c r="A17" s="198" t="str">
        <x:v>Eur_Govt</x:v>
      </x:c>
      <x:c r="B17" s="198" t="str">
        <x:v>Credit</x:v>
      </x:c>
      <x:c r="C17" s="198" t="n">
        <x:v>5</x:v>
      </x:c>
      <x:c r="D17" s="198" t="str">
        <x:v>3Y</x:v>
      </x:c>
      <x:c r="E17" s="197" t="n">
        <x:v>47322</x:v>
      </x:c>
      <x:c r="F17" s="211" t="n">
        <x:f>(E17-'02_Assumptions'!$B$4)/365</x:f>
        <x:v>3.0027397260273974</x:v>
      </x:c>
      <x:c r="G17" s="212" t="n">
        <x:v>0.031</x:v>
      </x:c>
      <x:c r="H17" s="212" t="n">
        <x:f>EXP(-G17*F17)</x:f>
        <x:v>0.9111161145454199</x:v>
      </x:c>
      <x:c r="I17" s="212" t="n">
        <x:f>-LN(H17/H16)/(F17-F16)</x:f>
        <x:v>0.033002739726027346</x:v>
      </x:c>
      <x:c r="J17" s="213" t="n">
        <x:v>70</x:v>
      </x:c>
      <x:c r="K17" s="212" t="n">
        <x:f>J17/10000</x:f>
        <x:v>0.007</x:v>
      </x:c>
      <x:c r="L17" s="212" t="n">
        <x:f>I17+K17</x:f>
        <x:v>0.040002739726027345</x:v>
      </x:c>
      <x:c r="M17" s="212" t="n">
        <x:f>M16*EXP(-L17*(F17-F16))</x:f>
        <x:v>0.8961986789530287</x:v>
      </x:c>
      <x:c r="N17" s="191" t="n">
        <x:v>5</x:v>
      </x:c>
      <x:c r="O17" s="191" t="str">
        <x:v>User design / illustrative value</x:v>
      </x:c>
      <x:c r="P17" s="214" t="str">
        <x:v>=gxlCurveDiscShift(Eur_Govt_Step04, "3Y", 70)</x:v>
      </x:c>
      <x:c r="Q17" s="191" t="str">
        <x:v>Eur_Govt_Step05</x:v>
      </x:c>
      <x:c r="R17" s="191"/>
      <x:c r="S17" s="191"/>
      <x:c r="T17" s="191"/>
      <x:c r="U17" s="191"/>
      <x:c r="V17" s="191"/>
      <x:c r="W17" s="191"/>
      <x:c r="X17" s="191"/>
      <x:c r="Y17" s="191"/>
      <x:c r="Z17" s="191"/>
      <x:c r="AA17" s="191"/>
      <x:c r="AB17" s="191"/>
      <x:c r="AC17" s="191"/>
      <x:c r="AD17" s="191"/>
      <x:c r="AE17" s="191"/>
      <x:c r="AF17" s="191"/>
      <x:c r="AG17" s="191"/>
      <x:c r="AH17" s="191"/>
      <x:c r="AI17" s="191"/>
      <x:c r="AJ17" s="191"/>
      <x:c r="AK17" s="191"/>
    </x:row>
    <x:row r="18">
      <x:c r="A18" s="198" t="str">
        <x:v>Eur_Govt</x:v>
      </x:c>
      <x:c r="B18" s="198" t="str">
        <x:v>Credit</x:v>
      </x:c>
      <x:c r="C18" s="198" t="n">
        <x:v>6</x:v>
      </x:c>
      <x:c r="D18" s="198" t="str">
        <x:v>5Y</x:v>
      </x:c>
      <x:c r="E18" s="197" t="n">
        <x:v>48052</x:v>
      </x:c>
      <x:c r="F18" s="211" t="n">
        <x:f>(E18-'02_Assumptions'!$B$4)/365</x:f>
        <x:v>5.002739726027397</x:v>
      </x:c>
      <x:c r="G18" s="212" t="n">
        <x:v>0.032</x:v>
      </x:c>
      <x:c r="H18" s="212" t="n">
        <x:f>EXP(-G18*F18)</x:f>
        <x:v>0.8520690837444417</x:v>
      </x:c>
      <x:c r="I18" s="212" t="n">
        <x:f>-LN(H18/H17)/(F18-F17)</x:f>
        <x:v>0.03350136986301374</x:v>
      </x:c>
      <x:c r="J18" s="213" t="n">
        <x:v>85</x:v>
      </x:c>
      <x:c r="K18" s="212" t="n">
        <x:f>J18/10000</x:f>
        <x:v>0.0085</x:v>
      </x:c>
      <x:c r="L18" s="212" t="n">
        <x:f>I18+K18</x:f>
        <x:v>0.04200136986301374</x:v>
      </x:c>
      <x:c r="M18" s="212" t="n">
        <x:f>M17*EXP(-L18*(F18-F17))</x:f>
        <x:v>0.8239908195883873</x:v>
      </x:c>
      <x:c r="N18" s="191" t="n">
        <x:v>6</x:v>
      </x:c>
      <x:c r="O18" s="191" t="str">
        <x:v>User design / illustrative value</x:v>
      </x:c>
      <x:c r="P18" s="214" t="str">
        <x:v>=gxlCurveDiscShift(Eur_Govt_Step05, "5Y", 85)</x:v>
      </x:c>
      <x:c r="Q18" s="191" t="str">
        <x:v>Eur_Govt_Step06</x:v>
      </x:c>
      <x:c r="R18" s="191"/>
      <x:c r="S18" s="191"/>
      <x:c r="T18" s="191"/>
      <x:c r="U18" s="191"/>
      <x:c r="V18" s="191"/>
      <x:c r="W18" s="191"/>
      <x:c r="X18" s="191"/>
      <x:c r="Y18" s="191"/>
      <x:c r="Z18" s="191"/>
      <x:c r="AA18" s="191"/>
      <x:c r="AB18" s="191"/>
      <x:c r="AC18" s="191"/>
      <x:c r="AD18" s="191"/>
      <x:c r="AE18" s="191"/>
      <x:c r="AF18" s="191"/>
      <x:c r="AG18" s="191"/>
      <x:c r="AH18" s="191"/>
      <x:c r="AI18" s="191"/>
      <x:c r="AJ18" s="191"/>
      <x:c r="AK18" s="191"/>
    </x:row>
    <x:row r="19">
      <x:c r="A19" s="198" t="str">
        <x:v>Eur_Govt</x:v>
      </x:c>
      <x:c r="B19" s="198" t="str">
        <x:v>Credit</x:v>
      </x:c>
      <x:c r="C19" s="198" t="n">
        <x:v>7</x:v>
      </x:c>
      <x:c r="D19" s="198" t="str">
        <x:v>10Y</x:v>
      </x:c>
      <x:c r="E19" s="197" t="n">
        <x:v>49879</x:v>
      </x:c>
      <x:c r="F19" s="211" t="n">
        <x:f>(E19-'02_Assumptions'!$B$4)/365</x:f>
        <x:v>10.008219178082191</x:v>
      </x:c>
      <x:c r="G19" s="212" t="n">
        <x:v>0.0335</x:v>
      </x:c>
      <x:c r="H19" s="212" t="n">
        <x:f>EXP(-G19*F19)</x:f>
        <x:v>0.7151411505136602</x:v>
      </x:c>
      <x:c r="I19" s="212" t="n">
        <x:f>-LN(H19/H18)/(F19-F18)</x:f>
        <x:v>0.03499917898193759</x:v>
      </x:c>
      <x:c r="J19" s="213" t="n">
        <x:v>100</x:v>
      </x:c>
      <x:c r="K19" s="212" t="n">
        <x:f>J19/10000</x:f>
        <x:v>0.01</x:v>
      </x:c>
      <x:c r="L19" s="212" t="n">
        <x:f>I19+K19</x:f>
        <x:v>0.044999178981937595</x:v>
      </x:c>
      <x:c r="M19" s="212" t="n">
        <x:f>M18*EXP(-L19*(F19-F18))</x:f>
        <x:v>0.6578105176895916</x:v>
      </x:c>
      <x:c r="N19" s="191" t="n">
        <x:v>7</x:v>
      </x:c>
      <x:c r="O19" s="191" t="str">
        <x:v>User design / illustrative value</x:v>
      </x:c>
      <x:c r="P19" s="214" t="str">
        <x:v>=gxlCurveDiscShift(Eur_Govt_Step06, "10Y", 100)</x:v>
      </x:c>
      <x:c r="Q19" s="191" t="str">
        <x:v>Eur_Govt_Step07</x:v>
      </x:c>
      <x:c r="R19" s="191"/>
      <x:c r="S19" s="191"/>
      <x:c r="T19" s="191"/>
      <x:c r="U19" s="191"/>
      <x:c r="V19" s="191"/>
      <x:c r="W19" s="191"/>
      <x:c r="X19" s="191"/>
      <x:c r="Y19" s="191"/>
      <x:c r="Z19" s="191"/>
      <x:c r="AA19" s="191"/>
      <x:c r="AB19" s="191"/>
      <x:c r="AC19" s="191"/>
      <x:c r="AD19" s="191"/>
      <x:c r="AE19" s="191"/>
      <x:c r="AF19" s="191"/>
      <x:c r="AG19" s="191"/>
      <x:c r="AH19" s="191"/>
      <x:c r="AI19" s="191"/>
      <x:c r="AJ19" s="191"/>
      <x:c r="AK19" s="191"/>
    </x:row>
    <x:row r="20">
      <x:c r="A20" s="198" t="str">
        <x:v>Eur_Govt</x:v>
      </x:c>
      <x:c r="B20" s="198" t="str">
        <x:v>Credit</x:v>
      </x:c>
      <x:c r="C20" s="198" t="n">
        <x:v>8</x:v>
      </x:c>
      <x:c r="D20" s="198" t="str">
        <x:v>20Y</x:v>
      </x:c>
      <x:c r="E20" s="197" t="n">
        <x:v>53531</x:v>
      </x:c>
      <x:c r="F20" s="211" t="n">
        <x:f>(E20-'02_Assumptions'!$B$4)/365</x:f>
        <x:v>20.013698630136986</x:v>
      </x:c>
      <x:c r="G20" s="212" t="n">
        <x:v>0.0345</x:v>
      </x:c>
      <x:c r="H20" s="212" t="n">
        <x:f>EXP(-G20*F20)</x:f>
        <x:v>0.5013390788471583</x:v>
      </x:c>
      <x:c r="I20" s="212" t="n">
        <x:f>-LN(H20/H19)/(F20-F19)</x:f>
        <x:v>0.03550027382256298</x:v>
      </x:c>
      <x:c r="J20" s="213" t="n">
        <x:v>110</x:v>
      </x:c>
      <x:c r="K20" s="212" t="n">
        <x:f>J20/10000</x:f>
        <x:v>0.011</x:v>
      </x:c>
      <x:c r="L20" s="212" t="n">
        <x:f>I20+K20</x:f>
        <x:v>0.046500273822562985</x:v>
      </x:c>
      <x:c r="M20" s="212" t="n">
        <x:f>M19*EXP(-L20*(F20-F19))</x:f>
        <x:v>0.41308748085069313</x:v>
      </x:c>
      <x:c r="N20" s="191" t="n">
        <x:v>8</x:v>
      </x:c>
      <x:c r="O20" s="191" t="str">
        <x:v>User design / illustrative value</x:v>
      </x:c>
      <x:c r="P20" s="214" t="str">
        <x:v>=gxlCurveDiscShift(Eur_Govt_Step07, "20Y", 110)</x:v>
      </x:c>
      <x:c r="Q20" s="191" t="str">
        <x:v>Eur_Govt_Step08</x:v>
      </x:c>
      <x:c r="R20" s="191"/>
      <x:c r="S20" s="191"/>
      <x:c r="T20" s="191"/>
      <x:c r="U20" s="191"/>
      <x:c r="V20" s="191"/>
      <x:c r="W20" s="191"/>
      <x:c r="X20" s="191"/>
      <x:c r="Y20" s="191"/>
      <x:c r="Z20" s="191"/>
      <x:c r="AA20" s="191"/>
      <x:c r="AB20" s="191"/>
      <x:c r="AC20" s="191"/>
      <x:c r="AD20" s="191"/>
      <x:c r="AE20" s="191"/>
      <x:c r="AF20" s="191"/>
      <x:c r="AG20" s="191"/>
      <x:c r="AH20" s="191"/>
      <x:c r="AI20" s="191"/>
      <x:c r="AJ20" s="191"/>
      <x:c r="AK20" s="191"/>
    </x:row>
    <x:row r="21">
      <x:c r="A21" s="198" t="str">
        <x:v>Eur_Govt</x:v>
      </x:c>
      <x:c r="B21" s="198" t="str">
        <x:v>Credit</x:v>
      </x:c>
      <x:c r="C21" s="198" t="n">
        <x:v>9</x:v>
      </x:c>
      <x:c r="D21" s="198" t="str">
        <x:v>30Y</x:v>
      </x:c>
      <x:c r="E21" s="197" t="n">
        <x:v>57184</x:v>
      </x:c>
      <x:c r="F21" s="211" t="n">
        <x:f>(E21-'02_Assumptions'!$B$4)/365</x:f>
        <x:v>30.02191780821918</x:v>
      </x:c>
      <x:c r="G21" s="212" t="n">
        <x:v>0.035</x:v>
      </x:c>
      <x:c r="H21" s="212" t="n">
        <x:f>EXP(-G21*F21)</x:f>
        <x:v>0.34966940665361046</x:v>
      </x:c>
      <x:c r="I21" s="212" t="n">
        <x:f>-LN(H21/H20)/(F21-F20)</x:f>
        <x:v>0.03599986312619766</x:v>
      </x:c>
      <x:c r="J21" s="213" t="n">
        <x:v>115</x:v>
      </x:c>
      <x:c r="K21" s="212" t="n">
        <x:f>J21/10000</x:f>
        <x:v>0.0115</x:v>
      </x:c>
      <x:c r="L21" s="212" t="n">
        <x:f>I21+K21</x:f>
        <x:v>0.04749986312619767</x:v>
      </x:c>
      <x:c r="M21" s="212" t="n">
        <x:f>M20*EXP(-L21*(F21-F20))</x:f>
        <x:v>0.2567930088845195</x:v>
      </x:c>
      <x:c r="N21" s="191" t="n">
        <x:v>9</x:v>
      </x:c>
      <x:c r="O21" s="191" t="str">
        <x:v>User design / illustrative value</x:v>
      </x:c>
      <x:c r="P21" s="214" t="str">
        <x:v>=gxlCurveDiscShift(Eur_Govt_Step08, "30Y", 115)</x:v>
      </x:c>
      <x:c r="Q21" s="191" t="str">
        <x:v>Eur_Govt_Step09</x:v>
      </x:c>
      <x:c r="R21" s="191"/>
      <x:c r="S21" s="191"/>
      <x:c r="T21" s="191"/>
      <x:c r="U21" s="191"/>
      <x:c r="V21" s="191"/>
      <x:c r="W21" s="191"/>
      <x:c r="X21" s="191"/>
      <x:c r="Y21" s="191"/>
      <x:c r="Z21" s="191"/>
      <x:c r="AA21" s="191"/>
      <x:c r="AB21" s="191"/>
      <x:c r="AC21" s="191"/>
      <x:c r="AD21" s="191"/>
      <x:c r="AE21" s="191"/>
      <x:c r="AF21" s="191"/>
      <x:c r="AG21" s="191"/>
      <x:c r="AH21" s="191"/>
      <x:c r="AI21" s="191"/>
      <x:c r="AJ21" s="191"/>
      <x:c r="AK21" s="191"/>
    </x:row>
    <x:row r="22">
      <x:c r="A22" s="198" t="str">
        <x:v>SOFR</x:v>
      </x:c>
      <x:c r="B22" s="198" t="str">
        <x:v>IR_RATE</x:v>
      </x:c>
      <x:c r="C22" s="198" t="n">
        <x:v>1</x:v>
      </x:c>
      <x:c r="D22" s="198" t="str">
        <x:v>3M</x:v>
      </x:c>
      <x:c r="E22" s="197" t="n">
        <x:v>46318</x:v>
      </x:c>
      <x:c r="F22" s="211" t="n">
        <x:f>(E22-'02_Assumptions'!$B$4)/365</x:f>
        <x:v>0.25205479452054796</x:v>
      </x:c>
      <x:c r="G22" s="212" t="n">
        <x:v>0.041</x:v>
      </x:c>
      <x:c r="H22" s="212" t="n">
        <x:f>EXP(-G22*F22)</x:f>
        <x:v>0.9897189682812242</x:v>
      </x:c>
      <x:c r="I22" s="212" t="n">
        <x:f>-LN(H22)/F22</x:f>
        <x:v>0.040999999999999946</x:v>
      </x:c>
      <x:c r="J22" s="213" t="n">
        <x:v>-120</x:v>
      </x:c>
      <x:c r="K22" s="212" t="n">
        <x:f>J22/10000</x:f>
        <x:v>-0.012</x:v>
      </x:c>
      <x:c r="L22" s="212" t="n">
        <x:f>I22+K22</x:f>
        <x:v>0.028999999999999946</x:v>
      </x:c>
      <x:c r="M22" s="212" t="n">
        <x:f>EXP(-L22*F22)</x:f>
        <x:v>0.9927170610316518</x:v>
      </x:c>
      <x:c r="N22" s="191" t="n">
        <x:v>1</x:v>
      </x:c>
      <x:c r="O22" s="191" t="str">
        <x:v>User design / illustrative value</x:v>
      </x:c>
      <x:c r="P22" s="214" t="str">
        <x:v>=gxlCurveDiscShift(Base_SOFR, "3M", -120)</x:v>
      </x:c>
      <x:c r="Q22" s="191" t="str">
        <x:v>SOFR_Step01</x:v>
      </x:c>
      <x:c r="R22" s="191"/>
      <x:c r="S22" s="191"/>
      <x:c r="T22" s="191"/>
      <x:c r="U22" s="191"/>
      <x:c r="V22" s="191"/>
      <x:c r="W22" s="191"/>
      <x:c r="X22" s="191"/>
      <x:c r="Y22" s="191"/>
      <x:c r="Z22" s="191"/>
      <x:c r="AA22" s="191"/>
      <x:c r="AB22" s="191"/>
      <x:c r="AC22" s="191"/>
      <x:c r="AD22" s="191"/>
      <x:c r="AE22" s="191"/>
      <x:c r="AF22" s="191"/>
      <x:c r="AG22" s="191"/>
      <x:c r="AH22" s="191"/>
      <x:c r="AI22" s="191"/>
      <x:c r="AJ22" s="191"/>
      <x:c r="AK22" s="191"/>
    </x:row>
    <x:row r="23">
      <x:c r="A23" s="198" t="str">
        <x:v>SOFR</x:v>
      </x:c>
      <x:c r="B23" s="198" t="str">
        <x:v>IR_RATE</x:v>
      </x:c>
      <x:c r="C23" s="198" t="n">
        <x:v>2</x:v>
      </x:c>
      <x:c r="D23" s="198" t="str">
        <x:v>6M</x:v>
      </x:c>
      <x:c r="E23" s="197" t="n">
        <x:v>46410</x:v>
      </x:c>
      <x:c r="F23" s="211" t="n">
        <x:f>(E23-'02_Assumptions'!$B$4)/365</x:f>
        <x:v>0.5041095890410959</x:v>
      </x:c>
      <x:c r="G23" s="212" t="n">
        <x:v>0.0405</x:v>
      </x:c>
      <x:c r="H23" s="212" t="n">
        <x:f>EXP(-G23*F23)</x:f>
        <x:v>0.9797905659642022</x:v>
      </x:c>
      <x:c r="I23" s="212" t="n">
        <x:f>-LN(H23/H22)/(F23-F22)</x:f>
        <x:v>0.04</x:v>
      </x:c>
      <x:c r="J23" s="213" t="n">
        <x:v>-135</x:v>
      </x:c>
      <x:c r="K23" s="212" t="n">
        <x:f>J23/10000</x:f>
        <x:v>-0.0135</x:v>
      </x:c>
      <x:c r="L23" s="212" t="n">
        <x:f>I23+K23</x:f>
        <x:v>0.026500000000000003</x:v>
      </x:c>
      <x:c r="M23" s="212" t="n">
        <x:f>M22*EXP(-L23*(F23-F22))</x:f>
        <x:v>0.9861083508705064</x:v>
      </x:c>
      <x:c r="N23" s="191" t="n">
        <x:v>2</x:v>
      </x:c>
      <x:c r="O23" s="191" t="str">
        <x:v>User design / illustrative value</x:v>
      </x:c>
      <x:c r="P23" s="214" t="str">
        <x:v>=gxlCurveDiscShift(SOFR_Step01, "6M", -135)</x:v>
      </x:c>
      <x:c r="Q23" s="191" t="str">
        <x:v>SOFR_Step02</x:v>
      </x:c>
      <x:c r="R23" s="191"/>
      <x:c r="S23" s="191"/>
      <x:c r="T23" s="191"/>
      <x:c r="U23" s="191"/>
      <x:c r="V23" s="191"/>
      <x:c r="W23" s="191"/>
      <x:c r="X23" s="191"/>
      <x:c r="Y23" s="191"/>
      <x:c r="Z23" s="191"/>
      <x:c r="AA23" s="191"/>
      <x:c r="AB23" s="191"/>
      <x:c r="AC23" s="191"/>
      <x:c r="AD23" s="191"/>
      <x:c r="AE23" s="191"/>
      <x:c r="AF23" s="191"/>
      <x:c r="AG23" s="191"/>
      <x:c r="AH23" s="191"/>
      <x:c r="AI23" s="191"/>
      <x:c r="AJ23" s="191"/>
      <x:c r="AK23" s="191"/>
    </x:row>
    <x:row r="24">
      <x:c r="A24" s="198" t="str">
        <x:v>SOFR</x:v>
      </x:c>
      <x:c r="B24" s="198" t="str">
        <x:v>IR_RATE</x:v>
      </x:c>
      <x:c r="C24" s="198" t="n">
        <x:v>3</x:v>
      </x:c>
      <x:c r="D24" s="198" t="str">
        <x:v>1Y</x:v>
      </x:c>
      <x:c r="E24" s="197" t="n">
        <x:v>46591</x:v>
      </x:c>
      <x:c r="F24" s="211" t="n">
        <x:f>(E24-'02_Assumptions'!$B$4)/365</x:f>
        <x:v>1</x:v>
      </x:c>
      <x:c r="G24" s="212" t="n">
        <x:v>0.0398</x:v>
      </x:c>
      <x:c r="H24" s="212" t="n">
        <x:f>EXP(-G24*F24)</x:f>
        <x:v>0.9609816162572236</x:v>
      </x:c>
      <x:c r="I24" s="212" t="n">
        <x:f>-LN(H24/H23)/(F24-F23)</x:f>
        <x:v>0.039088397790055227</x:v>
      </x:c>
      <x:c r="J24" s="213" t="n">
        <x:v>-150</x:v>
      </x:c>
      <x:c r="K24" s="212" t="n">
        <x:f>J24/10000</x:f>
        <x:v>-0.015</x:v>
      </x:c>
      <x:c r="L24" s="212" t="n">
        <x:f>I24+K24</x:f>
        <x:v>0.024088397790055227</x:v>
      </x:c>
      <x:c r="M24" s="212" t="n">
        <x:f>M23*EXP(-L24*(F24-F23))</x:f>
        <x:v>0.9743991575839765</x:v>
      </x:c>
      <x:c r="N24" s="191" t="n">
        <x:v>3</x:v>
      </x:c>
      <x:c r="O24" s="191" t="str">
        <x:v>User design / illustrative value</x:v>
      </x:c>
      <x:c r="P24" s="214" t="str">
        <x:v>=gxlCurveDiscShift(SOFR_Step02, "1Y", -150)</x:v>
      </x:c>
      <x:c r="Q24" s="191" t="str">
        <x:v>SOFR_Step03</x:v>
      </x:c>
      <x:c r="R24" s="191"/>
      <x:c r="S24" s="191"/>
      <x:c r="T24" s="191"/>
      <x:c r="U24" s="191"/>
      <x:c r="V24" s="191"/>
      <x:c r="W24" s="191"/>
      <x:c r="X24" s="191"/>
      <x:c r="Y24" s="191"/>
      <x:c r="Z24" s="191"/>
      <x:c r="AA24" s="191"/>
      <x:c r="AB24" s="191"/>
      <x:c r="AC24" s="191"/>
      <x:c r="AD24" s="191"/>
      <x:c r="AE24" s="191"/>
      <x:c r="AF24" s="191"/>
      <x:c r="AG24" s="191"/>
      <x:c r="AH24" s="191"/>
      <x:c r="AI24" s="191"/>
      <x:c r="AJ24" s="191"/>
      <x:c r="AK24" s="191"/>
    </x:row>
    <x:row r="25">
      <x:c r="A25" s="198" t="str">
        <x:v>SOFR</x:v>
      </x:c>
      <x:c r="B25" s="198" t="str">
        <x:v>IR_RATE</x:v>
      </x:c>
      <x:c r="C25" s="198" t="n">
        <x:v>4</x:v>
      </x:c>
      <x:c r="D25" s="198" t="str">
        <x:v>2Y</x:v>
      </x:c>
      <x:c r="E25" s="197" t="n">
        <x:v>46957</x:v>
      </x:c>
      <x:c r="F25" s="211" t="n">
        <x:f>(E25-'02_Assumptions'!$B$4)/365</x:f>
        <x:v>2.0027397260273974</x:v>
      </x:c>
      <x:c r="G25" s="212" t="n">
        <x:v>0.0385</x:v>
      </x:c>
      <x:c r="H25" s="212" t="n">
        <x:f>EXP(-G25*F25)</x:f>
        <x:v>0.9257921964025786</x:v>
      </x:c>
      <x:c r="I25" s="212" t="n">
        <x:f>-LN(H25/H24)/(F25-F24)</x:f>
        <x:v>0.03720355191256831</x:v>
      </x:c>
      <x:c r="J25" s="213" t="n">
        <x:v>-165</x:v>
      </x:c>
      <x:c r="K25" s="212" t="n">
        <x:f>J25/10000</x:f>
        <x:v>-0.0165</x:v>
      </x:c>
      <x:c r="L25" s="212" t="n">
        <x:f>I25+K25</x:f>
        <x:v>0.020703551912568306</x:v>
      </x:c>
      <x:c r="M25" s="212" t="n">
        <x:f>M24*EXP(-L25*(F25-F24))</x:f>
        <x:v>0.9543788962069515</x:v>
      </x:c>
      <x:c r="N25" s="191" t="n">
        <x:v>4</x:v>
      </x:c>
      <x:c r="O25" s="191" t="str">
        <x:v>User design / illustrative value</x:v>
      </x:c>
      <x:c r="P25" s="214" t="str">
        <x:v>=gxlCurveDiscShift(SOFR_Step03, "2Y", -165)</x:v>
      </x:c>
      <x:c r="Q25" s="191" t="str">
        <x:v>SOFR_Step04</x:v>
      </x:c>
      <x:c r="R25" s="191"/>
      <x:c r="S25" s="191"/>
      <x:c r="T25" s="191"/>
      <x:c r="U25" s="191"/>
      <x:c r="V25" s="191"/>
      <x:c r="W25" s="191"/>
      <x:c r="X25" s="191"/>
      <x:c r="Y25" s="191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</x:row>
    <x:row r="26">
      <x:c r="A26" s="198" t="str">
        <x:v>SOFR</x:v>
      </x:c>
      <x:c r="B26" s="198" t="str">
        <x:v>IR_RATE</x:v>
      </x:c>
      <x:c r="C26" s="198" t="n">
        <x:v>5</x:v>
      </x:c>
      <x:c r="D26" s="198" t="str">
        <x:v>3Y</x:v>
      </x:c>
      <x:c r="E26" s="197" t="n">
        <x:v>47322</x:v>
      </x:c>
      <x:c r="F26" s="211" t="n">
        <x:f>(E26-'02_Assumptions'!$B$4)/365</x:f>
        <x:v>3.0027397260273974</x:v>
      </x:c>
      <x:c r="G26" s="212" t="n">
        <x:v>0.0378</x:v>
      </x:c>
      <x:c r="H26" s="212" t="n">
        <x:f>EXP(-G26*F26)</x:f>
        <x:v>0.892701016922449</x:v>
      </x:c>
      <x:c r="I26" s="212" t="n">
        <x:f>-LN(H26/H25)/(F26-F25)</x:f>
        <x:v>0.0363980821917808</x:v>
      </x:c>
      <x:c r="J26" s="213" t="n">
        <x:v>-175</x:v>
      </x:c>
      <x:c r="K26" s="212" t="n">
        <x:f>J26/10000</x:f>
        <x:v>-0.0175</x:v>
      </x:c>
      <x:c r="L26" s="212" t="n">
        <x:f>I26+K26</x:f>
        <x:v>0.018898082191780796</x:v>
      </x:c>
      <x:c r="M26" s="212" t="n">
        <x:f>M25*EXP(-L26*(F26-F25))</x:f>
        <x:v>0.9365123191375428</x:v>
      </x:c>
      <x:c r="N26" s="191" t="n">
        <x:v>5</x:v>
      </x:c>
      <x:c r="O26" s="191" t="str">
        <x:v>User design / illustrative value</x:v>
      </x:c>
      <x:c r="P26" s="214" t="str">
        <x:v>=gxlCurveDiscShift(SOFR_Step04, "3Y", -175)</x:v>
      </x:c>
      <x:c r="Q26" s="191" t="str">
        <x:v>SOFR_Step05</x:v>
      </x:c>
      <x:c r="R26" s="191"/>
      <x:c r="S26" s="191"/>
      <x:c r="T26" s="191"/>
      <x:c r="U26" s="191"/>
      <x:c r="V26" s="191"/>
      <x:c r="W26" s="191"/>
      <x:c r="X26" s="191"/>
      <x:c r="Y26" s="191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</x:row>
    <x:row r="27">
      <x:c r="A27" s="198" t="str">
        <x:v>SOFR</x:v>
      </x:c>
      <x:c r="B27" s="198" t="str">
        <x:v>IR_RATE</x:v>
      </x:c>
      <x:c r="C27" s="198" t="n">
        <x:v>6</x:v>
      </x:c>
      <x:c r="D27" s="198" t="str">
        <x:v>5Y</x:v>
      </x:c>
      <x:c r="E27" s="197" t="n">
        <x:v>48052</x:v>
      </x:c>
      <x:c r="F27" s="211" t="n">
        <x:f>(E27-'02_Assumptions'!$B$4)/365</x:f>
        <x:v>5.002739726027397</x:v>
      </x:c>
      <x:c r="G27" s="212" t="n">
        <x:v>0.037</x:v>
      </x:c>
      <x:c r="H27" s="212" t="n">
        <x:f>EXP(-G27*F27)</x:f>
        <x:v>0.8310200391947283</x:v>
      </x:c>
      <x:c r="I27" s="212" t="n">
        <x:f>-LN(H27/H26)/(F27-F26)</x:f>
        <x:v>0.03579890410958902</x:v>
      </x:c>
      <x:c r="J27" s="213" t="n">
        <x:v>-180</x:v>
      </x:c>
      <x:c r="K27" s="212" t="n">
        <x:f>J27/10000</x:f>
        <x:v>-0.018</x:v>
      </x:c>
      <x:c r="L27" s="212" t="n">
        <x:f>I27+K27</x:f>
        <x:v>0.01779890410958902</x:v>
      </x:c>
      <x:c r="M27" s="212" t="n">
        <x:f>M26*EXP(-L27*(F27-F26))</x:f>
        <x:v>0.9037609305158959</x:v>
      </x:c>
      <x:c r="N27" s="191" t="n">
        <x:v>6</x:v>
      </x:c>
      <x:c r="O27" s="191" t="str">
        <x:v>User design / illustrative value</x:v>
      </x:c>
      <x:c r="P27" s="214" t="str">
        <x:v>=gxlCurveDiscShift(SOFR_Step05, "5Y", -180)</x:v>
      </x:c>
      <x:c r="Q27" s="191" t="str">
        <x:v>SOFR_Step06</x:v>
      </x:c>
      <x:c r="R27" s="191"/>
      <x:c r="S27" s="191"/>
      <x:c r="T27" s="191"/>
      <x:c r="U27" s="191"/>
      <x:c r="V27" s="191"/>
      <x:c r="W27" s="191"/>
      <x:c r="X27" s="191"/>
      <x:c r="Y27" s="191"/>
      <x:c r="Z27" s="191"/>
      <x:c r="AA27" s="191"/>
      <x:c r="AB27" s="191"/>
      <x:c r="AC27" s="191"/>
      <x:c r="AD27" s="191"/>
      <x:c r="AE27" s="191"/>
      <x:c r="AF27" s="191"/>
      <x:c r="AG27" s="191"/>
      <x:c r="AH27" s="191"/>
      <x:c r="AI27" s="191"/>
      <x:c r="AJ27" s="191"/>
      <x:c r="AK27" s="191"/>
    </x:row>
    <x:row r="28">
      <x:c r="A28" s="198" t="str">
        <x:v>SOFR</x:v>
      </x:c>
      <x:c r="B28" s="198" t="str">
        <x:v>IR_RATE</x:v>
      </x:c>
      <x:c r="C28" s="198" t="n">
        <x:v>7</x:v>
      </x:c>
      <x:c r="D28" s="198" t="str">
        <x:v>10Y</x:v>
      </x:c>
      <x:c r="E28" s="197" t="n">
        <x:v>49879</x:v>
      </x:c>
      <x:c r="F28" s="211" t="n">
        <x:f>(E28-'02_Assumptions'!$B$4)/365</x:f>
        <x:v>10.008219178082191</x:v>
      </x:c>
      <x:c r="G28" s="212" t="n">
        <x:v>0.0365</x:v>
      </x:c>
      <x:c r="H28" s="212" t="n">
        <x:f>EXP(-G28*F28)</x:f>
        <x:v>0.6939884231184411</x:v>
      </x:c>
      <x:c r="I28" s="212" t="n">
        <x:f>-LN(H28/H27)/(F28-F27)</x:f>
        <x:v>0.03600027367268747</x:v>
      </x:c>
      <x:c r="J28" s="213" t="n">
        <x:v>-170</x:v>
      </x:c>
      <x:c r="K28" s="212" t="n">
        <x:f>J28/10000</x:f>
        <x:v>-0.017</x:v>
      </x:c>
      <x:c r="L28" s="212" t="n">
        <x:f>I28+K28</x:f>
        <x:v>0.019000273672687466</x:v>
      </x:c>
      <x:c r="M28" s="212" t="n">
        <x:f>M27*EXP(-L28*(F28-F27))</x:f>
        <x:v>0.8217690451207578</x:v>
      </x:c>
      <x:c r="N28" s="191" t="n">
        <x:v>7</x:v>
      </x:c>
      <x:c r="O28" s="191" t="str">
        <x:v>User design / illustrative value</x:v>
      </x:c>
      <x:c r="P28" s="214" t="str">
        <x:v>=gxlCurveDiscShift(SOFR_Step06, "10Y", -170)</x:v>
      </x:c>
      <x:c r="Q28" s="191" t="str">
        <x:v>SOFR_Step07</x:v>
      </x:c>
      <x:c r="R28" s="191"/>
      <x:c r="S28" s="191"/>
      <x:c r="T28" s="191"/>
      <x:c r="U28" s="191"/>
      <x:c r="V28" s="191"/>
      <x:c r="W28" s="191"/>
      <x:c r="X28" s="191"/>
      <x:c r="Y28" s="191"/>
      <x:c r="Z28" s="191"/>
      <x:c r="AA28" s="191"/>
      <x:c r="AB28" s="191"/>
      <x:c r="AC28" s="191"/>
      <x:c r="AD28" s="191"/>
      <x:c r="AE28" s="191"/>
      <x:c r="AF28" s="191"/>
      <x:c r="AG28" s="191"/>
      <x:c r="AH28" s="191"/>
      <x:c r="AI28" s="191"/>
      <x:c r="AJ28" s="191"/>
      <x:c r="AK28" s="191"/>
    </x:row>
    <x:row r="29">
      <x:c r="A29" s="198" t="str">
        <x:v>SOFR</x:v>
      </x:c>
      <x:c r="B29" s="198" t="str">
        <x:v>IR_RATE</x:v>
      </x:c>
      <x:c r="C29" s="198" t="n">
        <x:v>8</x:v>
      </x:c>
      <x:c r="D29" s="198" t="str">
        <x:v>20Y</x:v>
      </x:c>
      <x:c r="E29" s="197" t="n">
        <x:v>53531</x:v>
      </x:c>
      <x:c r="F29" s="211" t="n">
        <x:f>(E29-'02_Assumptions'!$B$4)/365</x:f>
        <x:v>20.013698630136986</x:v>
      </x:c>
      <x:c r="G29" s="212" t="n">
        <x:v>0.0368</x:v>
      </x:c>
      <x:c r="H29" s="212" t="n">
        <x:f>EXP(-G29*F29)</x:f>
        <x:v>0.47878477234775585</x:v>
      </x:c>
      <x:c r="I29" s="212" t="n">
        <x:f>-LN(H29/H28)/(F29-F28)</x:f>
        <x:v>0.0371000821467689</x:v>
      </x:c>
      <x:c r="J29" s="213" t="n">
        <x:v>-150</x:v>
      </x:c>
      <x:c r="K29" s="212" t="n">
        <x:f>J29/10000</x:f>
        <x:v>-0.015</x:v>
      </x:c>
      <x:c r="L29" s="212" t="n">
        <x:f>I29+K29</x:f>
        <x:v>0.022100082146768903</x:v>
      </x:c>
      <x:c r="M29" s="212" t="n">
        <x:f>M28*EXP(-L29*(F29-F28))</x:f>
        <x:v>0.6587456330997153</x:v>
      </x:c>
      <x:c r="N29" s="191" t="n">
        <x:v>8</x:v>
      </x:c>
      <x:c r="O29" s="191" t="str">
        <x:v>User design / illustrative value</x:v>
      </x:c>
      <x:c r="P29" s="214" t="str">
        <x:v>=gxlCurveDiscShift(SOFR_Step07, "20Y", -150)</x:v>
      </x:c>
      <x:c r="Q29" s="191" t="str">
        <x:v>SOFR_Step08</x:v>
      </x:c>
      <x:c r="R29" s="191"/>
      <x:c r="S29" s="191"/>
      <x:c r="T29" s="191"/>
      <x:c r="U29" s="191"/>
      <x:c r="V29" s="191"/>
      <x:c r="W29" s="191"/>
      <x:c r="X29" s="191"/>
      <x:c r="Y29" s="191"/>
      <x:c r="Z29" s="191"/>
      <x:c r="AA29" s="191"/>
      <x:c r="AB29" s="191"/>
      <x:c r="AC29" s="191"/>
      <x:c r="AD29" s="191"/>
      <x:c r="AE29" s="191"/>
      <x:c r="AF29" s="191"/>
      <x:c r="AG29" s="191"/>
      <x:c r="AH29" s="191"/>
      <x:c r="AI29" s="191"/>
      <x:c r="AJ29" s="191"/>
      <x:c r="AK29" s="191"/>
    </x:row>
    <x:row r="30">
      <x:c r="A30" s="198" t="str">
        <x:v>SOFR</x:v>
      </x:c>
      <x:c r="B30" s="198" t="str">
        <x:v>IR_RATE</x:v>
      </x:c>
      <x:c r="C30" s="198" t="n">
        <x:v>9</x:v>
      </x:c>
      <x:c r="D30" s="198" t="str">
        <x:v>30Y</x:v>
      </x:c>
      <x:c r="E30" s="197" t="n">
        <x:v>57184</x:v>
      </x:c>
      <x:c r="F30" s="211" t="n">
        <x:f>(E30-'02_Assumptions'!$B$4)/365</x:f>
        <x:v>30.02191780821918</x:v>
      </x:c>
      <x:c r="G30" s="212" t="n">
        <x:v>0.037</x:v>
      </x:c>
      <x:c r="H30" s="212" t="n">
        <x:f>EXP(-G30*F30)</x:f>
        <x:v>0.32929181063992924</x:v>
      </x:c>
      <x:c r="I30" s="212" t="n">
        <x:f>-LN(H30/H29)/(F30-F29)</x:f>
        <x:v>0.03739994525047904</x:v>
      </x:c>
      <x:c r="J30" s="213" t="n">
        <x:v>-130</x:v>
      </x:c>
      <x:c r="K30" s="212" t="n">
        <x:f>J30/10000</x:f>
        <x:v>-0.013</x:v>
      </x:c>
      <x:c r="L30" s="212" t="n">
        <x:f>I30+K30</x:f>
        <x:v>0.02439994525047904</x:v>
      </x:c>
      <x:c r="M30" s="212" t="n">
        <x:f>M29*EXP(-L30*(F30-F29))</x:f>
        <x:v>0.516015844168449</x:v>
      </x:c>
      <x:c r="N30" s="191" t="n">
        <x:v>9</x:v>
      </x:c>
      <x:c r="O30" s="191" t="str">
        <x:v>User design / illustrative value</x:v>
      </x:c>
      <x:c r="P30" s="214" t="str">
        <x:v>=gxlCurveDiscShift(SOFR_Step08, "30Y", -130)</x:v>
      </x:c>
      <x:c r="Q30" s="191" t="str">
        <x:v>SOFR_Step09</x:v>
      </x:c>
      <x:c r="R30" s="191"/>
      <x:c r="S30" s="191"/>
      <x:c r="T30" s="191"/>
      <x:c r="U30" s="191"/>
      <x:c r="V30" s="191"/>
      <x:c r="W30" s="191"/>
      <x:c r="X30" s="191"/>
      <x:c r="Y30" s="191"/>
      <x:c r="Z30" s="191"/>
      <x:c r="AA30" s="191"/>
      <x:c r="AB30" s="191"/>
      <x:c r="AC30" s="191"/>
      <x:c r="AD30" s="191"/>
      <x:c r="AE30" s="191"/>
      <x:c r="AF30" s="191"/>
      <x:c r="AG30" s="191"/>
      <x:c r="AH30" s="191"/>
      <x:c r="AI30" s="191"/>
      <x:c r="AJ30" s="191"/>
      <x:c r="AK30" s="191"/>
    </x:row>
    <x:row r="31">
      <x:c r="A31" s="198" t="str">
        <x:v>Treasury</x:v>
      </x:c>
      <x:c r="B31" s="198" t="str">
        <x:v>Credit</x:v>
      </x:c>
      <x:c r="C31" s="198" t="n">
        <x:v>1</x:v>
      </x:c>
      <x:c r="D31" s="198" t="str">
        <x:v>3M</x:v>
      </x:c>
      <x:c r="E31" s="197" t="n">
        <x:v>46318</x:v>
      </x:c>
      <x:c r="F31" s="211" t="n">
        <x:f>(E31-'02_Assumptions'!$B$4)/365</x:f>
        <x:v>0.25205479452054796</x:v>
      </x:c>
      <x:c r="G31" s="212" t="n">
        <x:v>0.04</x:v>
      </x:c>
      <x:c r="H31" s="212" t="n">
        <x:f>EXP(-G31*F31)</x:f>
        <x:v>0.9899684631342734</x:v>
      </x:c>
      <x:c r="I31" s="212" t="n">
        <x:f>-LN(H31)/F31</x:f>
        <x:v>0.04</x:v>
      </x:c>
      <x:c r="J31" s="213" t="n">
        <x:v>-140</x:v>
      </x:c>
      <x:c r="K31" s="212" t="n">
        <x:f>J31/10000</x:f>
        <x:v>-0.014</x:v>
      </x:c>
      <x:c r="L31" s="212" t="n">
        <x:f>I31+K31</x:f>
        <x:v>0.026000000000000002</x:v>
      </x:c>
      <x:c r="M31" s="212" t="n">
        <x:f>EXP(-L31*F31)</x:f>
        <x:v>0.9934680021978586</x:v>
      </x:c>
      <x:c r="N31" s="191" t="n">
        <x:v>1</x:v>
      </x:c>
      <x:c r="O31" s="191" t="str">
        <x:v>User design / illustrative value</x:v>
      </x:c>
      <x:c r="P31" s="214" t="str">
        <x:v>=gxlCurveDiscShift(Base_Treasury, "3M", -140)</x:v>
      </x:c>
      <x:c r="Q31" s="191" t="str">
        <x:v>Treasury_Step01</x:v>
      </x:c>
      <x:c r="R31" s="191"/>
      <x:c r="S31" s="191"/>
      <x:c r="T31" s="191"/>
      <x:c r="U31" s="191"/>
      <x:c r="V31" s="191"/>
      <x:c r="W31" s="191"/>
      <x:c r="X31" s="191"/>
      <x:c r="Y31" s="191"/>
      <x:c r="Z31" s="191"/>
      <x:c r="AA31" s="191"/>
      <x:c r="AB31" s="191"/>
      <x:c r="AC31" s="191"/>
      <x:c r="AD31" s="191"/>
      <x:c r="AE31" s="191"/>
      <x:c r="AF31" s="191"/>
      <x:c r="AG31" s="191"/>
      <x:c r="AH31" s="191"/>
      <x:c r="AI31" s="191"/>
      <x:c r="AJ31" s="191"/>
      <x:c r="AK31" s="191"/>
    </x:row>
    <x:row r="32">
      <x:c r="A32" s="198" t="str">
        <x:v>Treasury</x:v>
      </x:c>
      <x:c r="B32" s="198" t="str">
        <x:v>Credit</x:v>
      </x:c>
      <x:c r="C32" s="198" t="n">
        <x:v>2</x:v>
      </x:c>
      <x:c r="D32" s="198" t="str">
        <x:v>6M</x:v>
      </x:c>
      <x:c r="E32" s="197" t="n">
        <x:v>46410</x:v>
      </x:c>
      <x:c r="F32" s="211" t="n">
        <x:f>(E32-'02_Assumptions'!$B$4)/365</x:f>
        <x:v>0.5041095890410959</x:v>
      </x:c>
      <x:c r="G32" s="212" t="n">
        <x:v>0.0398</x:v>
      </x:c>
      <x:c r="H32" s="212" t="n">
        <x:f>EXP(-G32*F32)</x:f>
        <x:v>0.9801363722477943</x:v>
      </x:c>
      <x:c r="I32" s="212" t="n">
        <x:f>-LN(H32/H31)/(F32-F31)</x:f>
        <x:v>0.03960000000000008</x:v>
      </x:c>
      <x:c r="J32" s="213" t="n">
        <x:v>-155</x:v>
      </x:c>
      <x:c r="K32" s="212" t="n">
        <x:f>J32/10000</x:f>
        <x:v>-0.0155</x:v>
      </x:c>
      <x:c r="L32" s="212" t="n">
        <x:f>I32+K32</x:f>
        <x:v>0.02410000000000008</x:v>
      </x:c>
      <x:c r="M32" s="212" t="n">
        <x:f>M31*EXP(-L32*(F32-F31))</x:f>
        <x:v>0.9874514527322378</x:v>
      </x:c>
      <x:c r="N32" s="191" t="n">
        <x:v>2</x:v>
      </x:c>
      <x:c r="O32" s="191" t="str">
        <x:v>User design / illustrative value</x:v>
      </x:c>
      <x:c r="P32" s="214" t="str">
        <x:v>=gxlCurveDiscShift(Treasury_Step01, "6M", -155)</x:v>
      </x:c>
      <x:c r="Q32" s="191" t="str">
        <x:v>Treasury_Step02</x:v>
      </x:c>
      <x:c r="R32" s="191"/>
      <x:c r="S32" s="191"/>
      <x:c r="T32" s="191"/>
      <x:c r="U32" s="191"/>
      <x:c r="V32" s="191"/>
      <x:c r="W32" s="191"/>
      <x:c r="X32" s="191"/>
      <x:c r="Y32" s="191"/>
      <x:c r="Z32" s="191"/>
      <x:c r="AA32" s="191"/>
      <x:c r="AB32" s="191"/>
      <x:c r="AC32" s="191"/>
      <x:c r="AD32" s="191"/>
      <x:c r="AE32" s="191"/>
      <x:c r="AF32" s="191"/>
      <x:c r="AG32" s="191"/>
      <x:c r="AH32" s="191"/>
      <x:c r="AI32" s="191"/>
      <x:c r="AJ32" s="191"/>
      <x:c r="AK32" s="191"/>
    </x:row>
    <x:row r="33">
      <x:c r="A33" s="198" t="str">
        <x:v>Treasury</x:v>
      </x:c>
      <x:c r="B33" s="198" t="str">
        <x:v>Credit</x:v>
      </x:c>
      <x:c r="C33" s="198" t="n">
        <x:v>3</x:v>
      </x:c>
      <x:c r="D33" s="198" t="str">
        <x:v>1Y</x:v>
      </x:c>
      <x:c r="E33" s="197" t="n">
        <x:v>46591</x:v>
      </x:c>
      <x:c r="F33" s="211" t="n">
        <x:f>(E33-'02_Assumptions'!$B$4)/365</x:f>
        <x:v>1</x:v>
      </x:c>
      <x:c r="G33" s="212" t="n">
        <x:v>0.0395</x:v>
      </x:c>
      <x:c r="H33" s="212" t="n">
        <x:f>EXP(-G33*F33)</x:f>
        <x:v>0.9612699539905982</x:v>
      </x:c>
      <x:c r="I33" s="212" t="n">
        <x:f>-LN(H33/H32)/(F33-F32)</x:f>
        <x:v>0.03919502762430933</x:v>
      </x:c>
      <x:c r="J33" s="213" t="n">
        <x:v>-165</x:v>
      </x:c>
      <x:c r="K33" s="212" t="n">
        <x:f>J33/10000</x:f>
        <x:v>-0.0165</x:v>
      </x:c>
      <x:c r="L33" s="212" t="n">
        <x:f>I33+K33</x:f>
        <x:v>0.022695027624309326</x:v>
      </x:c>
      <x:c r="M33" s="212" t="n">
        <x:f>M32*EXP(-L33*(F33-F32))</x:f>
        <x:v>0.9764007310138765</x:v>
      </x:c>
      <x:c r="N33" s="191" t="n">
        <x:v>3</x:v>
      </x:c>
      <x:c r="O33" s="191" t="str">
        <x:v>User design / illustrative value</x:v>
      </x:c>
      <x:c r="P33" s="214" t="str">
        <x:v>=gxlCurveDiscShift(Treasury_Step02, "1Y", -165)</x:v>
      </x:c>
      <x:c r="Q33" s="191" t="str">
        <x:v>Treasury_Step03</x:v>
      </x:c>
      <x:c r="R33" s="191"/>
      <x:c r="S33" s="191"/>
      <x:c r="T33" s="191"/>
      <x:c r="U33" s="191"/>
      <x:c r="V33" s="191"/>
      <x:c r="W33" s="191"/>
      <x:c r="X33" s="191"/>
      <x:c r="Y33" s="191"/>
      <x:c r="Z33" s="191"/>
      <x:c r="AA33" s="191"/>
      <x:c r="AB33" s="191"/>
      <x:c r="AC33" s="191"/>
      <x:c r="AD33" s="191"/>
      <x:c r="AE33" s="191"/>
      <x:c r="AF33" s="191"/>
      <x:c r="AG33" s="191"/>
      <x:c r="AH33" s="191"/>
      <x:c r="AI33" s="191"/>
      <x:c r="AJ33" s="191"/>
      <x:c r="AK33" s="191"/>
    </x:row>
    <x:row r="34">
      <x:c r="A34" s="198" t="str">
        <x:v>Treasury</x:v>
      </x:c>
      <x:c r="B34" s="198" t="str">
        <x:v>Credit</x:v>
      </x:c>
      <x:c r="C34" s="198" t="n">
        <x:v>4</x:v>
      </x:c>
      <x:c r="D34" s="198" t="str">
        <x:v>2Y</x:v>
      </x:c>
      <x:c r="E34" s="197" t="n">
        <x:v>46957</x:v>
      </x:c>
      <x:c r="F34" s="211" t="n">
        <x:f>(E34-'02_Assumptions'!$B$4)/365</x:f>
        <x:v>2.0027397260273974</x:v>
      </x:c>
      <x:c r="G34" s="212" t="n">
        <x:v>0.039</x:v>
      </x:c>
      <x:c r="H34" s="212" t="n">
        <x:f>EXP(-G34*F34)</x:f>
        <x:v>0.9248656000079682</x:v>
      </x:c>
      <x:c r="I34" s="212" t="n">
        <x:f>-LN(H34/H33)/(F34-F33)</x:f>
        <x:v>0.03850136612021855</x:v>
      </x:c>
      <x:c r="J34" s="213" t="n">
        <x:v>-175</x:v>
      </x:c>
      <x:c r="K34" s="212" t="n">
        <x:f>J34/10000</x:f>
        <x:v>-0.0175</x:v>
      </x:c>
      <x:c r="L34" s="212" t="n">
        <x:f>I34+K34</x:f>
        <x:v>0.02100136612021855</x:v>
      </x:c>
      <x:c r="M34" s="212" t="n">
        <x:f>M33*EXP(-L34*(F34-F33))</x:f>
        <x:v>0.9560537956720786</x:v>
      </x:c>
      <x:c r="N34" s="191" t="n">
        <x:v>4</x:v>
      </x:c>
      <x:c r="O34" s="191" t="str">
        <x:v>User design / illustrative value</x:v>
      </x:c>
      <x:c r="P34" s="214" t="str">
        <x:v>=gxlCurveDiscShift(Treasury_Step03, "2Y", -175)</x:v>
      </x:c>
      <x:c r="Q34" s="191" t="str">
        <x:v>Treasury_Step04</x:v>
      </x:c>
      <x:c r="R34" s="191"/>
      <x:c r="S34" s="191"/>
      <x:c r="T34" s="191"/>
      <x:c r="U34" s="191"/>
      <x:c r="V34" s="191"/>
      <x:c r="W34" s="191"/>
      <x:c r="X34" s="191"/>
      <x:c r="Y34" s="191"/>
      <x:c r="Z34" s="191"/>
      <x:c r="AA34" s="191"/>
      <x:c r="AB34" s="191"/>
      <x:c r="AC34" s="191"/>
      <x:c r="AD34" s="191"/>
      <x:c r="AE34" s="191"/>
      <x:c r="AF34" s="191"/>
      <x:c r="AG34" s="191"/>
      <x:c r="AH34" s="191"/>
      <x:c r="AI34" s="191"/>
      <x:c r="AJ34" s="191"/>
      <x:c r="AK34" s="191"/>
    </x:row>
    <x:row r="35">
      <x:c r="A35" s="198" t="str">
        <x:v>Treasury</x:v>
      </x:c>
      <x:c r="B35" s="198" t="str">
        <x:v>Credit</x:v>
      </x:c>
      <x:c r="C35" s="198" t="n">
        <x:v>5</x:v>
      </x:c>
      <x:c r="D35" s="198" t="str">
        <x:v>3Y</x:v>
      </x:c>
      <x:c r="E35" s="197" t="n">
        <x:v>47322</x:v>
      </x:c>
      <x:c r="F35" s="211" t="n">
        <x:f>(E35-'02_Assumptions'!$B$4)/365</x:f>
        <x:v>3.0027397260273974</x:v>
      </x:c>
      <x:c r="G35" s="212" t="n">
        <x:v>0.0392</x:v>
      </x:c>
      <x:c r="H35" s="212" t="n">
        <x:f>EXP(-G35*F35)</x:f>
        <x:v>0.888956125561569</x:v>
      </x:c>
      <x:c r="I35" s="212" t="n">
        <x:f>-LN(H35/H34)/(F35-F34)</x:f>
        <x:v>0.03960054794520548</x:v>
      </x:c>
      <x:c r="J35" s="213" t="n">
        <x:v>-180</x:v>
      </x:c>
      <x:c r="K35" s="212" t="n">
        <x:f>J35/10000</x:f>
        <x:v>-0.018</x:v>
      </x:c>
      <x:c r="L35" s="212" t="n">
        <x:f>I35+K35</x:f>
        <x:v>0.021600547945205485</x:v>
      </x:c>
      <x:c r="M35" s="212" t="n">
        <x:f>M34*EXP(-L35*(F35-F34))</x:f>
        <x:v>0.9356239520749766</x:v>
      </x:c>
      <x:c r="N35" s="191" t="n">
        <x:v>5</x:v>
      </x:c>
      <x:c r="O35" s="191" t="str">
        <x:v>User design / illustrative value</x:v>
      </x:c>
      <x:c r="P35" s="214" t="str">
        <x:v>=gxlCurveDiscShift(Treasury_Step04, "3Y", -180)</x:v>
      </x:c>
      <x:c r="Q35" s="191" t="str">
        <x:v>Treasury_Step05</x:v>
      </x:c>
      <x:c r="R35" s="191"/>
      <x:c r="S35" s="191"/>
      <x:c r="T35" s="191"/>
      <x:c r="U35" s="191"/>
      <x:c r="V35" s="191"/>
      <x:c r="W35" s="191"/>
      <x:c r="X35" s="191"/>
      <x:c r="Y35" s="191"/>
      <x:c r="Z35" s="191"/>
      <x:c r="AA35" s="191"/>
      <x:c r="AB35" s="191"/>
      <x:c r="AC35" s="191"/>
      <x:c r="AD35" s="191"/>
      <x:c r="AE35" s="191"/>
      <x:c r="AF35" s="191"/>
      <x:c r="AG35" s="191"/>
      <x:c r="AH35" s="191"/>
      <x:c r="AI35" s="191"/>
      <x:c r="AJ35" s="191"/>
      <x:c r="AK35" s="191"/>
    </x:row>
    <x:row r="36">
      <x:c r="A36" s="198" t="str">
        <x:v>Treasury</x:v>
      </x:c>
      <x:c r="B36" s="198" t="str">
        <x:v>Credit</x:v>
      </x:c>
      <x:c r="C36" s="198" t="n">
        <x:v>6</x:v>
      </x:c>
      <x:c r="D36" s="198" t="str">
        <x:v>5Y</x:v>
      </x:c>
      <x:c r="E36" s="197" t="n">
        <x:v>48052</x:v>
      </x:c>
      <x:c r="F36" s="211" t="n">
        <x:f>(E36-'02_Assumptions'!$B$4)/365</x:f>
        <x:v>5.002739726027397</x:v>
      </x:c>
      <x:c r="G36" s="212" t="n">
        <x:v>0.0398</x:v>
      </x:c>
      <x:c r="H36" s="212" t="n">
        <x:f>EXP(-G36*F36)</x:f>
        <x:v>0.8194605335864507</x:v>
      </x:c>
      <x:c r="I36" s="212" t="n">
        <x:f>-LN(H36/H35)/(F36-F35)</x:f>
        <x:v>0.040700821917808216</x:v>
      </x:c>
      <x:c r="J36" s="213" t="n">
        <x:v>-175</x:v>
      </x:c>
      <x:c r="K36" s="212" t="n">
        <x:f>J36/10000</x:f>
        <x:v>-0.0175</x:v>
      </x:c>
      <x:c r="L36" s="212" t="n">
        <x:f>I36+K36</x:f>
        <x:v>0.023200821917808215</x:v>
      </x:c>
      <x:c r="M36" s="212" t="n">
        <x:f>M35*EXP(-L36*(F36-F35))</x:f>
        <x:v>0.8932013142062326</x:v>
      </x:c>
      <x:c r="N36" s="191" t="n">
        <x:v>6</x:v>
      </x:c>
      <x:c r="O36" s="191" t="str">
        <x:v>User design / illustrative value</x:v>
      </x:c>
      <x:c r="P36" s="214" t="str">
        <x:v>=gxlCurveDiscShift(Treasury_Step05, "5Y", -175)</x:v>
      </x:c>
      <x:c r="Q36" s="191" t="str">
        <x:v>Treasury_Step06</x:v>
      </x:c>
      <x:c r="R36" s="191"/>
      <x:c r="S36" s="191"/>
      <x:c r="T36" s="191"/>
      <x:c r="U36" s="191"/>
      <x:c r="V36" s="191"/>
      <x:c r="W36" s="191"/>
      <x:c r="X36" s="191"/>
      <x:c r="Y36" s="191"/>
      <x:c r="Z36" s="191"/>
      <x:c r="AA36" s="191"/>
      <x:c r="AB36" s="191"/>
      <x:c r="AC36" s="191"/>
      <x:c r="AD36" s="191"/>
      <x:c r="AE36" s="191"/>
      <x:c r="AF36" s="191"/>
      <x:c r="AG36" s="191"/>
      <x:c r="AH36" s="191"/>
      <x:c r="AI36" s="191"/>
      <x:c r="AJ36" s="191"/>
      <x:c r="AK36" s="191"/>
    </x:row>
    <x:row r="37">
      <x:c r="A37" s="198" t="str">
        <x:v>Treasury</x:v>
      </x:c>
      <x:c r="B37" s="198" t="str">
        <x:v>Credit</x:v>
      </x:c>
      <x:c r="C37" s="198" t="n">
        <x:v>7</x:v>
      </x:c>
      <x:c r="D37" s="198" t="str">
        <x:v>10Y</x:v>
      </x:c>
      <x:c r="E37" s="197" t="n">
        <x:v>49879</x:v>
      </x:c>
      <x:c r="F37" s="211" t="n">
        <x:f>(E37-'02_Assumptions'!$B$4)/365</x:f>
        <x:v>10.008219178082191</x:v>
      </x:c>
      <x:c r="G37" s="212" t="n">
        <x:v>0.041</x:v>
      </x:c>
      <x:c r="H37" s="212" t="n">
        <x:f>EXP(-G37*F37)</x:f>
        <x:v>0.6634266467708744</x:v>
      </x:c>
      <x:c r="I37" s="212" t="n">
        <x:f>-LN(H37/H36)/(F37-F36)</x:f>
        <x:v>0.042199343185550076</x:v>
      </x:c>
      <x:c r="J37" s="213" t="n">
        <x:v>-160</x:v>
      </x:c>
      <x:c r="K37" s="212" t="n">
        <x:f>J37/10000</x:f>
        <x:v>-0.016</x:v>
      </x:c>
      <x:c r="L37" s="212" t="n">
        <x:f>I37+K37</x:f>
        <x:v>0.026199343185550075</x:v>
      </x:c>
      <x:c r="M37" s="212" t="n">
        <x:f>M36*EXP(-L37*(F37-F36))</x:f>
        <x:v>0.7834221674835126</x:v>
      </x:c>
      <x:c r="N37" s="191" t="n">
        <x:v>7</x:v>
      </x:c>
      <x:c r="O37" s="191" t="str">
        <x:v>User design / illustrative value</x:v>
      </x:c>
      <x:c r="P37" s="214" t="str">
        <x:v>=gxlCurveDiscShift(Treasury_Step06, "10Y", -160)</x:v>
      </x:c>
      <x:c r="Q37" s="191" t="str">
        <x:v>Treasury_Step07</x:v>
      </x:c>
      <x:c r="R37" s="191"/>
      <x:c r="S37" s="191"/>
      <x:c r="T37" s="191"/>
      <x:c r="U37" s="191"/>
      <x:c r="V37" s="191"/>
      <x:c r="W37" s="191"/>
      <x:c r="X37" s="191"/>
      <x:c r="Y37" s="191"/>
      <x:c r="Z37" s="191"/>
      <x:c r="AA37" s="191"/>
      <x:c r="AB37" s="191"/>
      <x:c r="AC37" s="191"/>
      <x:c r="AD37" s="191"/>
      <x:c r="AE37" s="191"/>
      <x:c r="AF37" s="191"/>
      <x:c r="AG37" s="191"/>
      <x:c r="AH37" s="191"/>
      <x:c r="AI37" s="191"/>
      <x:c r="AJ37" s="191"/>
      <x:c r="AK37" s="191"/>
    </x:row>
    <x:row r="38">
      <x:c r="A38" s="198" t="str">
        <x:v>Treasury</x:v>
      </x:c>
      <x:c r="B38" s="198" t="str">
        <x:v>Credit</x:v>
      </x:c>
      <x:c r="C38" s="198" t="n">
        <x:v>8</x:v>
      </x:c>
      <x:c r="D38" s="198" t="str">
        <x:v>20Y</x:v>
      </x:c>
      <x:c r="E38" s="197" t="n">
        <x:v>53531</x:v>
      </x:c>
      <x:c r="F38" s="211" t="n">
        <x:f>(E38-'02_Assumptions'!$B$4)/365</x:f>
        <x:v>20.013698630136986</x:v>
      </x:c>
      <x:c r="G38" s="212" t="n">
        <x:v>0.042</x:v>
      </x:c>
      <x:c r="H38" s="212" t="n">
        <x:f>EXP(-G38*F38)</x:f>
        <x:v>0.4314622134705198</x:v>
      </x:c>
      <x:c r="I38" s="212" t="n">
        <x:f>-LN(H38/H37)/(F38-F37)</x:f>
        <x:v>0.043000273822562995</x:v>
      </x:c>
      <x:c r="J38" s="213" t="n">
        <x:v>-145</x:v>
      </x:c>
      <x:c r="K38" s="212" t="n">
        <x:f>J38/10000</x:f>
        <x:v>-0.0145</x:v>
      </x:c>
      <x:c r="L38" s="212" t="n">
        <x:f>I38+K38</x:f>
        <x:v>0.028500273822562996</x:v>
      </x:c>
      <x:c r="M38" s="212" t="n">
        <x:f>M37*EXP(-L38*(F38-F37))</x:f>
        <x:v>0.58905102703112</x:v>
      </x:c>
      <x:c r="N38" s="191" t="n">
        <x:v>8</x:v>
      </x:c>
      <x:c r="O38" s="191" t="str">
        <x:v>User design / illustrative value</x:v>
      </x:c>
      <x:c r="P38" s="214" t="str">
        <x:v>=gxlCurveDiscShift(Treasury_Step07, "20Y", -145)</x:v>
      </x:c>
      <x:c r="Q38" s="191" t="str">
        <x:v>Treasury_Step08</x:v>
      </x:c>
      <x:c r="R38" s="191"/>
      <x:c r="S38" s="191"/>
      <x:c r="T38" s="191"/>
      <x:c r="U38" s="191"/>
      <x:c r="V38" s="191"/>
      <x:c r="W38" s="191"/>
      <x:c r="X38" s="191"/>
      <x:c r="Y38" s="191"/>
      <x:c r="Z38" s="191"/>
      <x:c r="AA38" s="191"/>
      <x:c r="AB38" s="191"/>
      <x:c r="AC38" s="191"/>
      <x:c r="AD38" s="191"/>
      <x:c r="AE38" s="191"/>
      <x:c r="AF38" s="191"/>
      <x:c r="AG38" s="191"/>
      <x:c r="AH38" s="191"/>
      <x:c r="AI38" s="191"/>
      <x:c r="AJ38" s="191"/>
      <x:c r="AK38" s="191"/>
    </x:row>
    <x:row r="39">
      <x:c r="A39" s="198" t="str">
        <x:v>Treasury</x:v>
      </x:c>
      <x:c r="B39" s="198" t="str">
        <x:v>Credit</x:v>
      </x:c>
      <x:c r="C39" s="198" t="n">
        <x:v>9</x:v>
      </x:c>
      <x:c r="D39" s="198" t="str">
        <x:v>30Y</x:v>
      </x:c>
      <x:c r="E39" s="197" t="n">
        <x:v>57184</x:v>
      </x:c>
      <x:c r="F39" s="211" t="n">
        <x:f>(E39-'02_Assumptions'!$B$4)/365</x:f>
        <x:v>30.02191780821918</x:v>
      </x:c>
      <x:c r="G39" s="212" t="n">
        <x:v>0.0425</x:v>
      </x:c>
      <x:c r="H39" s="212" t="n">
        <x:f>EXP(-G39*F39)</x:f>
        <x:v>0.2791707975547899</x:v>
      </x:c>
      <x:c r="I39" s="212" t="n">
        <x:f>-LN(H39/H38)/(F39-F38)</x:f>
        <x:v>0.043499863126197635</x:v>
      </x:c>
      <x:c r="J39" s="213" t="n">
        <x:v>-125</x:v>
      </x:c>
      <x:c r="K39" s="212" t="n">
        <x:f>J39/10000</x:f>
        <x:v>-0.0125</x:v>
      </x:c>
      <x:c r="L39" s="212" t="n">
        <x:f>I39+K39</x:f>
        <x:v>0.030999863126197635</x:v>
      </x:c>
      <x:c r="M39" s="212" t="n">
        <x:f>M38*EXP(-L39*(F39-F38))</x:f>
        <x:v>0.43192820770738627</x:v>
      </x:c>
      <x:c r="N39" s="191" t="n">
        <x:v>9</x:v>
      </x:c>
      <x:c r="O39" s="191" t="str">
        <x:v>User design / illustrative value</x:v>
      </x:c>
      <x:c r="P39" s="214" t="str">
        <x:v>=gxlCurveDiscShift(Treasury_Step08, "30Y", -125)</x:v>
      </x:c>
      <x:c r="Q39" s="191" t="str">
        <x:v>Treasury_Step09</x:v>
      </x:c>
      <x:c r="R39" s="191"/>
      <x:c r="S39" s="191"/>
      <x:c r="T39" s="191"/>
      <x:c r="U39" s="191"/>
      <x:c r="V39" s="191"/>
      <x:c r="W39" s="191"/>
      <x:c r="X39" s="191"/>
      <x:c r="Y39" s="191"/>
      <x:c r="Z39" s="191"/>
      <x:c r="AA39" s="191"/>
      <x:c r="AB39" s="191"/>
      <x:c r="AC39" s="191"/>
      <x:c r="AD39" s="191"/>
      <x:c r="AE39" s="191"/>
      <x:c r="AF39" s="191"/>
      <x:c r="AG39" s="191"/>
      <x:c r="AH39" s="191"/>
      <x:c r="AI39" s="191"/>
      <x:c r="AJ39" s="191"/>
      <x:c r="AK39" s="191"/>
    </x:row>
    <x:row r="40">
      <x:c r="A40" s="198" t="str">
        <x:v>EURUSD</x:v>
      </x:c>
      <x:c r="B40" s="198" t="str">
        <x:v>FX_RATE</x:v>
      </x:c>
      <x:c r="C40" s="198" t="n">
        <x:v>1</x:v>
      </x:c>
      <x:c r="D40" s="198" t="str">
        <x:v>3M</x:v>
      </x:c>
      <x:c r="E40" s="197" t="n">
        <x:v>46318</x:v>
      </x:c>
      <x:c r="F40" s="211" t="n">
        <x:f>(E40-'02_Assumptions'!$B$4)/365</x:f>
        <x:v>0.25205479452054796</x:v>
      </x:c>
      <x:c r="G40" s="212" t="n">
        <x:v>0.022</x:v>
      </x:c>
      <x:c r="H40" s="212" t="n">
        <x:f>EXP(-G40*F40)</x:f>
        <x:v>0.994470140793271</x:v>
      </x:c>
      <x:c r="I40" s="212" t="n">
        <x:f>-LN(H40)/F40</x:f>
        <x:v>0.021999999999999797</x:v>
      </x:c>
      <x:c r="J40" s="213" t="n">
        <x:v>-180</x:v>
      </x:c>
      <x:c r="K40" s="212" t="n">
        <x:f>J40/10000</x:f>
        <x:v>-0.018</x:v>
      </x:c>
      <x:c r="L40" s="212" t="n">
        <x:f>I40+K40</x:f>
        <x:v>0.003999999999999799</x:v>
      </x:c>
      <x:c r="M40" s="212" t="n">
        <x:f>EXP(-L40*F40)</x:f>
        <x:v>0.9989922889041063</x:v>
      </x:c>
      <x:c r="N40" s="191" t="n">
        <x:v>1</x:v>
      </x:c>
      <x:c r="O40" s="191" t="str">
        <x:v>User design / illustrative value</x:v>
      </x:c>
      <x:c r="P40" s="214" t="str">
        <x:v>=gxlCurveDiscShift(Base_EURUSD, "3M", -180)</x:v>
      </x:c>
      <x:c r="Q40" s="191" t="str">
        <x:v>EURUSD_Step01</x:v>
      </x:c>
      <x:c r="R40" s="191"/>
      <x:c r="S40" s="191"/>
      <x:c r="T40" s="191"/>
      <x:c r="U40" s="191"/>
      <x:c r="V40" s="191"/>
      <x:c r="W40" s="191"/>
      <x:c r="X40" s="191"/>
      <x:c r="Y40" s="191"/>
      <x:c r="Z40" s="191"/>
      <x:c r="AA40" s="191"/>
      <x:c r="AB40" s="191"/>
      <x:c r="AC40" s="191"/>
      <x:c r="AD40" s="191"/>
      <x:c r="AE40" s="191"/>
      <x:c r="AF40" s="191"/>
      <x:c r="AG40" s="191"/>
      <x:c r="AH40" s="191"/>
      <x:c r="AI40" s="191"/>
      <x:c r="AJ40" s="191"/>
      <x:c r="AK40" s="191"/>
    </x:row>
    <x:row r="41">
      <x:c r="A41" s="198" t="str">
        <x:v>EURUSD</x:v>
      </x:c>
      <x:c r="B41" s="198" t="str">
        <x:v>FX_RATE</x:v>
      </x:c>
      <x:c r="C41" s="198" t="n">
        <x:v>2</x:v>
      </x:c>
      <x:c r="D41" s="198" t="str">
        <x:v>6M</x:v>
      </x:c>
      <x:c r="E41" s="197" t="n">
        <x:v>46410</x:v>
      </x:c>
      <x:c r="F41" s="211" t="n">
        <x:f>(E41-'02_Assumptions'!$B$4)/365</x:f>
        <x:v>0.5041095890410959</x:v>
      </x:c>
      <x:c r="G41" s="212" t="n">
        <x:v>0.0223</x:v>
      </x:c>
      <x:c r="H41" s="212" t="n">
        <x:f>EXP(-G41*F41)</x:f>
        <x:v>0.9888213073301007</x:v>
      </x:c>
      <x:c r="I41" s="212" t="n">
        <x:f>-LN(H41/H40)/(F41-F40)</x:f>
        <x:v>0.022600000000000273</x:v>
      </x:c>
      <x:c r="J41" s="213" t="n">
        <x:v>-220</x:v>
      </x:c>
      <x:c r="K41" s="212" t="n">
        <x:f>J41/10000</x:f>
        <x:v>-0.022</x:v>
      </x:c>
      <x:c r="L41" s="212" t="n">
        <x:f>I41+K41</x:f>
        <x:v>0.0006000000000002739</x:v>
      </x:c>
      <x:c r="M41" s="212" t="n">
        <x:f>M40*EXP(-L41*(F41-F40))</x:f>
        <x:v>0.9988412198500335</x:v>
      </x:c>
      <x:c r="N41" s="191" t="n">
        <x:v>2</x:v>
      </x:c>
      <x:c r="O41" s="191" t="str">
        <x:v>User design / illustrative value</x:v>
      </x:c>
      <x:c r="P41" s="214" t="str">
        <x:v>=gxlCurveDiscShift(EURUSD_Step01, "6M", -220)</x:v>
      </x:c>
      <x:c r="Q41" s="191" t="str">
        <x:v>EURUSD_Step02</x:v>
      </x:c>
      <x:c r="R41" s="191"/>
      <x:c r="S41" s="191"/>
      <x:c r="T41" s="191"/>
      <x:c r="U41" s="191"/>
      <x:c r="V41" s="191"/>
      <x:c r="W41" s="191"/>
      <x:c r="X41" s="191"/>
      <x:c r="Y41" s="191"/>
      <x:c r="Z41" s="191"/>
      <x:c r="AA41" s="191"/>
      <x:c r="AB41" s="191"/>
      <x:c r="AC41" s="191"/>
      <x:c r="AD41" s="191"/>
      <x:c r="AE41" s="191"/>
      <x:c r="AF41" s="191"/>
      <x:c r="AG41" s="191"/>
      <x:c r="AH41" s="191"/>
      <x:c r="AI41" s="191"/>
      <x:c r="AJ41" s="191"/>
      <x:c r="AK41" s="191"/>
    </x:row>
    <x:row r="42">
      <x:c r="A42" s="198" t="str">
        <x:v>EURUSD</x:v>
      </x:c>
      <x:c r="B42" s="198" t="str">
        <x:v>FX_RATE</x:v>
      </x:c>
      <x:c r="C42" s="198" t="n">
        <x:v>3</x:v>
      </x:c>
      <x:c r="D42" s="198" t="str">
        <x:v>1Y</x:v>
      </x:c>
      <x:c r="E42" s="197" t="n">
        <x:v>46591</x:v>
      </x:c>
      <x:c r="F42" s="211" t="n">
        <x:f>(E42-'02_Assumptions'!$B$4)/365</x:f>
        <x:v>1</x:v>
      </x:c>
      <x:c r="G42" s="212" t="n">
        <x:v>0.0228</x:v>
      </x:c>
      <x:c r="H42" s="212" t="n">
        <x:f>EXP(-G42*F42)</x:f>
        <x:v>0.9774579558165845</x:v>
      </x:c>
      <x:c r="I42" s="212" t="n">
        <x:f>-LN(H42/H41)/(F42-F41)</x:f>
        <x:v>0.023308287292817566</x:v>
      </x:c>
      <x:c r="J42" s="213" t="n">
        <x:v>-260</x:v>
      </x:c>
      <x:c r="K42" s="212" t="n">
        <x:f>J42/10000</x:f>
        <x:v>-0.026</x:v>
      </x:c>
      <x:c r="L42" s="212" t="n">
        <x:f>I42+K42</x:f>
        <x:v>-0.002691712707182433</x:v>
      </x:c>
      <x:c r="M42" s="212" t="n">
        <x:f>M41*EXP(-L42*(F42-F41))</x:f>
        <x:v>1.000175357839142</x:v>
      </x:c>
      <x:c r="N42" s="191" t="n">
        <x:v>3</x:v>
      </x:c>
      <x:c r="O42" s="191" t="str">
        <x:v>User design / illustrative value</x:v>
      </x:c>
      <x:c r="P42" s="214" t="str">
        <x:v>=gxlCurveDiscShift(EURUSD_Step02, "1Y", -260)</x:v>
      </x:c>
      <x:c r="Q42" s="191" t="str">
        <x:v>EURUSD_Step03</x:v>
      </x:c>
      <x:c r="R42" s="191"/>
      <x:c r="S42" s="191"/>
      <x:c r="T42" s="191"/>
      <x:c r="U42" s="191"/>
      <x:c r="V42" s="191"/>
      <x:c r="W42" s="191"/>
      <x:c r="X42" s="191"/>
      <x:c r="Y42" s="191"/>
      <x:c r="Z42" s="191"/>
      <x:c r="AA42" s="191"/>
      <x:c r="AB42" s="191"/>
      <x:c r="AC42" s="191"/>
      <x:c r="AD42" s="191"/>
      <x:c r="AE42" s="191"/>
      <x:c r="AF42" s="191"/>
      <x:c r="AG42" s="191"/>
      <x:c r="AH42" s="191"/>
      <x:c r="AI42" s="191"/>
      <x:c r="AJ42" s="191"/>
      <x:c r="AK42" s="191"/>
    </x:row>
    <x:row r="43">
      <x:c r="A43" s="198" t="str">
        <x:v>EURUSD</x:v>
      </x:c>
      <x:c r="B43" s="198" t="str">
        <x:v>FX_RATE</x:v>
      </x:c>
      <x:c r="C43" s="198" t="n">
        <x:v>4</x:v>
      </x:c>
      <x:c r="D43" s="198" t="str">
        <x:v>2Y</x:v>
      </x:c>
      <x:c r="E43" s="197" t="n">
        <x:v>46957</x:v>
      </x:c>
      <x:c r="F43" s="211" t="n">
        <x:f>(E43-'02_Assumptions'!$B$4)/365</x:f>
        <x:v>2.0027397260273974</x:v>
      </x:c>
      <x:c r="G43" s="212" t="n">
        <x:v>0.0235</x:v>
      </x:c>
      <x:c r="H43" s="212" t="n">
        <x:f>EXP(-G43*F43)</x:f>
        <x:v>0.9540259720230144</x:v>
      </x:c>
      <x:c r="I43" s="212" t="n">
        <x:f>-LN(H43/H42)/(F43-F42)</x:f>
        <x:v>0.024198087431693976</x:v>
      </x:c>
      <x:c r="J43" s="213" t="n">
        <x:v>-300</x:v>
      </x:c>
      <x:c r="K43" s="212" t="n">
        <x:f>J43/10000</x:f>
        <x:v>-0.03</x:v>
      </x:c>
      <x:c r="L43" s="212" t="n">
        <x:f>I43+K43</x:f>
        <x:v>-0.005801912568306023</x:v>
      </x:c>
      <x:c r="M43" s="212" t="n">
        <x:f>M42*EXP(-L43*(F43-F42))</x:f>
        <x:v>1.0060111455431688</x:v>
      </x:c>
      <x:c r="N43" s="191" t="n">
        <x:v>4</x:v>
      </x:c>
      <x:c r="O43" s="191" t="str">
        <x:v>User design / illustrative value</x:v>
      </x:c>
      <x:c r="P43" s="214" t="str">
        <x:v>=gxlCurveDiscShift(EURUSD_Step03, "2Y", -300)</x:v>
      </x:c>
      <x:c r="Q43" s="191" t="str">
        <x:v>EURUSD_Step04</x:v>
      </x:c>
      <x:c r="R43" s="191"/>
      <x:c r="S43" s="191"/>
      <x:c r="T43" s="191"/>
      <x:c r="U43" s="191"/>
      <x:c r="V43" s="191"/>
      <x:c r="W43" s="191"/>
      <x:c r="X43" s="191"/>
      <x:c r="Y43" s="191"/>
      <x:c r="Z43" s="191"/>
      <x:c r="AA43" s="191"/>
      <x:c r="AB43" s="191"/>
      <x:c r="AC43" s="191"/>
      <x:c r="AD43" s="191"/>
      <x:c r="AE43" s="191"/>
      <x:c r="AF43" s="191"/>
      <x:c r="AG43" s="191"/>
      <x:c r="AH43" s="191"/>
      <x:c r="AI43" s="191"/>
      <x:c r="AJ43" s="191"/>
      <x:c r="AK43" s="191"/>
    </x:row>
    <x:row r="44">
      <x:c r="A44" s="198" t="str">
        <x:v>EURUSD</x:v>
      </x:c>
      <x:c r="B44" s="198" t="str">
        <x:v>FX_RATE</x:v>
      </x:c>
      <x:c r="C44" s="198" t="n">
        <x:v>5</x:v>
      </x:c>
      <x:c r="D44" s="198" t="str">
        <x:v>3Y</x:v>
      </x:c>
      <x:c r="E44" s="197" t="n">
        <x:v>47322</x:v>
      </x:c>
      <x:c r="F44" s="211" t="n">
        <x:f>(E44-'02_Assumptions'!$B$4)/365</x:f>
        <x:v>3.0027397260273974</x:v>
      </x:c>
      <x:c r="G44" s="212" t="n">
        <x:v>0.0242</x:v>
      </x:c>
      <x:c r="H44" s="212" t="n">
        <x:f>EXP(-G44*F44)</x:f>
        <x:v>0.9299110883128502</x:v>
      </x:c>
      <x:c r="I44" s="212" t="n">
        <x:f>-LN(H44/H43)/(F44-F43)</x:f>
        <x:v>0.025601917808219198</x:v>
      </x:c>
      <x:c r="J44" s="213" t="n">
        <x:v>-340</x:v>
      </x:c>
      <x:c r="K44" s="212" t="n">
        <x:f>J44/10000</x:f>
        <x:v>-0.034</x:v>
      </x:c>
      <x:c r="L44" s="212" t="n">
        <x:f>I44+K44</x:f>
        <x:v>-0.008398082191780804</x:v>
      </x:c>
      <x:c r="M44" s="212" t="n">
        <x:f>M43*EXP(-L44*(F44-F43))</x:f>
        <x:v>1.0144952852165336</x:v>
      </x:c>
      <x:c r="N44" s="191" t="n">
        <x:v>5</x:v>
      </x:c>
      <x:c r="O44" s="191" t="str">
        <x:v>User design / illustrative value</x:v>
      </x:c>
      <x:c r="P44" s="214" t="str">
        <x:v>=gxlCurveDiscShift(EURUSD_Step04, "3Y", -340)</x:v>
      </x:c>
      <x:c r="Q44" s="191" t="str">
        <x:v>EURUSD_Step05</x:v>
      </x:c>
      <x:c r="R44" s="191"/>
      <x:c r="S44" s="191"/>
      <x:c r="T44" s="191"/>
      <x:c r="U44" s="191"/>
      <x:c r="V44" s="191"/>
      <x:c r="W44" s="191"/>
      <x:c r="X44" s="191"/>
      <x:c r="Y44" s="191"/>
      <x:c r="Z44" s="191"/>
      <x:c r="AA44" s="191"/>
      <x:c r="AB44" s="191"/>
      <x:c r="AC44" s="191"/>
      <x:c r="AD44" s="191"/>
      <x:c r="AE44" s="191"/>
      <x:c r="AF44" s="191"/>
      <x:c r="AG44" s="191"/>
      <x:c r="AH44" s="191"/>
      <x:c r="AI44" s="191"/>
      <x:c r="AJ44" s="191"/>
      <x:c r="AK44" s="191"/>
    </x:row>
    <x:row r="45">
      <x:c r="A45" s="198" t="str">
        <x:v>EURUSD</x:v>
      </x:c>
      <x:c r="B45" s="198" t="str">
        <x:v>FX_RATE</x:v>
      </x:c>
      <x:c r="C45" s="198" t="n">
        <x:v>6</x:v>
      </x:c>
      <x:c r="D45" s="198" t="str">
        <x:v>5Y</x:v>
      </x:c>
      <x:c r="E45" s="197" t="n">
        <x:v>48052</x:v>
      </x:c>
      <x:c r="F45" s="211" t="n">
        <x:f>(E45-'02_Assumptions'!$B$4)/365</x:f>
        <x:v>5.002739726027397</x:v>
      </x:c>
      <x:c r="G45" s="212" t="n">
        <x:v>0.025</x:v>
      </x:c>
      <x:c r="H45" s="212" t="n">
        <x:f>EXP(-G45*F45)</x:f>
        <x:v>0.8824364596612544</x:v>
      </x:c>
      <x:c r="I45" s="212" t="n">
        <x:f>-LN(H45/H44)/(F45-F44)</x:f>
        <x:v>0.02620109589041102</x:v>
      </x:c>
      <x:c r="J45" s="213" t="n">
        <x:v>-380</x:v>
      </x:c>
      <x:c r="K45" s="212" t="n">
        <x:f>J45/10000</x:f>
        <x:v>-0.038</x:v>
      </x:c>
      <x:c r="L45" s="212" t="n">
        <x:f>I45+K45</x:f>
        <x:v>-0.01179890410958898</x:v>
      </x:c>
      <x:c r="M45" s="212" t="n">
        <x:f>M44*EXP(-L45*(F45-F44))</x:f>
        <x:v>1.038719849584895</x:v>
      </x:c>
      <x:c r="N45" s="191" t="n">
        <x:v>6</x:v>
      </x:c>
      <x:c r="O45" s="191" t="str">
        <x:v>User design / illustrative value</x:v>
      </x:c>
      <x:c r="P45" s="214" t="str">
        <x:v>=gxlCurveDiscShift(EURUSD_Step05, "5Y", -380)</x:v>
      </x:c>
      <x:c r="Q45" s="191" t="str">
        <x:v>EURUSD_Step06</x:v>
      </x:c>
      <x:c r="R45" s="191"/>
      <x:c r="S45" s="191"/>
      <x:c r="T45" s="191"/>
      <x:c r="U45" s="191"/>
      <x:c r="V45" s="191"/>
      <x:c r="W45" s="191"/>
      <x:c r="X45" s="191"/>
      <x:c r="Y45" s="191"/>
      <x:c r="Z45" s="191"/>
      <x:c r="AA45" s="191"/>
      <x:c r="AB45" s="191"/>
      <x:c r="AC45" s="191"/>
      <x:c r="AD45" s="191"/>
      <x:c r="AE45" s="191"/>
      <x:c r="AF45" s="191"/>
      <x:c r="AG45" s="191"/>
      <x:c r="AH45" s="191"/>
      <x:c r="AI45" s="191"/>
      <x:c r="AJ45" s="191"/>
      <x:c r="AK45" s="191"/>
    </x:row>
    <x:row r="46">
      <x:c r="A46" s="198" t="str">
        <x:v>EURUSD</x:v>
      </x:c>
      <x:c r="B46" s="198" t="str">
        <x:v>FX_RATE</x:v>
      </x:c>
      <x:c r="C46" s="198" t="n">
        <x:v>7</x:v>
      </x:c>
      <x:c r="D46" s="198" t="str">
        <x:v>10Y</x:v>
      </x:c>
      <x:c r="E46" s="197" t="n">
        <x:v>49879</x:v>
      </x:c>
      <x:c r="F46" s="211" t="n">
        <x:f>(E46-'02_Assumptions'!$B$4)/365</x:f>
        <x:v>10.008219178082191</x:v>
      </x:c>
      <x:c r="G46" s="212" t="n">
        <x:v>0.026</x:v>
      </x:c>
      <x:c r="H46" s="212" t="n">
        <x:f>EXP(-G46*F46)</x:f>
        <x:v>0.7708868307405078</x:v>
      </x:c>
      <x:c r="I46" s="212" t="n">
        <x:f>-LN(H46/H45)/(F46-F45)</x:f>
        <x:v>0.026999452654625056</x:v>
      </x:c>
      <x:c r="J46" s="213" t="n">
        <x:v>-420</x:v>
      </x:c>
      <x:c r="K46" s="212" t="n">
        <x:f>J46/10000</x:f>
        <x:v>-0.042</x:v>
      </x:c>
      <x:c r="L46" s="212" t="n">
        <x:f>I46+K46</x:f>
        <x:v>-0.015000547345374947</x:v>
      </x:c>
      <x:c r="M46" s="212" t="n">
        <x:f>M45*EXP(-L46*(F46-F45))</x:f>
        <x:v>1.1197147581001348</x:v>
      </x:c>
      <x:c r="N46" s="191" t="n">
        <x:v>7</x:v>
      </x:c>
      <x:c r="O46" s="191" t="str">
        <x:v>User design / illustrative value</x:v>
      </x:c>
      <x:c r="P46" s="214" t="str">
        <x:v>=gxlCurveDiscShift(EURUSD_Step06, "10Y", -420)</x:v>
      </x:c>
      <x:c r="Q46" s="191" t="str">
        <x:v>EURUSD_Step07</x:v>
      </x:c>
      <x:c r="R46" s="191"/>
      <x:c r="S46" s="191"/>
      <x:c r="T46" s="191"/>
      <x:c r="U46" s="191"/>
      <x:c r="V46" s="191"/>
      <x:c r="W46" s="191"/>
      <x:c r="X46" s="191"/>
      <x:c r="Y46" s="191"/>
      <x:c r="Z46" s="191"/>
      <x:c r="AA46" s="191"/>
      <x:c r="AB46" s="191"/>
      <x:c r="AC46" s="191"/>
      <x:c r="AD46" s="191"/>
      <x:c r="AE46" s="191"/>
      <x:c r="AF46" s="191"/>
      <x:c r="AG46" s="191"/>
      <x:c r="AH46" s="191"/>
      <x:c r="AI46" s="191"/>
      <x:c r="AJ46" s="191"/>
      <x:c r="AK46" s="191"/>
    </x:row>
    <x:row r="47">
      <x:c r="A47" s="198" t="str">
        <x:v>EURUSD</x:v>
      </x:c>
      <x:c r="B47" s="198" t="str">
        <x:v>FX_RATE</x:v>
      </x:c>
      <x:c r="C47" s="198" t="n">
        <x:v>8</x:v>
      </x:c>
      <x:c r="D47" s="198" t="str">
        <x:v>20Y</x:v>
      </x:c>
      <x:c r="E47" s="197" t="n">
        <x:v>53531</x:v>
      </x:c>
      <x:c r="F47" s="211" t="n">
        <x:f>(E47-'02_Assumptions'!$B$4)/365</x:f>
        <x:v>20.013698630136986</x:v>
      </x:c>
      <x:c r="G47" s="212" t="n">
        <x:v>0.027</x:v>
      </x:c>
      <x:c r="H47" s="212" t="n">
        <x:f>EXP(-G47*F47)</x:f>
        <x:v>0.5825327552038121</x:v>
      </x:c>
      <x:c r="I47" s="212" t="n">
        <x:f>-LN(H47/H46)/(F47-F46)</x:f>
        <x:v>0.028000273822562975</x:v>
      </x:c>
      <x:c r="J47" s="213" t="n">
        <x:v>-450</x:v>
      </x:c>
      <x:c r="K47" s="212" t="n">
        <x:f>J47/10000</x:f>
        <x:v>-0.045</x:v>
      </x:c>
      <x:c r="L47" s="212" t="n">
        <x:f>I47+K47</x:f>
        <x:v>-0.016999726177437023</x:v>
      </x:c>
      <x:c r="M47" s="212" t="n">
        <x:f>M46*EXP(-L47*(F47-F46))</x:f>
        <x:v>1.3273233340218034</x:v>
      </x:c>
      <x:c r="N47" s="191" t="n">
        <x:v>8</x:v>
      </x:c>
      <x:c r="O47" s="191" t="str">
        <x:v>User design / illustrative value</x:v>
      </x:c>
      <x:c r="P47" s="214" t="str">
        <x:v>=gxlCurveDiscShift(EURUSD_Step07, "20Y", -450)</x:v>
      </x:c>
      <x:c r="Q47" s="191" t="str">
        <x:v>EURUSD_Step08</x:v>
      </x:c>
      <x:c r="R47" s="191"/>
      <x:c r="S47" s="191"/>
      <x:c r="T47" s="191"/>
      <x:c r="U47" s="191"/>
      <x:c r="V47" s="191"/>
      <x:c r="W47" s="191"/>
      <x:c r="X47" s="191"/>
      <x:c r="Y47" s="191"/>
      <x:c r="Z47" s="191"/>
      <x:c r="AA47" s="191"/>
      <x:c r="AB47" s="191"/>
      <x:c r="AC47" s="191"/>
      <x:c r="AD47" s="191"/>
      <x:c r="AE47" s="191"/>
      <x:c r="AF47" s="191"/>
      <x:c r="AG47" s="191"/>
      <x:c r="AH47" s="191"/>
      <x:c r="AI47" s="191"/>
      <x:c r="AJ47" s="191"/>
      <x:c r="AK47" s="191"/>
    </x:row>
    <x:row r="48">
      <x:c r="A48" s="198" t="str">
        <x:v>EURUSD</x:v>
      </x:c>
      <x:c r="B48" s="198" t="str">
        <x:v>FX_RATE</x:v>
      </x:c>
      <x:c r="C48" s="198" t="n">
        <x:v>9</x:v>
      </x:c>
      <x:c r="D48" s="198" t="str">
        <x:v>30Y</x:v>
      </x:c>
      <x:c r="E48" s="197" t="n">
        <x:v>57184</x:v>
      </x:c>
      <x:c r="F48" s="211" t="n">
        <x:f>(E48-'02_Assumptions'!$B$4)/365</x:f>
        <x:v>30.02191780821918</x:v>
      </x:c>
      <x:c r="G48" s="212" t="n">
        <x:v>0.0275</x:v>
      </x:c>
      <x:c r="H48" s="212" t="n">
        <x:f>EXP(-G48*F48)</x:f>
        <x:v>0.4379709304139938</x:v>
      </x:c>
      <x:c r="I48" s="212" t="n">
        <x:f>-LN(H48/H47)/(F48-F47)</x:f>
        <x:v>0.02849986312619764</x:v>
      </x:c>
      <x:c r="J48" s="213" t="n">
        <x:v>-480</x:v>
      </x:c>
      <x:c r="K48" s="212" t="n">
        <x:f>J48/10000</x:f>
        <x:v>-0.048</x:v>
      </x:c>
      <x:c r="L48" s="212" t="n">
        <x:f>I48+K48</x:f>
        <x:v>-0.01950013687380236</x:v>
      </x:c>
      <x:c r="M48" s="212" t="n">
        <x:f>M47*EXP(-L48*(F48-F47))</x:f>
        <x:v>1.613371400925859</x:v>
      </x:c>
      <x:c r="N48" s="191" t="n">
        <x:v>9</x:v>
      </x:c>
      <x:c r="O48" s="191" t="str">
        <x:v>User design / illustrative value</x:v>
      </x:c>
      <x:c r="P48" s="214" t="str">
        <x:v>=gxlCurveDiscShift(EURUSD_Step08, "30Y", -480)</x:v>
      </x:c>
      <x:c r="Q48" s="191" t="str">
        <x:v>EURUSD_Step09</x:v>
      </x:c>
      <x:c r="R48" s="191"/>
      <x:c r="S48" s="191"/>
      <x:c r="T48" s="191"/>
      <x:c r="U48" s="191"/>
      <x:c r="V48" s="191"/>
      <x:c r="W48" s="191"/>
      <x:c r="X48" s="191"/>
      <x:c r="Y48" s="191"/>
      <x:c r="Z48" s="191"/>
      <x:c r="AA48" s="191"/>
      <x:c r="AB48" s="191"/>
      <x:c r="AC48" s="191"/>
      <x:c r="AD48" s="191"/>
      <x:c r="AE48" s="191"/>
      <x:c r="AF48" s="191"/>
      <x:c r="AG48" s="191"/>
      <x:c r="AH48" s="191"/>
      <x:c r="AI48" s="191"/>
      <x:c r="AJ48" s="191"/>
      <x:c r="AK48" s="191"/>
    </x:row>
    <x:row r="49">
      <x:c r="A49" s="198" t="str">
        <x:v>ESTRN</x:v>
      </x:c>
      <x:c r="B49" s="198" t="str">
        <x:v>IR_RATE</x:v>
      </x:c>
      <x:c r="C49" s="198" t="n">
        <x:v>1</x:v>
      </x:c>
      <x:c r="D49" s="198" t="str">
        <x:v>3M</x:v>
      </x:c>
      <x:c r="E49" s="197" t="n">
        <x:v>46318</x:v>
      </x:c>
      <x:c r="F49" s="211" t="n">
        <x:f>(E49-'02_Assumptions'!$B$4)/365</x:f>
        <x:v>0.25205479452054796</x:v>
      </x:c>
      <x:c r="G49" s="212" t="n">
        <x:v>0.027</x:v>
      </x:c>
      <x:c r="H49" s="212" t="n">
        <x:f>EXP(-G49*F49)</x:f>
        <x:v>0.9932176253803661</x:v>
      </x:c>
      <x:c r="I49" s="212" t="n">
        <x:f>-LN(H49)/F49</x:f>
        <x:v>0.026999999999999955</x:v>
      </x:c>
      <x:c r="J49" s="213" t="n">
        <x:v>-100</x:v>
      </x:c>
      <x:c r="K49" s="212" t="n">
        <x:f>J49/10000</x:f>
        <x:v>-0.01</x:v>
      </x:c>
      <x:c r="L49" s="212" t="n">
        <x:f>I49+K49</x:f>
        <x:v>0.016999999999999953</x:v>
      </x:c>
      <x:c r="M49" s="212" t="n">
        <x:f>EXP(-L49*F49)</x:f>
        <x:v>0.9957242357138482</x:v>
      </x:c>
      <x:c r="N49" s="191" t="n">
        <x:v>1</x:v>
      </x:c>
      <x:c r="O49" s="191" t="str">
        <x:v>User design / illustrative value</x:v>
      </x:c>
      <x:c r="P49" s="214" t="str">
        <x:v>=gxlCurveDiscShift(Base_ESTRN, "3M", -100)</x:v>
      </x:c>
      <x:c r="Q49" s="191" t="str">
        <x:v>ESTRN_Step01</x:v>
      </x:c>
      <x:c r="R49" s="191"/>
      <x:c r="S49" s="191"/>
      <x:c r="T49" s="191"/>
      <x:c r="U49" s="191"/>
      <x:c r="V49" s="191"/>
      <x:c r="W49" s="191"/>
      <x:c r="X49" s="191"/>
      <x:c r="Y49" s="191"/>
      <x:c r="Z49" s="191"/>
      <x:c r="AA49" s="191"/>
      <x:c r="AB49" s="191"/>
      <x:c r="AC49" s="191"/>
      <x:c r="AD49" s="191"/>
      <x:c r="AE49" s="191"/>
      <x:c r="AF49" s="191"/>
      <x:c r="AG49" s="191"/>
      <x:c r="AH49" s="191"/>
      <x:c r="AI49" s="191"/>
      <x:c r="AJ49" s="191"/>
      <x:c r="AK49" s="191"/>
    </x:row>
    <x:row r="50">
      <x:c r="A50" s="198" t="str">
        <x:v>ESTRN</x:v>
      </x:c>
      <x:c r="B50" s="198" t="str">
        <x:v>IR_RATE</x:v>
      </x:c>
      <x:c r="C50" s="198" t="n">
        <x:v>2</x:v>
      </x:c>
      <x:c r="D50" s="198" t="str">
        <x:v>6M</x:v>
      </x:c>
      <x:c r="E50" s="197" t="n">
        <x:v>46410</x:v>
      </x:c>
      <x:c r="F50" s="211" t="n">
        <x:f>(E50-'02_Assumptions'!$B$4)/365</x:f>
        <x:v>0.5041095890410959</x:v>
      </x:c>
      <x:c r="G50" s="212" t="n">
        <x:v>0.0268</x:v>
      </x:c>
      <x:c r="H50" s="212" t="n">
        <x:f>EXP(-G50*F50)</x:f>
        <x:v>0.9865807153118463</x:v>
      </x:c>
      <x:c r="I50" s="212" t="n">
        <x:f>-LN(H50/H49)/(F50-F49)</x:f>
        <x:v>0.02660000000000024</x:v>
      </x:c>
      <x:c r="J50" s="213" t="n">
        <x:v>-115</x:v>
      </x:c>
      <x:c r="K50" s="212" t="n">
        <x:f>J50/10000</x:f>
        <x:v>-0.0115</x:v>
      </x:c>
      <x:c r="L50" s="212" t="n">
        <x:f>I50+K50</x:f>
        <x:v>0.015100000000000242</x:v>
      </x:c>
      <x:c r="M50" s="212" t="n">
        <x:f>M49*EXP(-L50*(F50-F49))</x:f>
        <x:v>0.9919416848049198</x:v>
      </x:c>
      <x:c r="N50" s="191" t="n">
        <x:v>2</x:v>
      </x:c>
      <x:c r="O50" s="191" t="str">
        <x:v>User design / illustrative value</x:v>
      </x:c>
      <x:c r="P50" s="214" t="str">
        <x:v>=gxlCurveDiscShift(ESTRN_Step01, "6M", -115)</x:v>
      </x:c>
      <x:c r="Q50" s="191" t="str">
        <x:v>ESTRN_Step02</x:v>
      </x:c>
      <x:c r="R50" s="191"/>
      <x:c r="S50" s="191"/>
      <x:c r="T50" s="191"/>
      <x:c r="U50" s="191"/>
      <x:c r="V50" s="191"/>
      <x:c r="W50" s="191"/>
      <x:c r="X50" s="191"/>
      <x:c r="Y50" s="191"/>
      <x:c r="Z50" s="191"/>
      <x:c r="AA50" s="191"/>
      <x:c r="AB50" s="191"/>
      <x:c r="AC50" s="191"/>
      <x:c r="AD50" s="191"/>
      <x:c r="AE50" s="191"/>
      <x:c r="AF50" s="191"/>
      <x:c r="AG50" s="191"/>
      <x:c r="AH50" s="191"/>
      <x:c r="AI50" s="191"/>
      <x:c r="AJ50" s="191"/>
      <x:c r="AK50" s="191"/>
    </x:row>
    <x:row r="51">
      <x:c r="A51" s="198" t="str">
        <x:v>ESTRN</x:v>
      </x:c>
      <x:c r="B51" s="198" t="str">
        <x:v>IR_RATE</x:v>
      </x:c>
      <x:c r="C51" s="198" t="n">
        <x:v>3</x:v>
      </x:c>
      <x:c r="D51" s="198" t="str">
        <x:v>1Y</x:v>
      </x:c>
      <x:c r="E51" s="197" t="n">
        <x:v>46591</x:v>
      </x:c>
      <x:c r="F51" s="211" t="n">
        <x:f>(E51-'02_Assumptions'!$B$4)/365</x:f>
        <x:v>1</x:v>
      </x:c>
      <x:c r="G51" s="212" t="n">
        <x:v>0.0265</x:v>
      </x:c>
      <x:c r="H51" s="212" t="n">
        <x:f>EXP(-G51*F51)</x:f>
        <x:v>0.973848043835535</x:v>
      </x:c>
      <x:c r="I51" s="212" t="n">
        <x:f>-LN(H51/H50)/(F51-F50)</x:f>
        <x:v>0.026195027624309277</x:v>
      </x:c>
      <x:c r="J51" s="213" t="n">
        <x:v>-130</x:v>
      </x:c>
      <x:c r="K51" s="212" t="n">
        <x:f>J51/10000</x:f>
        <x:v>-0.013</x:v>
      </x:c>
      <x:c r="L51" s="212" t="n">
        <x:f>I51+K51</x:f>
        <x:v>0.013195027624309278</x:v>
      </x:c>
      <x:c r="M51" s="212" t="n">
        <x:f>M50*EXP(-L51*(F51-F50))</x:f>
        <x:v>0.9854723135686321</x:v>
      </x:c>
      <x:c r="N51" s="191" t="n">
        <x:v>3</x:v>
      </x:c>
      <x:c r="O51" s="191" t="str">
        <x:v>User design / illustrative value</x:v>
      </x:c>
      <x:c r="P51" s="214" t="str">
        <x:v>=gxlCurveDiscShift(ESTRN_Step02, "1Y", -130)</x:v>
      </x:c>
      <x:c r="Q51" s="191" t="str">
        <x:v>ESTRN_Step03</x:v>
      </x:c>
      <x:c r="R51" s="191"/>
      <x:c r="S51" s="191"/>
      <x:c r="T51" s="191"/>
      <x:c r="U51" s="191"/>
      <x:c r="V51" s="191"/>
      <x:c r="W51" s="191"/>
      <x:c r="X51" s="191"/>
      <x:c r="Y51" s="191"/>
      <x:c r="Z51" s="191"/>
      <x:c r="AA51" s="191"/>
      <x:c r="AB51" s="191"/>
      <x:c r="AC51" s="191"/>
      <x:c r="AD51" s="191"/>
      <x:c r="AE51" s="191"/>
      <x:c r="AF51" s="191"/>
      <x:c r="AG51" s="191"/>
      <x:c r="AH51" s="191"/>
      <x:c r="AI51" s="191"/>
      <x:c r="AJ51" s="191"/>
      <x:c r="AK51" s="191"/>
    </x:row>
    <x:row r="52">
      <x:c r="A52" s="198" t="str">
        <x:v>ESTRN</x:v>
      </x:c>
      <x:c r="B52" s="198" t="str">
        <x:v>IR_RATE</x:v>
      </x:c>
      <x:c r="C52" s="198" t="n">
        <x:v>4</x:v>
      </x:c>
      <x:c r="D52" s="198" t="str">
        <x:v>2Y</x:v>
      </x:c>
      <x:c r="E52" s="197" t="n">
        <x:v>46957</x:v>
      </x:c>
      <x:c r="F52" s="211" t="n">
        <x:f>(E52-'02_Assumptions'!$B$4)/365</x:f>
        <x:v>2.0027397260273974</x:v>
      </x:c>
      <x:c r="G52" s="212" t="n">
        <x:v>0.026</x:v>
      </x:c>
      <x:c r="H52" s="212" t="n">
        <x:f>EXP(-G52*F52)</x:f>
        <x:v>0.9492612458252067</x:v>
      </x:c>
      <x:c r="I52" s="212" t="n">
        <x:f>-LN(H52/H51)/(F52-F51)</x:f>
        <x:v>0.02550136612021856</x:v>
      </x:c>
      <x:c r="J52" s="213" t="n">
        <x:v>-145</x:v>
      </x:c>
      <x:c r="K52" s="212" t="n">
        <x:f>J52/10000</x:f>
        <x:v>-0.0145</x:v>
      </x:c>
      <x:c r="L52" s="212" t="n">
        <x:f>I52+K52</x:f>
        <x:v>0.011001366120218558</x:v>
      </x:c>
      <x:c r="M52" s="212" t="n">
        <x:f>M51*EXP(-L52*(F52-F51))</x:f>
        <x:v>0.9746608122084862</x:v>
      </x:c>
      <x:c r="N52" s="191" t="n">
        <x:v>4</x:v>
      </x:c>
      <x:c r="O52" s="191" t="str">
        <x:v>User design / illustrative value</x:v>
      </x:c>
      <x:c r="P52" s="214" t="str">
        <x:v>=gxlCurveDiscShift(ESTRN_Step03, "2Y", -145)</x:v>
      </x:c>
      <x:c r="Q52" s="191" t="str">
        <x:v>ESTRN_Step04</x:v>
      </x:c>
      <x:c r="R52" s="191"/>
      <x:c r="S52" s="191"/>
      <x:c r="T52" s="191"/>
      <x:c r="U52" s="191"/>
      <x:c r="V52" s="191"/>
      <x:c r="W52" s="191"/>
      <x:c r="X52" s="191"/>
      <x:c r="Y52" s="191"/>
      <x:c r="Z52" s="191"/>
      <x:c r="AA52" s="191"/>
      <x:c r="AB52" s="191"/>
      <x:c r="AC52" s="191"/>
      <x:c r="AD52" s="191"/>
      <x:c r="AE52" s="191"/>
      <x:c r="AF52" s="191"/>
      <x:c r="AG52" s="191"/>
      <x:c r="AH52" s="191"/>
      <x:c r="AI52" s="191"/>
      <x:c r="AJ52" s="191"/>
      <x:c r="AK52" s="191"/>
    </x:row>
    <x:row r="53">
      <x:c r="A53" s="198" t="str">
        <x:v>ESTRN</x:v>
      </x:c>
      <x:c r="B53" s="198" t="str">
        <x:v>IR_RATE</x:v>
      </x:c>
      <x:c r="C53" s="198" t="n">
        <x:v>5</x:v>
      </x:c>
      <x:c r="D53" s="198" t="str">
        <x:v>3Y</x:v>
      </x:c>
      <x:c r="E53" s="197" t="n">
        <x:v>47322</x:v>
      </x:c>
      <x:c r="F53" s="211" t="n">
        <x:f>(E53-'02_Assumptions'!$B$4)/365</x:f>
        <x:v>3.0027397260273974</x:v>
      </x:c>
      <x:c r="G53" s="212" t="n">
        <x:v>0.0258</x:v>
      </x:c>
      <x:c r="H53" s="212" t="n">
        <x:f>EXP(-G53*F53)</x:f>
        <x:v>0.9254541537508899</x:v>
      </x:c>
      <x:c r="I53" s="212" t="n">
        <x:f>-LN(H53/H52)/(F53-F52)</x:f>
        <x:v>0.025399452054794568</x:v>
      </x:c>
      <x:c r="J53" s="213" t="n">
        <x:v>-155</x:v>
      </x:c>
      <x:c r="K53" s="212" t="n">
        <x:f>J53/10000</x:f>
        <x:v>-0.0155</x:v>
      </x:c>
      <x:c r="L53" s="212" t="n">
        <x:f>I53+K53</x:f>
        <x:v>0.009899452054794568</x:v>
      </x:c>
      <x:c r="M53" s="212" t="n">
        <x:f>M52*EXP(-L53*(F53-F52))</x:f>
        <x:v>0.9650598049910727</x:v>
      </x:c>
      <x:c r="N53" s="191" t="n">
        <x:v>5</x:v>
      </x:c>
      <x:c r="O53" s="191" t="str">
        <x:v>User design / illustrative value</x:v>
      </x:c>
      <x:c r="P53" s="214" t="str">
        <x:v>=gxlCurveDiscShift(ESTRN_Step04, "3Y", -155)</x:v>
      </x:c>
      <x:c r="Q53" s="191" t="str">
        <x:v>ESTRN_Step05</x:v>
      </x:c>
      <x:c r="R53" s="191"/>
      <x:c r="S53" s="191"/>
      <x:c r="T53" s="191"/>
      <x:c r="U53" s="191"/>
      <x:c r="V53" s="191"/>
      <x:c r="W53" s="191"/>
      <x:c r="X53" s="191"/>
      <x:c r="Y53" s="191"/>
      <x:c r="Z53" s="191"/>
      <x:c r="AA53" s="191"/>
      <x:c r="AB53" s="191"/>
      <x:c r="AC53" s="191"/>
      <x:c r="AD53" s="191"/>
      <x:c r="AE53" s="191"/>
      <x:c r="AF53" s="191"/>
      <x:c r="AG53" s="191"/>
      <x:c r="AH53" s="191"/>
      <x:c r="AI53" s="191"/>
      <x:c r="AJ53" s="191"/>
      <x:c r="AK53" s="191"/>
    </x:row>
    <x:row r="54">
      <x:c r="A54" s="198" t="str">
        <x:v>ESTRN</x:v>
      </x:c>
      <x:c r="B54" s="198" t="str">
        <x:v>IR_RATE</x:v>
      </x:c>
      <x:c r="C54" s="198" t="n">
        <x:v>6</x:v>
      </x:c>
      <x:c r="D54" s="198" t="str">
        <x:v>5Y</x:v>
      </x:c>
      <x:c r="E54" s="197" t="n">
        <x:v>48052</x:v>
      </x:c>
      <x:c r="F54" s="211" t="n">
        <x:f>(E54-'02_Assumptions'!$B$4)/365</x:f>
        <x:v>5.002739726027397</x:v>
      </x:c>
      <x:c r="G54" s="212" t="n">
        <x:v>0.0255</x:v>
      </x:c>
      <x:c r="H54" s="212" t="n">
        <x:f>EXP(-G54*F54)</x:f>
        <x:v>0.8802319180314878</x:v>
      </x:c>
      <x:c r="I54" s="212" t="n">
        <x:f>-LN(H54/H53)/(F54-F53)</x:f>
        <x:v>0.025049589041095867</x:v>
      </x:c>
      <x:c r="J54" s="213" t="n">
        <x:v>-160</x:v>
      </x:c>
      <x:c r="K54" s="212" t="n">
        <x:f>J54/10000</x:f>
        <x:v>-0.016</x:v>
      </x:c>
      <x:c r="L54" s="212" t="n">
        <x:f>I54+K54</x:f>
        <x:v>0.009049589041095867</x:v>
      </x:c>
      <x:c r="M54" s="212" t="n">
        <x:f>M53*EXP(-L54*(F54-F53))</x:f>
        <x:v>0.9477501336555517</x:v>
      </x:c>
      <x:c r="N54" s="191" t="n">
        <x:v>6</x:v>
      </x:c>
      <x:c r="O54" s="191" t="str">
        <x:v>User design / illustrative value</x:v>
      </x:c>
      <x:c r="P54" s="214" t="str">
        <x:v>=gxlCurveDiscShift(ESTRN_Step05, "5Y", -160)</x:v>
      </x:c>
      <x:c r="Q54" s="191" t="str">
        <x:v>ESTRN_Step06</x:v>
      </x:c>
      <x:c r="R54" s="191"/>
      <x:c r="S54" s="191"/>
      <x:c r="T54" s="191"/>
      <x:c r="U54" s="191"/>
      <x:c r="V54" s="191"/>
      <x:c r="W54" s="191"/>
      <x:c r="X54" s="191"/>
      <x:c r="Y54" s="191"/>
      <x:c r="Z54" s="191"/>
      <x:c r="AA54" s="191"/>
      <x:c r="AB54" s="191"/>
      <x:c r="AC54" s="191"/>
      <x:c r="AD54" s="191"/>
      <x:c r="AE54" s="191"/>
      <x:c r="AF54" s="191"/>
      <x:c r="AG54" s="191"/>
      <x:c r="AH54" s="191"/>
      <x:c r="AI54" s="191"/>
      <x:c r="AJ54" s="191"/>
      <x:c r="AK54" s="191"/>
    </x:row>
    <x:row r="55">
      <x:c r="A55" s="198" t="str">
        <x:v>ESTRN</x:v>
      </x:c>
      <x:c r="B55" s="198" t="str">
        <x:v>IR_RATE</x:v>
      </x:c>
      <x:c r="C55" s="198" t="n">
        <x:v>7</x:v>
      </x:c>
      <x:c r="D55" s="198" t="str">
        <x:v>10Y</x:v>
      </x:c>
      <x:c r="E55" s="197" t="n">
        <x:v>49879</x:v>
      </x:c>
      <x:c r="F55" s="211" t="n">
        <x:f>(E55-'02_Assumptions'!$B$4)/365</x:f>
        <x:v>10.008219178082191</x:v>
      </x:c>
      <x:c r="G55" s="212" t="n">
        <x:v>0.0258</x:v>
      </x:c>
      <x:c r="H55" s="212" t="n">
        <x:f>EXP(-G55*F55)</x:f>
        <x:v>0.7724314169532444</x:v>
      </x:c>
      <x:c r="I55" s="212" t="n">
        <x:f>-LN(H55/H54)/(F55-F54)</x:f>
        <x:v>0.026099835796387513</x:v>
      </x:c>
      <x:c r="J55" s="213" t="n">
        <x:v>-150</x:v>
      </x:c>
      <x:c r="K55" s="212" t="n">
        <x:f>J55/10000</x:f>
        <x:v>-0.015</x:v>
      </x:c>
      <x:c r="L55" s="212" t="n">
        <x:f>I55+K55</x:f>
        <x:v>0.011099835796387514</x:v>
      </x:c>
      <x:c r="M55" s="212" t="n">
        <x:f>M54*EXP(-L55*(F55-F54))</x:f>
        <x:v>0.8965292285059182</x:v>
      </x:c>
      <x:c r="N55" s="191" t="n">
        <x:v>7</x:v>
      </x:c>
      <x:c r="O55" s="191" t="str">
        <x:v>User design / illustrative value</x:v>
      </x:c>
      <x:c r="P55" s="214" t="str">
        <x:v>=gxlCurveDiscShift(ESTRN_Step06, "10Y", -150)</x:v>
      </x:c>
      <x:c r="Q55" s="191" t="str">
        <x:v>ESTRN_Step07</x:v>
      </x:c>
      <x:c r="R55" s="191"/>
      <x:c r="S55" s="191"/>
      <x:c r="T55" s="191"/>
      <x:c r="U55" s="191"/>
      <x:c r="V55" s="191"/>
      <x:c r="W55" s="191"/>
      <x:c r="X55" s="191"/>
      <x:c r="Y55" s="191"/>
      <x:c r="Z55" s="191"/>
      <x:c r="AA55" s="191"/>
      <x:c r="AB55" s="191"/>
      <x:c r="AC55" s="191"/>
      <x:c r="AD55" s="191"/>
      <x:c r="AE55" s="191"/>
      <x:c r="AF55" s="191"/>
      <x:c r="AG55" s="191"/>
      <x:c r="AH55" s="191"/>
      <x:c r="AI55" s="191"/>
      <x:c r="AJ55" s="191"/>
      <x:c r="AK55" s="191"/>
    </x:row>
    <x:row r="56">
      <x:c r="A56" s="198" t="str">
        <x:v>ESTRN</x:v>
      </x:c>
      <x:c r="B56" s="198" t="str">
        <x:v>IR_RATE</x:v>
      </x:c>
      <x:c r="C56" s="198" t="n">
        <x:v>8</x:v>
      </x:c>
      <x:c r="D56" s="198" t="str">
        <x:v>20Y</x:v>
      </x:c>
      <x:c r="E56" s="197" t="n">
        <x:v>53531</x:v>
      </x:c>
      <x:c r="F56" s="211" t="n">
        <x:f>(E56-'02_Assumptions'!$B$4)/365</x:f>
        <x:v>20.013698630136986</x:v>
      </x:c>
      <x:c r="G56" s="212" t="n">
        <x:v>0.0262</x:v>
      </x:c>
      <x:c r="H56" s="212" t="n">
        <x:f>EXP(-G56*F56)</x:f>
        <x:v>0.5919347296716367</x:v>
      </x:c>
      <x:c r="I56" s="212" t="n">
        <x:f>-LN(H56/H55)/(F56-F55)</x:f>
        <x:v>0.026600109529025206</x:v>
      </x:c>
      <x:c r="J56" s="213" t="n">
        <x:v>-135</x:v>
      </x:c>
      <x:c r="K56" s="212" t="n">
        <x:f>J56/10000</x:f>
        <x:v>-0.0135</x:v>
      </x:c>
      <x:c r="L56" s="212" t="n">
        <x:f>I56+K56</x:f>
        <x:v>0.013100109529025206</x:v>
      </x:c>
      <x:c r="M56" s="212" t="n">
        <x:f>M55*EXP(-L56*(F56-F55))</x:f>
        <x:v>0.7863940626042771</x:v>
      </x:c>
      <x:c r="N56" s="191" t="n">
        <x:v>8</x:v>
      </x:c>
      <x:c r="O56" s="191" t="str">
        <x:v>User design / illustrative value</x:v>
      </x:c>
      <x:c r="P56" s="214" t="str">
        <x:v>=gxlCurveDiscShift(ESTRN_Step07, "20Y", -135)</x:v>
      </x:c>
      <x:c r="Q56" s="191" t="str">
        <x:v>ESTRN_Step08</x:v>
      </x:c>
      <x:c r="R56" s="191"/>
      <x:c r="S56" s="191"/>
      <x:c r="T56" s="191"/>
      <x:c r="U56" s="191"/>
      <x:c r="V56" s="191"/>
      <x:c r="W56" s="191"/>
      <x:c r="X56" s="191"/>
      <x:c r="Y56" s="191"/>
      <x:c r="Z56" s="191"/>
      <x:c r="AA56" s="191"/>
      <x:c r="AB56" s="191"/>
      <x:c r="AC56" s="191"/>
      <x:c r="AD56" s="191"/>
      <x:c r="AE56" s="191"/>
      <x:c r="AF56" s="191"/>
      <x:c r="AG56" s="191"/>
      <x:c r="AH56" s="191"/>
      <x:c r="AI56" s="191"/>
      <x:c r="AJ56" s="191"/>
      <x:c r="AK56" s="191"/>
    </x:row>
    <x:row r="57">
      <x:c r="A57" s="198" t="str">
        <x:v>ESTRN</x:v>
      </x:c>
      <x:c r="B57" s="198" t="str">
        <x:v>IR_RATE</x:v>
      </x:c>
      <x:c r="C57" s="198" t="n">
        <x:v>9</x:v>
      </x:c>
      <x:c r="D57" s="198" t="str">
        <x:v>30Y</x:v>
      </x:c>
      <x:c r="E57" s="197" t="n">
        <x:v>57184</x:v>
      </x:c>
      <x:c r="F57" s="211" t="n">
        <x:f>(E57-'02_Assumptions'!$B$4)/365</x:f>
        <x:v>30.02191780821918</x:v>
      </x:c>
      <x:c r="G57" s="212" t="n">
        <x:v>0.0265</x:v>
      </x:c>
      <x:c r="H57" s="212" t="n">
        <x:f>EXP(-G57*F57)</x:f>
        <x:v>0.4513190228003237</x:v>
      </x:c>
      <x:c r="I57" s="212" t="n">
        <x:f>-LN(H57/H56)/(F57-F56)</x:f>
        <x:v>0.02709991787571858</x:v>
      </x:c>
      <x:c r="J57" s="213" t="n">
        <x:v>-120</x:v>
      </x:c>
      <x:c r="K57" s="212" t="n">
        <x:f>J57/10000</x:f>
        <x:v>-0.012</x:v>
      </x:c>
      <x:c r="L57" s="212" t="n">
        <x:f>I57+K57</x:f>
        <x:v>0.015099917875718578</x:v>
      </x:c>
      <x:c r="M57" s="212" t="n">
        <x:f>M56*EXP(-L57*(F57-F56))</x:f>
        <x:v>0.6760957655585965</x:v>
      </x:c>
      <x:c r="N57" s="191" t="n">
        <x:v>9</x:v>
      </x:c>
      <x:c r="O57" s="191" t="str">
        <x:v>User design / illustrative value</x:v>
      </x:c>
      <x:c r="P57" s="214" t="str">
        <x:v>=gxlCurveDiscShift(ESTRN_Step08, "30Y", -120)</x:v>
      </x:c>
      <x:c r="Q57" s="191" t="str">
        <x:v>ESTRN_Step09</x:v>
      </x:c>
      <x:c r="R57" s="191"/>
      <x:c r="S57" s="191"/>
      <x:c r="T57" s="191"/>
      <x:c r="U57" s="191"/>
      <x:c r="V57" s="191"/>
      <x:c r="W57" s="191"/>
      <x:c r="X57" s="191"/>
      <x:c r="Y57" s="191"/>
      <x:c r="Z57" s="191"/>
      <x:c r="AA57" s="191"/>
      <x:c r="AB57" s="191"/>
      <x:c r="AC57" s="191"/>
      <x:c r="AD57" s="191"/>
      <x:c r="AE57" s="191"/>
      <x:c r="AF57" s="191"/>
      <x:c r="AG57" s="191"/>
      <x:c r="AH57" s="191"/>
      <x:c r="AI57" s="191"/>
      <x:c r="AJ57" s="191"/>
      <x:c r="AK57" s="191"/>
    </x:row>
    <x:row r="58">
      <x:c r="A58" s="191"/>
      <x:c r="B58" s="191"/>
      <x:c r="C58" s="191"/>
      <x:c r="D58" s="191"/>
      <x:c r="E58" s="191"/>
      <x:c r="F58" s="191"/>
      <x:c r="G58" s="191"/>
      <x:c r="H58" s="191"/>
      <x:c r="I58" s="191"/>
      <x:c r="J58" s="191"/>
      <x:c r="K58" s="191"/>
      <x:c r="L58" s="191"/>
      <x:c r="M58" s="191"/>
      <x:c r="N58" s="191"/>
      <x:c r="O58" s="191"/>
      <x:c r="P58" s="191"/>
      <x:c r="Q58" s="191"/>
      <x:c r="R58" s="191"/>
      <x:c r="S58" s="191"/>
      <x:c r="T58" s="191"/>
      <x:c r="U58" s="191"/>
      <x:c r="V58" s="191"/>
      <x:c r="W58" s="191"/>
      <x:c r="X58" s="191"/>
      <x:c r="Y58" s="191"/>
      <x:c r="Z58" s="191"/>
      <x:c r="AA58" s="191"/>
      <x:c r="AB58" s="191"/>
      <x:c r="AC58" s="191"/>
      <x:c r="AD58" s="191"/>
      <x:c r="AE58" s="191"/>
      <x:c r="AF58" s="191"/>
      <x:c r="AG58" s="191"/>
      <x:c r="AH58" s="191"/>
      <x:c r="AI58" s="191"/>
      <x:c r="AJ58" s="191"/>
      <x:c r="AK58" s="191"/>
    </x:row>
    <x:row r="59">
      <x:c r="A59" s="191"/>
      <x:c r="B59" s="191"/>
      <x:c r="C59" s="191"/>
      <x:c r="D59" s="191"/>
      <x:c r="E59" s="191"/>
      <x:c r="F59" s="191"/>
      <x:c r="G59" s="191"/>
      <x:c r="H59" s="191"/>
      <x:c r="I59" s="191"/>
      <x:c r="J59" s="191"/>
      <x:c r="K59" s="191"/>
      <x:c r="L59" s="191"/>
      <x:c r="M59" s="191"/>
      <x:c r="N59" s="191"/>
      <x:c r="O59" s="191"/>
      <x:c r="P59" s="191"/>
      <x:c r="Q59" s="191"/>
      <x:c r="R59" s="191"/>
      <x:c r="S59" s="191"/>
      <x:c r="T59" s="191"/>
      <x:c r="U59" s="191"/>
      <x:c r="V59" s="191"/>
      <x:c r="W59" s="191"/>
      <x:c r="X59" s="191"/>
      <x:c r="Y59" s="191"/>
      <x:c r="Z59" s="191"/>
      <x:c r="AA59" s="191"/>
      <x:c r="AB59" s="191"/>
      <x:c r="AC59" s="191"/>
      <x:c r="AD59" s="191"/>
      <x:c r="AE59" s="191"/>
      <x:c r="AF59" s="191"/>
      <x:c r="AG59" s="191"/>
      <x:c r="AH59" s="191"/>
      <x:c r="AI59" s="191"/>
      <x:c r="AJ59" s="191"/>
      <x:c r="AK59" s="191"/>
    </x:row>
    <x:row r="60">
      <x:c r="A60" s="191"/>
      <x:c r="B60" s="191"/>
      <x:c r="C60" s="191"/>
      <x:c r="D60" s="191"/>
      <x:c r="E60" s="191"/>
      <x:c r="F60" s="191"/>
      <x:c r="G60" s="191"/>
      <x:c r="H60" s="191"/>
      <x:c r="I60" s="191"/>
      <x:c r="J60" s="191"/>
      <x:c r="K60" s="191"/>
      <x:c r="L60" s="191"/>
      <x:c r="M60" s="191"/>
      <x:c r="N60" s="191"/>
      <x:c r="O60" s="191"/>
      <x:c r="P60" s="191"/>
      <x:c r="Q60" s="191"/>
      <x:c r="R60" s="191"/>
      <x:c r="S60" s="191"/>
      <x:c r="T60" s="191"/>
      <x:c r="U60" s="191"/>
      <x:c r="V60" s="191"/>
      <x:c r="W60" s="191"/>
      <x:c r="X60" s="191"/>
      <x:c r="Y60" s="191"/>
      <x:c r="Z60" s="191"/>
      <x:c r="AA60" s="191"/>
      <x:c r="AB60" s="191"/>
      <x:c r="AC60" s="191"/>
      <x:c r="AD60" s="191"/>
      <x:c r="AE60" s="191"/>
      <x:c r="AF60" s="191"/>
      <x:c r="AG60" s="191"/>
      <x:c r="AH60" s="191"/>
      <x:c r="AI60" s="191"/>
      <x:c r="AJ60" s="191"/>
      <x:c r="AK60" s="191"/>
    </x:row>
    <x:row r="61">
      <x:c r="A61" s="191"/>
      <x:c r="B61" s="191"/>
      <x:c r="C61" s="191"/>
      <x:c r="D61" s="191"/>
      <x:c r="E61" s="191"/>
      <x:c r="F61" s="191"/>
      <x:c r="G61" s="191"/>
      <x:c r="H61" s="191"/>
      <x:c r="I61" s="191"/>
      <x:c r="J61" s="191"/>
      <x:c r="K61" s="191"/>
      <x:c r="L61" s="191"/>
      <x:c r="M61" s="191"/>
      <x:c r="N61" s="191"/>
      <x:c r="O61" s="191"/>
      <x:c r="P61" s="191"/>
      <x:c r="Q61" s="191"/>
      <x:c r="R61" s="191"/>
      <x:c r="S61" s="191"/>
      <x:c r="T61" s="191"/>
      <x:c r="U61" s="191"/>
      <x:c r="V61" s="191"/>
      <x:c r="W61" s="191"/>
      <x:c r="X61" s="191"/>
      <x:c r="Y61" s="191"/>
      <x:c r="Z61" s="191"/>
      <x:c r="AA61" s="191"/>
      <x:c r="AB61" s="191"/>
      <x:c r="AC61" s="191"/>
      <x:c r="AD61" s="191"/>
      <x:c r="AE61" s="191"/>
      <x:c r="AF61" s="191"/>
      <x:c r="AG61" s="191"/>
      <x:c r="AH61" s="191"/>
      <x:c r="AI61" s="191"/>
      <x:c r="AJ61" s="191"/>
      <x:c r="AK61" s="191"/>
    </x:row>
    <x:row r="62">
      <x:c r="A62" s="191"/>
      <x:c r="B62" s="191"/>
      <x:c r="C62" s="191"/>
      <x:c r="D62" s="191"/>
      <x:c r="E62" s="191"/>
      <x:c r="F62" s="191"/>
      <x:c r="G62" s="191"/>
      <x:c r="H62" s="191"/>
      <x:c r="I62" s="191"/>
      <x:c r="J62" s="191"/>
      <x:c r="K62" s="191"/>
      <x:c r="L62" s="191"/>
      <x:c r="M62" s="191"/>
      <x:c r="N62" s="191"/>
      <x:c r="O62" s="191"/>
      <x:c r="P62" s="191"/>
      <x:c r="Q62" s="191"/>
      <x:c r="R62" s="191"/>
      <x:c r="S62" s="191"/>
      <x:c r="T62" s="191"/>
      <x:c r="U62" s="191"/>
      <x:c r="V62" s="191"/>
      <x:c r="W62" s="191"/>
      <x:c r="X62" s="191"/>
      <x:c r="Y62" s="191"/>
      <x:c r="Z62" s="191"/>
      <x:c r="AA62" s="191"/>
      <x:c r="AB62" s="191"/>
      <x:c r="AC62" s="191"/>
      <x:c r="AD62" s="191"/>
      <x:c r="AE62" s="191"/>
      <x:c r="AF62" s="191"/>
      <x:c r="AG62" s="191"/>
      <x:c r="AH62" s="191"/>
      <x:c r="AI62" s="191"/>
      <x:c r="AJ62" s="191"/>
      <x:c r="AK62" s="191"/>
    </x:row>
    <x:row r="63">
      <x:c r="A63" s="191"/>
      <x:c r="B63" s="191"/>
      <x:c r="C63" s="191"/>
      <x:c r="D63" s="191"/>
      <x:c r="E63" s="191"/>
      <x:c r="F63" s="191"/>
      <x:c r="G63" s="191"/>
      <x:c r="H63" s="191"/>
      <x:c r="I63" s="191"/>
      <x:c r="J63" s="191"/>
      <x:c r="K63" s="191"/>
      <x:c r="L63" s="191"/>
      <x:c r="M63" s="191"/>
      <x:c r="N63" s="191"/>
      <x:c r="O63" s="191"/>
      <x:c r="P63" s="191"/>
      <x:c r="Q63" s="191"/>
      <x:c r="R63" s="191"/>
      <x:c r="S63" s="191"/>
      <x:c r="T63" s="191"/>
      <x:c r="U63" s="191"/>
      <x:c r="V63" s="191"/>
      <x:c r="W63" s="191"/>
      <x:c r="X63" s="191"/>
      <x:c r="Y63" s="191"/>
      <x:c r="Z63" s="191"/>
      <x:c r="AA63" s="191"/>
      <x:c r="AB63" s="191"/>
      <x:c r="AC63" s="191"/>
      <x:c r="AD63" s="191"/>
      <x:c r="AE63" s="191"/>
      <x:c r="AF63" s="191"/>
      <x:c r="AG63" s="191"/>
      <x:c r="AH63" s="191"/>
      <x:c r="AI63" s="191"/>
      <x:c r="AJ63" s="191"/>
      <x:c r="AK63" s="191"/>
    </x:row>
    <x:row r="64">
      <x:c r="A64" s="191"/>
      <x:c r="B64" s="191"/>
      <x:c r="C64" s="191"/>
      <x:c r="D64" s="191"/>
      <x:c r="E64" s="191"/>
      <x:c r="F64" s="191"/>
      <x:c r="G64" s="191"/>
      <x:c r="H64" s="191"/>
      <x:c r="I64" s="191"/>
      <x:c r="J64" s="191"/>
      <x:c r="K64" s="191"/>
      <x:c r="L64" s="191"/>
      <x:c r="M64" s="191"/>
      <x:c r="N64" s="191"/>
      <x:c r="O64" s="191"/>
      <x:c r="P64" s="191"/>
      <x:c r="Q64" s="191"/>
      <x:c r="R64" s="191"/>
      <x:c r="S64" s="191"/>
      <x:c r="T64" s="191"/>
      <x:c r="U64" s="191"/>
      <x:c r="V64" s="191"/>
      <x:c r="W64" s="191"/>
      <x:c r="X64" s="191"/>
      <x:c r="Y64" s="191"/>
      <x:c r="Z64" s="191"/>
      <x:c r="AA64" s="191"/>
      <x:c r="AB64" s="191"/>
      <x:c r="AC64" s="191"/>
      <x:c r="AD64" s="191"/>
      <x:c r="AE64" s="191"/>
      <x:c r="AF64" s="191"/>
      <x:c r="AG64" s="191"/>
      <x:c r="AH64" s="191"/>
      <x:c r="AI64" s="191"/>
      <x:c r="AJ64" s="191"/>
      <x:c r="AK64" s="191"/>
    </x:row>
    <x:row r="65">
      <x:c r="A65" s="191"/>
      <x:c r="B65" s="191"/>
      <x:c r="C65" s="191"/>
      <x:c r="D65" s="191"/>
      <x:c r="E65" s="191"/>
      <x:c r="F65" s="191"/>
      <x:c r="G65" s="191"/>
      <x:c r="H65" s="191"/>
      <x:c r="I65" s="191"/>
      <x:c r="J65" s="191"/>
      <x:c r="K65" s="191"/>
      <x:c r="L65" s="191"/>
      <x:c r="M65" s="191"/>
      <x:c r="N65" s="191"/>
      <x:c r="O65" s="191"/>
      <x:c r="P65" s="191"/>
      <x:c r="Q65" s="191"/>
      <x:c r="R65" s="191"/>
      <x:c r="S65" s="191"/>
      <x:c r="T65" s="191"/>
      <x:c r="U65" s="191"/>
      <x:c r="V65" s="191"/>
      <x:c r="W65" s="191"/>
      <x:c r="X65" s="191"/>
      <x:c r="Y65" s="191"/>
      <x:c r="Z65" s="191"/>
      <x:c r="AA65" s="191"/>
      <x:c r="AB65" s="191"/>
      <x:c r="AC65" s="191"/>
      <x:c r="AD65" s="191"/>
      <x:c r="AE65" s="191"/>
      <x:c r="AF65" s="191"/>
      <x:c r="AG65" s="191"/>
      <x:c r="AH65" s="191"/>
      <x:c r="AI65" s="191"/>
      <x:c r="AJ65" s="191"/>
      <x:c r="AK65" s="191"/>
    </x:row>
    <x:row r="66">
      <x:c r="A66" s="191"/>
      <x:c r="B66" s="191"/>
      <x:c r="C66" s="191"/>
      <x:c r="D66" s="191"/>
      <x:c r="E66" s="191"/>
      <x:c r="F66" s="191"/>
      <x:c r="G66" s="191"/>
      <x:c r="H66" s="191"/>
      <x:c r="I66" s="191"/>
      <x:c r="J66" s="191"/>
      <x:c r="K66" s="191"/>
      <x:c r="L66" s="191"/>
      <x:c r="M66" s="191"/>
      <x:c r="N66" s="191"/>
      <x:c r="O66" s="191"/>
      <x:c r="P66" s="191"/>
      <x:c r="Q66" s="191"/>
      <x:c r="R66" s="191"/>
      <x:c r="S66" s="191"/>
      <x:c r="T66" s="191"/>
      <x:c r="U66" s="191"/>
      <x:c r="V66" s="191"/>
      <x:c r="W66" s="191"/>
      <x:c r="X66" s="191"/>
      <x:c r="Y66" s="191"/>
      <x:c r="Z66" s="191"/>
      <x:c r="AA66" s="191"/>
      <x:c r="AB66" s="191"/>
      <x:c r="AC66" s="191"/>
      <x:c r="AD66" s="191"/>
      <x:c r="AE66" s="191"/>
      <x:c r="AF66" s="191"/>
      <x:c r="AG66" s="191"/>
      <x:c r="AH66" s="191"/>
      <x:c r="AI66" s="191"/>
      <x:c r="AJ66" s="191"/>
      <x:c r="AK66" s="191"/>
    </x:row>
    <x:row r="67">
      <x:c r="A67" s="191"/>
      <x:c r="B67" s="191"/>
      <x:c r="C67" s="191"/>
      <x:c r="D67" s="191"/>
      <x:c r="E67" s="191"/>
      <x:c r="F67" s="191"/>
      <x:c r="G67" s="191"/>
      <x:c r="H67" s="191"/>
      <x:c r="I67" s="191"/>
      <x:c r="J67" s="191"/>
      <x:c r="K67" s="191"/>
      <x:c r="L67" s="191"/>
      <x:c r="M67" s="191"/>
      <x:c r="N67" s="191"/>
      <x:c r="O67" s="191"/>
      <x:c r="P67" s="191"/>
      <x:c r="Q67" s="191"/>
      <x:c r="R67" s="191"/>
      <x:c r="S67" s="191"/>
      <x:c r="T67" s="191"/>
      <x:c r="U67" s="191"/>
      <x:c r="V67" s="191"/>
      <x:c r="W67" s="191"/>
      <x:c r="X67" s="191"/>
      <x:c r="Y67" s="191"/>
      <x:c r="Z67" s="191"/>
      <x:c r="AA67" s="191"/>
      <x:c r="AB67" s="191"/>
      <x:c r="AC67" s="191"/>
      <x:c r="AD67" s="191"/>
      <x:c r="AE67" s="191"/>
      <x:c r="AF67" s="191"/>
      <x:c r="AG67" s="191"/>
      <x:c r="AH67" s="191"/>
      <x:c r="AI67" s="191"/>
      <x:c r="AJ67" s="191"/>
      <x:c r="AK67" s="191"/>
    </x:row>
    <x:row r="68">
      <x:c r="A68" s="191"/>
      <x:c r="B68" s="191"/>
      <x:c r="C68" s="191"/>
      <x:c r="D68" s="191"/>
      <x:c r="E68" s="191"/>
      <x:c r="F68" s="191"/>
      <x:c r="G68" s="191"/>
      <x:c r="H68" s="191"/>
      <x:c r="I68" s="191"/>
      <x:c r="J68" s="191"/>
      <x:c r="K68" s="191"/>
      <x:c r="L68" s="191"/>
      <x:c r="M68" s="191"/>
      <x:c r="N68" s="191"/>
      <x:c r="O68" s="191"/>
      <x:c r="P68" s="191"/>
      <x:c r="Q68" s="191"/>
      <x:c r="R68" s="191"/>
      <x:c r="S68" s="191"/>
      <x:c r="T68" s="191"/>
      <x:c r="U68" s="191"/>
      <x:c r="V68" s="191"/>
      <x:c r="W68" s="191"/>
      <x:c r="X68" s="191"/>
      <x:c r="Y68" s="191"/>
      <x:c r="Z68" s="191"/>
      <x:c r="AA68" s="191"/>
      <x:c r="AB68" s="191"/>
      <x:c r="AC68" s="191"/>
      <x:c r="AD68" s="191"/>
      <x:c r="AE68" s="191"/>
      <x:c r="AF68" s="191"/>
      <x:c r="AG68" s="191"/>
      <x:c r="AH68" s="191"/>
      <x:c r="AI68" s="191"/>
      <x:c r="AJ68" s="191"/>
      <x:c r="AK68" s="191"/>
    </x:row>
    <x:row r="69">
      <x:c r="A69" s="191"/>
      <x:c r="B69" s="191"/>
      <x:c r="C69" s="191"/>
      <x:c r="D69" s="191"/>
      <x:c r="E69" s="191"/>
      <x:c r="F69" s="191"/>
      <x:c r="G69" s="191"/>
      <x:c r="H69" s="191"/>
      <x:c r="I69" s="191"/>
      <x:c r="J69" s="191"/>
      <x:c r="K69" s="191"/>
      <x:c r="L69" s="191"/>
      <x:c r="M69" s="191"/>
      <x:c r="N69" s="191"/>
      <x:c r="O69" s="191"/>
      <x:c r="P69" s="191"/>
      <x:c r="Q69" s="191"/>
      <x:c r="R69" s="191"/>
      <x:c r="S69" s="191"/>
      <x:c r="T69" s="191"/>
      <x:c r="U69" s="191"/>
      <x:c r="V69" s="191"/>
      <x:c r="W69" s="191"/>
      <x:c r="X69" s="191"/>
      <x:c r="Y69" s="191"/>
      <x:c r="Z69" s="191"/>
      <x:c r="AA69" s="191"/>
      <x:c r="AB69" s="191"/>
      <x:c r="AC69" s="191"/>
      <x:c r="AD69" s="191"/>
      <x:c r="AE69" s="191"/>
      <x:c r="AF69" s="191"/>
      <x:c r="AG69" s="191"/>
      <x:c r="AH69" s="191"/>
      <x:c r="AI69" s="191"/>
      <x:c r="AJ69" s="191"/>
      <x:c r="AK69" s="191"/>
    </x:row>
    <x:row r="70">
      <x:c r="A70" s="191"/>
      <x:c r="B70" s="191"/>
      <x:c r="C70" s="191"/>
      <x:c r="D70" s="191"/>
      <x:c r="E70" s="191"/>
      <x:c r="F70" s="191"/>
      <x:c r="G70" s="191"/>
      <x:c r="H70" s="191"/>
      <x:c r="I70" s="191"/>
      <x:c r="J70" s="191"/>
      <x:c r="K70" s="191"/>
      <x:c r="L70" s="191"/>
      <x:c r="M70" s="191"/>
      <x:c r="N70" s="191"/>
      <x:c r="O70" s="191"/>
      <x:c r="P70" s="191"/>
      <x:c r="Q70" s="191"/>
      <x:c r="R70" s="191"/>
      <x:c r="S70" s="191"/>
      <x:c r="T70" s="191"/>
      <x:c r="U70" s="191"/>
      <x:c r="V70" s="191"/>
      <x:c r="W70" s="191"/>
      <x:c r="X70" s="191"/>
      <x:c r="Y70" s="191"/>
      <x:c r="Z70" s="191"/>
      <x:c r="AA70" s="191"/>
      <x:c r="AB70" s="191"/>
      <x:c r="AC70" s="191"/>
      <x:c r="AD70" s="191"/>
      <x:c r="AE70" s="191"/>
      <x:c r="AF70" s="191"/>
      <x:c r="AG70" s="191"/>
      <x:c r="AH70" s="191"/>
      <x:c r="AI70" s="191"/>
      <x:c r="AJ70" s="191"/>
      <x:c r="AK70" s="191"/>
    </x:row>
    <x:row r="71">
      <x:c r="A71" s="191"/>
      <x:c r="B71" s="191"/>
      <x:c r="C71" s="191"/>
      <x:c r="D71" s="191"/>
      <x:c r="E71" s="191"/>
      <x:c r="F71" s="191"/>
      <x:c r="G71" s="191"/>
      <x:c r="H71" s="191"/>
      <x:c r="I71" s="191"/>
      <x:c r="J71" s="191"/>
      <x:c r="K71" s="191"/>
      <x:c r="L71" s="191"/>
      <x:c r="M71" s="191"/>
      <x:c r="N71" s="191"/>
      <x:c r="O71" s="191"/>
      <x:c r="P71" s="191"/>
      <x:c r="Q71" s="191"/>
      <x:c r="R71" s="191"/>
      <x:c r="S71" s="191"/>
      <x:c r="T71" s="191"/>
      <x:c r="U71" s="191"/>
      <x:c r="V71" s="191"/>
      <x:c r="W71" s="191"/>
      <x:c r="X71" s="191"/>
      <x:c r="Y71" s="191"/>
      <x:c r="Z71" s="191"/>
      <x:c r="AA71" s="191"/>
      <x:c r="AB71" s="191"/>
      <x:c r="AC71" s="191"/>
      <x:c r="AD71" s="191"/>
      <x:c r="AE71" s="191"/>
      <x:c r="AF71" s="191"/>
      <x:c r="AG71" s="191"/>
      <x:c r="AH71" s="191"/>
      <x:c r="AI71" s="191"/>
      <x:c r="AJ71" s="191"/>
      <x:c r="AK71" s="191"/>
    </x:row>
    <x:row r="72">
      <x:c r="A72" s="191"/>
      <x:c r="B72" s="191"/>
      <x:c r="C72" s="191"/>
      <x:c r="D72" s="191"/>
      <x:c r="E72" s="191"/>
      <x:c r="F72" s="191"/>
      <x:c r="G72" s="191"/>
      <x:c r="H72" s="191"/>
      <x:c r="I72" s="191"/>
      <x:c r="J72" s="191"/>
      <x:c r="K72" s="191"/>
      <x:c r="L72" s="191"/>
      <x:c r="M72" s="191"/>
      <x:c r="N72" s="191"/>
      <x:c r="O72" s="191"/>
      <x:c r="P72" s="191"/>
      <x:c r="Q72" s="191"/>
      <x:c r="R72" s="191"/>
      <x:c r="S72" s="191"/>
      <x:c r="T72" s="191"/>
      <x:c r="U72" s="191"/>
      <x:c r="V72" s="191"/>
      <x:c r="W72" s="191"/>
      <x:c r="X72" s="191"/>
      <x:c r="Y72" s="191"/>
      <x:c r="Z72" s="191"/>
      <x:c r="AA72" s="191"/>
      <x:c r="AB72" s="191"/>
      <x:c r="AC72" s="191"/>
      <x:c r="AD72" s="191"/>
      <x:c r="AE72" s="191"/>
      <x:c r="AF72" s="191"/>
      <x:c r="AG72" s="191"/>
      <x:c r="AH72" s="191"/>
      <x:c r="AI72" s="191"/>
      <x:c r="AJ72" s="191"/>
      <x:c r="AK72" s="191"/>
    </x:row>
    <x:row r="73">
      <x:c r="A73" s="191"/>
      <x:c r="B73" s="191"/>
      <x:c r="C73" s="191"/>
      <x:c r="D73" s="191"/>
      <x:c r="E73" s="191"/>
      <x:c r="F73" s="191"/>
      <x:c r="G73" s="191"/>
      <x:c r="H73" s="191"/>
      <x:c r="I73" s="191"/>
      <x:c r="J73" s="191"/>
      <x:c r="K73" s="191"/>
      <x:c r="L73" s="191"/>
      <x:c r="M73" s="191"/>
      <x:c r="N73" s="191"/>
      <x:c r="O73" s="191"/>
      <x:c r="P73" s="191"/>
      <x:c r="Q73" s="191"/>
      <x:c r="R73" s="191"/>
      <x:c r="S73" s="191"/>
      <x:c r="T73" s="191"/>
      <x:c r="U73" s="191"/>
      <x:c r="V73" s="191"/>
      <x:c r="W73" s="191"/>
      <x:c r="X73" s="191"/>
      <x:c r="Y73" s="191"/>
      <x:c r="Z73" s="191"/>
      <x:c r="AA73" s="191"/>
      <x:c r="AB73" s="191"/>
      <x:c r="AC73" s="191"/>
      <x:c r="AD73" s="191"/>
      <x:c r="AE73" s="191"/>
      <x:c r="AF73" s="191"/>
      <x:c r="AG73" s="191"/>
      <x:c r="AH73" s="191"/>
      <x:c r="AI73" s="191"/>
      <x:c r="AJ73" s="191"/>
      <x:c r="AK73" s="191"/>
    </x:row>
    <x:row r="74">
      <x:c r="A74" s="191"/>
      <x:c r="B74" s="191"/>
      <x:c r="C74" s="191"/>
      <x:c r="D74" s="191"/>
      <x:c r="E74" s="191"/>
      <x:c r="F74" s="191"/>
      <x:c r="G74" s="191"/>
      <x:c r="H74" s="191"/>
      <x:c r="I74" s="191"/>
      <x:c r="J74" s="191"/>
      <x:c r="K74" s="191"/>
      <x:c r="L74" s="191"/>
      <x:c r="M74" s="191"/>
      <x:c r="N74" s="191"/>
      <x:c r="O74" s="191"/>
      <x:c r="P74" s="191"/>
      <x:c r="Q74" s="191"/>
      <x:c r="R74" s="191"/>
      <x:c r="S74" s="191"/>
      <x:c r="T74" s="191"/>
      <x:c r="U74" s="191"/>
      <x:c r="V74" s="191"/>
      <x:c r="W74" s="191"/>
      <x:c r="X74" s="191"/>
      <x:c r="Y74" s="191"/>
      <x:c r="Z74" s="191"/>
      <x:c r="AA74" s="191"/>
      <x:c r="AB74" s="191"/>
      <x:c r="AC74" s="191"/>
      <x:c r="AD74" s="191"/>
      <x:c r="AE74" s="191"/>
      <x:c r="AF74" s="191"/>
      <x:c r="AG74" s="191"/>
      <x:c r="AH74" s="191"/>
      <x:c r="AI74" s="191"/>
      <x:c r="AJ74" s="191"/>
      <x:c r="AK74" s="191"/>
    </x:row>
    <x:row r="75">
      <x:c r="A75" s="191"/>
      <x:c r="B75" s="191"/>
      <x:c r="C75" s="191"/>
      <x:c r="D75" s="191"/>
      <x:c r="E75" s="191"/>
      <x:c r="F75" s="191"/>
      <x:c r="G75" s="191"/>
      <x:c r="H75" s="191"/>
      <x:c r="I75" s="191"/>
      <x:c r="J75" s="191"/>
      <x:c r="K75" s="191"/>
      <x:c r="L75" s="191"/>
      <x:c r="M75" s="191"/>
      <x:c r="N75" s="191"/>
      <x:c r="O75" s="191"/>
      <x:c r="P75" s="191"/>
      <x:c r="Q75" s="191"/>
      <x:c r="R75" s="191"/>
      <x:c r="S75" s="191"/>
      <x:c r="T75" s="191"/>
      <x:c r="U75" s="191"/>
      <x:c r="V75" s="191"/>
      <x:c r="W75" s="191"/>
      <x:c r="X75" s="191"/>
      <x:c r="Y75" s="191"/>
      <x:c r="Z75" s="191"/>
      <x:c r="AA75" s="191"/>
      <x:c r="AB75" s="191"/>
      <x:c r="AC75" s="191"/>
      <x:c r="AD75" s="191"/>
      <x:c r="AE75" s="191"/>
      <x:c r="AF75" s="191"/>
      <x:c r="AG75" s="191"/>
      <x:c r="AH75" s="191"/>
      <x:c r="AI75" s="191"/>
      <x:c r="AJ75" s="191"/>
      <x:c r="AK75" s="191"/>
    </x:row>
    <x:row r="76">
      <x:c r="A76" s="191"/>
      <x:c r="B76" s="191"/>
      <x:c r="C76" s="191"/>
      <x:c r="D76" s="191"/>
      <x:c r="E76" s="191"/>
      <x:c r="F76" s="191"/>
      <x:c r="G76" s="191"/>
      <x:c r="H76" s="191"/>
      <x:c r="I76" s="191"/>
      <x:c r="J76" s="191"/>
      <x:c r="K76" s="191"/>
      <x:c r="L76" s="191"/>
      <x:c r="M76" s="191"/>
      <x:c r="N76" s="191"/>
      <x:c r="O76" s="191"/>
      <x:c r="P76" s="191"/>
      <x:c r="Q76" s="191"/>
      <x:c r="R76" s="191"/>
      <x:c r="S76" s="191"/>
      <x:c r="T76" s="191"/>
      <x:c r="U76" s="191"/>
      <x:c r="V76" s="191"/>
      <x:c r="W76" s="191"/>
      <x:c r="X76" s="191"/>
      <x:c r="Y76" s="191"/>
      <x:c r="Z76" s="191"/>
      <x:c r="AA76" s="191"/>
      <x:c r="AB76" s="191"/>
      <x:c r="AC76" s="191"/>
      <x:c r="AD76" s="191"/>
      <x:c r="AE76" s="191"/>
      <x:c r="AF76" s="191"/>
      <x:c r="AG76" s="191"/>
      <x:c r="AH76" s="191"/>
      <x:c r="AI76" s="191"/>
      <x:c r="AJ76" s="191"/>
      <x:c r="AK76" s="191"/>
    </x:row>
    <x:row r="77">
      <x:c r="A77" s="191"/>
      <x:c r="B77" s="191"/>
      <x:c r="C77" s="191"/>
      <x:c r="D77" s="191"/>
      <x:c r="E77" s="191"/>
      <x:c r="F77" s="191"/>
      <x:c r="G77" s="191"/>
      <x:c r="H77" s="191"/>
      <x:c r="I77" s="191"/>
      <x:c r="J77" s="191"/>
      <x:c r="K77" s="191"/>
      <x:c r="L77" s="191"/>
      <x:c r="M77" s="191"/>
      <x:c r="N77" s="191"/>
      <x:c r="O77" s="191"/>
      <x:c r="P77" s="191"/>
      <x:c r="Q77" s="191"/>
      <x:c r="R77" s="191"/>
      <x:c r="S77" s="191"/>
      <x:c r="T77" s="191"/>
      <x:c r="U77" s="191"/>
      <x:c r="V77" s="191"/>
      <x:c r="W77" s="191"/>
      <x:c r="X77" s="191"/>
      <x:c r="Y77" s="191"/>
      <x:c r="Z77" s="191"/>
      <x:c r="AA77" s="191"/>
      <x:c r="AB77" s="191"/>
      <x:c r="AC77" s="191"/>
      <x:c r="AD77" s="191"/>
      <x:c r="AE77" s="191"/>
      <x:c r="AF77" s="191"/>
      <x:c r="AG77" s="191"/>
      <x:c r="AH77" s="191"/>
      <x:c r="AI77" s="191"/>
      <x:c r="AJ77" s="191"/>
      <x:c r="AK77" s="191"/>
    </x:row>
    <x:row r="78">
      <x:c r="A78" s="191"/>
      <x:c r="B78" s="191"/>
      <x:c r="C78" s="191"/>
      <x:c r="D78" s="191"/>
      <x:c r="E78" s="191"/>
      <x:c r="F78" s="191"/>
      <x:c r="G78" s="191"/>
      <x:c r="H78" s="191"/>
      <x:c r="I78" s="191"/>
      <x:c r="J78" s="191"/>
      <x:c r="K78" s="191"/>
      <x:c r="L78" s="191"/>
      <x:c r="M78" s="191"/>
      <x:c r="N78" s="191"/>
      <x:c r="O78" s="191"/>
      <x:c r="P78" s="191"/>
      <x:c r="Q78" s="191"/>
      <x:c r="R78" s="191"/>
      <x:c r="S78" s="191"/>
      <x:c r="T78" s="191"/>
      <x:c r="U78" s="191"/>
      <x:c r="V78" s="191"/>
      <x:c r="W78" s="191"/>
      <x:c r="X78" s="191"/>
      <x:c r="Y78" s="191"/>
      <x:c r="Z78" s="191"/>
      <x:c r="AA78" s="191"/>
      <x:c r="AB78" s="191"/>
      <x:c r="AC78" s="191"/>
      <x:c r="AD78" s="191"/>
      <x:c r="AE78" s="191"/>
      <x:c r="AF78" s="191"/>
      <x:c r="AG78" s="191"/>
      <x:c r="AH78" s="191"/>
      <x:c r="AI78" s="191"/>
      <x:c r="AJ78" s="191"/>
      <x:c r="AK78" s="191"/>
    </x:row>
    <x:row r="79">
      <x:c r="A79" s="191"/>
      <x:c r="B79" s="191"/>
      <x:c r="C79" s="191"/>
      <x:c r="D79" s="191"/>
      <x:c r="E79" s="191"/>
      <x:c r="F79" s="191"/>
      <x:c r="G79" s="191"/>
      <x:c r="H79" s="191"/>
      <x:c r="I79" s="191"/>
      <x:c r="J79" s="191"/>
      <x:c r="K79" s="191"/>
      <x:c r="L79" s="191"/>
      <x:c r="M79" s="191"/>
      <x:c r="N79" s="191"/>
      <x:c r="O79" s="191"/>
      <x:c r="P79" s="191"/>
      <x:c r="Q79" s="191"/>
      <x:c r="R79" s="191"/>
      <x:c r="S79" s="191"/>
      <x:c r="T79" s="191"/>
      <x:c r="U79" s="191"/>
      <x:c r="V79" s="191"/>
      <x:c r="W79" s="191"/>
      <x:c r="X79" s="191"/>
      <x:c r="Y79" s="191"/>
      <x:c r="Z79" s="191"/>
      <x:c r="AA79" s="191"/>
      <x:c r="AB79" s="191"/>
      <x:c r="AC79" s="191"/>
      <x:c r="AD79" s="191"/>
      <x:c r="AE79" s="191"/>
      <x:c r="AF79" s="191"/>
      <x:c r="AG79" s="191"/>
      <x:c r="AH79" s="191"/>
      <x:c r="AI79" s="191"/>
      <x:c r="AJ79" s="191"/>
      <x:c r="AK79" s="191"/>
    </x:row>
    <x:row r="80">
      <x:c r="A80" s="191"/>
      <x:c r="B80" s="191"/>
      <x:c r="C80" s="191"/>
      <x:c r="D80" s="191"/>
      <x:c r="E80" s="191"/>
      <x:c r="F80" s="191"/>
      <x:c r="G80" s="191"/>
      <x:c r="H80" s="191"/>
      <x:c r="I80" s="191"/>
      <x:c r="J80" s="191"/>
      <x:c r="K80" s="191"/>
      <x:c r="L80" s="191"/>
      <x:c r="M80" s="191"/>
      <x:c r="N80" s="191"/>
      <x:c r="O80" s="191"/>
      <x:c r="P80" s="191"/>
      <x:c r="Q80" s="191"/>
      <x:c r="R80" s="191"/>
      <x:c r="S80" s="191"/>
      <x:c r="T80" s="191"/>
      <x:c r="U80" s="191"/>
      <x:c r="V80" s="191"/>
      <x:c r="W80" s="191"/>
      <x:c r="X80" s="191"/>
      <x:c r="Y80" s="191"/>
      <x:c r="Z80" s="191"/>
      <x:c r="AA80" s="191"/>
      <x:c r="AB80" s="191"/>
      <x:c r="AC80" s="191"/>
      <x:c r="AD80" s="191"/>
      <x:c r="AE80" s="191"/>
      <x:c r="AF80" s="191"/>
      <x:c r="AG80" s="191"/>
      <x:c r="AH80" s="191"/>
      <x:c r="AI80" s="191"/>
      <x:c r="AJ80" s="191"/>
      <x:c r="AK80" s="191"/>
    </x:row>
    <x:row r="81">
      <x:c r="A81" s="191"/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  <x:c r="S81" s="191"/>
      <x:c r="T81" s="191"/>
      <x:c r="U81" s="191"/>
      <x:c r="V81" s="191"/>
      <x:c r="W81" s="191"/>
      <x:c r="X81" s="191"/>
      <x:c r="Y81" s="191"/>
      <x:c r="Z81" s="191"/>
      <x:c r="AA81" s="191"/>
      <x:c r="AB81" s="191"/>
      <x:c r="AC81" s="191"/>
      <x:c r="AD81" s="191"/>
      <x:c r="AE81" s="191"/>
      <x:c r="AF81" s="191"/>
      <x:c r="AG81" s="191"/>
      <x:c r="AH81" s="191"/>
      <x:c r="AI81" s="191"/>
      <x:c r="AJ81" s="191"/>
      <x:c r="AK81" s="191"/>
    </x:row>
    <x:row r="82">
      <x:c r="A82" s="191"/>
      <x:c r="B82" s="191"/>
      <x:c r="C82" s="191"/>
      <x:c r="D82" s="191"/>
      <x:c r="E82" s="191"/>
      <x:c r="F82" s="191"/>
      <x:c r="G82" s="191"/>
      <x:c r="H82" s="191"/>
      <x:c r="I82" s="191"/>
      <x:c r="J82" s="191"/>
      <x:c r="K82" s="191"/>
      <x:c r="L82" s="191"/>
      <x:c r="M82" s="191"/>
      <x:c r="N82" s="191"/>
      <x:c r="O82" s="191"/>
      <x:c r="P82" s="191"/>
      <x:c r="Q82" s="191"/>
      <x:c r="R82" s="191"/>
      <x:c r="S82" s="191"/>
      <x:c r="T82" s="191"/>
      <x:c r="U82" s="191"/>
      <x:c r="V82" s="191"/>
      <x:c r="W82" s="191"/>
      <x:c r="X82" s="191"/>
      <x:c r="Y82" s="191"/>
      <x:c r="Z82" s="191"/>
      <x:c r="AA82" s="191"/>
      <x:c r="AB82" s="191"/>
      <x:c r="AC82" s="191"/>
      <x:c r="AD82" s="191"/>
      <x:c r="AE82" s="191"/>
      <x:c r="AF82" s="191"/>
      <x:c r="AG82" s="191"/>
      <x:c r="AH82" s="191"/>
      <x:c r="AI82" s="191"/>
      <x:c r="AJ82" s="191"/>
      <x:c r="AK82" s="191"/>
    </x:row>
    <x:row r="83">
      <x:c r="A83" s="191"/>
      <x:c r="B83" s="191"/>
      <x:c r="C83" s="191"/>
      <x:c r="D83" s="191"/>
      <x:c r="E83" s="191"/>
      <x:c r="F83" s="191"/>
      <x:c r="G83" s="191"/>
      <x:c r="H83" s="191"/>
      <x:c r="I83" s="191"/>
      <x:c r="J83" s="191"/>
      <x:c r="K83" s="191"/>
      <x:c r="L83" s="191"/>
      <x:c r="M83" s="191"/>
      <x:c r="N83" s="191"/>
      <x:c r="O83" s="191"/>
      <x:c r="P83" s="191"/>
      <x:c r="Q83" s="191"/>
      <x:c r="R83" s="191"/>
      <x:c r="S83" s="191"/>
      <x:c r="T83" s="191"/>
      <x:c r="U83" s="191"/>
      <x:c r="V83" s="191"/>
      <x:c r="W83" s="191"/>
      <x:c r="X83" s="191"/>
      <x:c r="Y83" s="191"/>
      <x:c r="Z83" s="191"/>
      <x:c r="AA83" s="191"/>
      <x:c r="AB83" s="191"/>
      <x:c r="AC83" s="191"/>
      <x:c r="AD83" s="191"/>
      <x:c r="AE83" s="191"/>
      <x:c r="AF83" s="191"/>
      <x:c r="AG83" s="191"/>
      <x:c r="AH83" s="191"/>
      <x:c r="AI83" s="191"/>
      <x:c r="AJ83" s="191"/>
      <x:c r="AK83" s="191"/>
    </x:row>
    <x:row r="84">
      <x:c r="A84" s="191"/>
      <x:c r="B84" s="191"/>
      <x:c r="C84" s="191"/>
      <x:c r="D84" s="191"/>
      <x:c r="E84" s="191"/>
      <x:c r="F84" s="191"/>
      <x:c r="G84" s="191"/>
      <x:c r="H84" s="191"/>
      <x:c r="I84" s="191"/>
      <x:c r="J84" s="191"/>
      <x:c r="K84" s="191"/>
      <x:c r="L84" s="191"/>
      <x:c r="M84" s="191"/>
      <x:c r="N84" s="191"/>
      <x:c r="O84" s="191"/>
      <x:c r="P84" s="191"/>
      <x:c r="Q84" s="191"/>
      <x:c r="R84" s="191"/>
      <x:c r="S84" s="191"/>
      <x:c r="T84" s="191"/>
      <x:c r="U84" s="191"/>
      <x:c r="V84" s="191"/>
      <x:c r="W84" s="191"/>
      <x:c r="X84" s="191"/>
      <x:c r="Y84" s="191"/>
      <x:c r="Z84" s="191"/>
      <x:c r="AA84" s="191"/>
      <x:c r="AB84" s="191"/>
      <x:c r="AC84" s="191"/>
      <x:c r="AD84" s="191"/>
      <x:c r="AE84" s="191"/>
      <x:c r="AF84" s="191"/>
      <x:c r="AG84" s="191"/>
      <x:c r="AH84" s="191"/>
      <x:c r="AI84" s="191"/>
      <x:c r="AJ84" s="191"/>
      <x:c r="AK84" s="191"/>
    </x:row>
    <x:row r="85">
      <x:c r="A85" s="191"/>
      <x:c r="B85" s="191"/>
      <x:c r="C85" s="191"/>
      <x:c r="D85" s="191"/>
      <x:c r="E85" s="191"/>
      <x:c r="F85" s="191"/>
      <x:c r="G85" s="191"/>
      <x:c r="H85" s="191"/>
      <x:c r="I85" s="191"/>
      <x:c r="J85" s="191"/>
      <x:c r="K85" s="191"/>
      <x:c r="L85" s="191"/>
      <x:c r="M85" s="191"/>
      <x:c r="N85" s="191"/>
      <x:c r="O85" s="191"/>
      <x:c r="P85" s="191"/>
      <x:c r="Q85" s="191"/>
      <x:c r="R85" s="191"/>
      <x:c r="S85" s="191"/>
      <x:c r="T85" s="191"/>
      <x:c r="U85" s="191"/>
      <x:c r="V85" s="191"/>
      <x:c r="W85" s="191"/>
      <x:c r="X85" s="191"/>
      <x:c r="Y85" s="191"/>
      <x:c r="Z85" s="191"/>
      <x:c r="AA85" s="191"/>
      <x:c r="AB85" s="191"/>
      <x:c r="AC85" s="191"/>
      <x:c r="AD85" s="191"/>
      <x:c r="AE85" s="191"/>
      <x:c r="AF85" s="191"/>
      <x:c r="AG85" s="191"/>
      <x:c r="AH85" s="191"/>
      <x:c r="AI85" s="191"/>
      <x:c r="AJ85" s="191"/>
      <x:c r="AK85" s="191"/>
    </x:row>
    <x:row r="86">
      <x:c r="A86" s="191"/>
      <x:c r="B86" s="191"/>
      <x:c r="C86" s="191"/>
      <x:c r="D86" s="191"/>
      <x:c r="E86" s="191"/>
      <x:c r="F86" s="191"/>
      <x:c r="G86" s="191"/>
      <x:c r="H86" s="191"/>
      <x:c r="I86" s="191"/>
      <x:c r="J86" s="191"/>
      <x:c r="K86" s="191"/>
      <x:c r="L86" s="191"/>
      <x:c r="M86" s="191"/>
      <x:c r="N86" s="191"/>
      <x:c r="O86" s="191"/>
      <x:c r="P86" s="191"/>
      <x:c r="Q86" s="191"/>
      <x:c r="R86" s="191"/>
      <x:c r="S86" s="191"/>
      <x:c r="T86" s="191"/>
      <x:c r="U86" s="191"/>
      <x:c r="V86" s="191"/>
      <x:c r="W86" s="191"/>
      <x:c r="X86" s="191"/>
      <x:c r="Y86" s="191"/>
      <x:c r="Z86" s="191"/>
      <x:c r="AA86" s="191"/>
      <x:c r="AB86" s="191"/>
      <x:c r="AC86" s="191"/>
      <x:c r="AD86" s="191"/>
      <x:c r="AE86" s="191"/>
      <x:c r="AF86" s="191"/>
      <x:c r="AG86" s="191"/>
      <x:c r="AH86" s="191"/>
      <x:c r="AI86" s="191"/>
      <x:c r="AJ86" s="191"/>
      <x:c r="AK86" s="191"/>
    </x:row>
    <x:row r="87">
      <x:c r="A87" s="191"/>
      <x:c r="B87" s="191"/>
      <x:c r="C87" s="191"/>
      <x:c r="D87" s="191"/>
      <x:c r="E87" s="191"/>
      <x:c r="F87" s="191"/>
      <x:c r="G87" s="191"/>
      <x:c r="H87" s="191"/>
      <x:c r="I87" s="191"/>
      <x:c r="J87" s="191"/>
      <x:c r="K87" s="191"/>
      <x:c r="L87" s="191"/>
      <x:c r="M87" s="191"/>
      <x:c r="N87" s="191"/>
      <x:c r="O87" s="191"/>
      <x:c r="P87" s="191"/>
      <x:c r="Q87" s="191"/>
      <x:c r="R87" s="191"/>
      <x:c r="S87" s="191"/>
      <x:c r="T87" s="191"/>
      <x:c r="U87" s="191"/>
      <x:c r="V87" s="191"/>
      <x:c r="W87" s="191"/>
      <x:c r="X87" s="191"/>
      <x:c r="Y87" s="191"/>
      <x:c r="Z87" s="191"/>
      <x:c r="AA87" s="191"/>
      <x:c r="AB87" s="191"/>
      <x:c r="AC87" s="191"/>
      <x:c r="AD87" s="191"/>
      <x:c r="AE87" s="191"/>
      <x:c r="AF87" s="191"/>
      <x:c r="AG87" s="191"/>
      <x:c r="AH87" s="191"/>
      <x:c r="AI87" s="191"/>
      <x:c r="AJ87" s="191"/>
      <x:c r="AK87" s="191"/>
    </x:row>
    <x:row r="88">
      <x:c r="A88" s="191"/>
      <x:c r="B88" s="191"/>
      <x:c r="C88" s="191"/>
      <x:c r="D88" s="191"/>
      <x:c r="E88" s="191"/>
      <x:c r="F88" s="191"/>
      <x:c r="G88" s="191"/>
      <x:c r="H88" s="191"/>
      <x:c r="I88" s="191"/>
      <x:c r="J88" s="191"/>
      <x:c r="K88" s="191"/>
      <x:c r="L88" s="191"/>
      <x:c r="M88" s="191"/>
      <x:c r="N88" s="191"/>
      <x:c r="O88" s="191"/>
      <x:c r="P88" s="191"/>
      <x:c r="Q88" s="191"/>
      <x:c r="R88" s="191"/>
      <x:c r="S88" s="191"/>
      <x:c r="T88" s="191"/>
      <x:c r="U88" s="191"/>
      <x:c r="V88" s="191"/>
      <x:c r="W88" s="191"/>
      <x:c r="X88" s="191"/>
      <x:c r="Y88" s="191"/>
      <x:c r="Z88" s="191"/>
      <x:c r="AA88" s="191"/>
      <x:c r="AB88" s="191"/>
      <x:c r="AC88" s="191"/>
      <x:c r="AD88" s="191"/>
      <x:c r="AE88" s="191"/>
      <x:c r="AF88" s="191"/>
      <x:c r="AG88" s="191"/>
      <x:c r="AH88" s="191"/>
      <x:c r="AI88" s="191"/>
      <x:c r="AJ88" s="191"/>
      <x:c r="AK88" s="191"/>
    </x:row>
    <x:row r="89">
      <x:c r="A89" s="191"/>
      <x:c r="B89" s="191"/>
      <x:c r="C89" s="191"/>
      <x:c r="D89" s="191"/>
      <x:c r="E89" s="191"/>
      <x:c r="F89" s="191"/>
      <x:c r="G89" s="191"/>
      <x:c r="H89" s="191"/>
      <x:c r="I89" s="191"/>
      <x:c r="J89" s="191"/>
      <x:c r="K89" s="191"/>
      <x:c r="L89" s="191"/>
      <x:c r="M89" s="191"/>
      <x:c r="N89" s="191"/>
      <x:c r="O89" s="191"/>
      <x:c r="P89" s="191"/>
      <x:c r="Q89" s="191"/>
      <x:c r="R89" s="191"/>
      <x:c r="S89" s="191"/>
      <x:c r="T89" s="191"/>
      <x:c r="U89" s="191"/>
      <x:c r="V89" s="191"/>
      <x:c r="W89" s="191"/>
      <x:c r="X89" s="191"/>
      <x:c r="Y89" s="191"/>
      <x:c r="Z89" s="191"/>
      <x:c r="AA89" s="191"/>
      <x:c r="AB89" s="191"/>
      <x:c r="AC89" s="191"/>
      <x:c r="AD89" s="191"/>
      <x:c r="AE89" s="191"/>
      <x:c r="AF89" s="191"/>
      <x:c r="AG89" s="191"/>
      <x:c r="AH89" s="191"/>
      <x:c r="AI89" s="191"/>
      <x:c r="AJ89" s="191"/>
      <x:c r="AK89" s="191"/>
    </x:row>
    <x:row r="90">
      <x:c r="A90" s="191"/>
      <x:c r="B90" s="191"/>
      <x:c r="C90" s="191"/>
      <x:c r="D90" s="191"/>
      <x:c r="E90" s="191"/>
      <x:c r="F90" s="191"/>
      <x:c r="G90" s="191"/>
      <x:c r="H90" s="191"/>
      <x:c r="I90" s="191"/>
      <x:c r="J90" s="191"/>
      <x:c r="K90" s="191"/>
      <x:c r="L90" s="191"/>
      <x:c r="M90" s="191"/>
      <x:c r="N90" s="191"/>
      <x:c r="O90" s="191"/>
      <x:c r="P90" s="191"/>
      <x:c r="Q90" s="191"/>
      <x:c r="R90" s="191"/>
      <x:c r="S90" s="191"/>
      <x:c r="T90" s="191"/>
      <x:c r="U90" s="191"/>
      <x:c r="V90" s="191"/>
      <x:c r="W90" s="191"/>
      <x:c r="X90" s="191"/>
      <x:c r="Y90" s="191"/>
      <x:c r="Z90" s="191"/>
      <x:c r="AA90" s="191"/>
      <x:c r="AB90" s="191"/>
      <x:c r="AC90" s="191"/>
      <x:c r="AD90" s="191"/>
      <x:c r="AE90" s="191"/>
      <x:c r="AF90" s="191"/>
      <x:c r="AG90" s="191"/>
      <x:c r="AH90" s="191"/>
      <x:c r="AI90" s="191"/>
      <x:c r="AJ90" s="191"/>
      <x:c r="AK90" s="191"/>
    </x:row>
    <x:row r="91">
      <x:c r="A91" s="191"/>
      <x:c r="B91" s="191"/>
      <x:c r="C91" s="191"/>
      <x:c r="D91" s="191"/>
      <x:c r="E91" s="191"/>
      <x:c r="F91" s="191"/>
      <x:c r="G91" s="191"/>
      <x:c r="H91" s="191"/>
      <x:c r="I91" s="191"/>
      <x:c r="J91" s="191"/>
      <x:c r="K91" s="191"/>
      <x:c r="L91" s="191"/>
      <x:c r="M91" s="191"/>
      <x:c r="N91" s="191"/>
      <x:c r="O91" s="191"/>
      <x:c r="P91" s="191"/>
      <x:c r="Q91" s="191"/>
      <x:c r="R91" s="191"/>
      <x:c r="S91" s="191"/>
      <x:c r="T91" s="191"/>
      <x:c r="U91" s="191"/>
      <x:c r="V91" s="191"/>
      <x:c r="W91" s="191"/>
      <x:c r="X91" s="191"/>
      <x:c r="Y91" s="191"/>
      <x:c r="Z91" s="191"/>
      <x:c r="AA91" s="191"/>
      <x:c r="AB91" s="191"/>
      <x:c r="AC91" s="191"/>
      <x:c r="AD91" s="191"/>
      <x:c r="AE91" s="191"/>
      <x:c r="AF91" s="191"/>
      <x:c r="AG91" s="191"/>
      <x:c r="AH91" s="191"/>
      <x:c r="AI91" s="191"/>
      <x:c r="AJ91" s="191"/>
      <x:c r="AK91" s="191"/>
    </x:row>
    <x:row r="92">
      <x:c r="A92" s="191"/>
      <x:c r="B92" s="191"/>
      <x:c r="C92" s="191"/>
      <x:c r="D92" s="191"/>
      <x:c r="E92" s="191"/>
      <x:c r="F92" s="191"/>
      <x:c r="G92" s="191"/>
      <x:c r="H92" s="191"/>
      <x:c r="I92" s="191"/>
      <x:c r="J92" s="191"/>
      <x:c r="K92" s="191"/>
      <x:c r="L92" s="191"/>
      <x:c r="M92" s="191"/>
      <x:c r="N92" s="191"/>
      <x:c r="O92" s="191"/>
      <x:c r="P92" s="191"/>
      <x:c r="Q92" s="191"/>
      <x:c r="R92" s="191"/>
      <x:c r="S92" s="191"/>
      <x:c r="T92" s="191"/>
      <x:c r="U92" s="191"/>
      <x:c r="V92" s="191"/>
      <x:c r="W92" s="191"/>
      <x:c r="X92" s="191"/>
      <x:c r="Y92" s="191"/>
      <x:c r="Z92" s="191"/>
      <x:c r="AA92" s="191"/>
      <x:c r="AB92" s="191"/>
      <x:c r="AC92" s="191"/>
      <x:c r="AD92" s="191"/>
      <x:c r="AE92" s="191"/>
      <x:c r="AF92" s="191"/>
      <x:c r="AG92" s="191"/>
      <x:c r="AH92" s="191"/>
      <x:c r="AI92" s="191"/>
      <x:c r="AJ92" s="191"/>
      <x:c r="AK92" s="191"/>
    </x:row>
    <x:row r="93">
      <x:c r="A93" s="191"/>
      <x:c r="B93" s="191"/>
      <x:c r="C93" s="191"/>
      <x:c r="D93" s="191"/>
      <x:c r="E93" s="191"/>
      <x:c r="F93" s="191"/>
      <x:c r="G93" s="191"/>
      <x:c r="H93" s="191"/>
      <x:c r="I93" s="191"/>
      <x:c r="J93" s="191"/>
      <x:c r="K93" s="191"/>
      <x:c r="L93" s="191"/>
      <x:c r="M93" s="191"/>
      <x:c r="N93" s="191"/>
      <x:c r="O93" s="191"/>
      <x:c r="P93" s="191"/>
      <x:c r="Q93" s="191"/>
      <x:c r="R93" s="191"/>
      <x:c r="S93" s="191"/>
      <x:c r="T93" s="191"/>
      <x:c r="U93" s="191"/>
      <x:c r="V93" s="191"/>
      <x:c r="W93" s="191"/>
      <x:c r="X93" s="191"/>
      <x:c r="Y93" s="191"/>
      <x:c r="Z93" s="191"/>
      <x:c r="AA93" s="191"/>
      <x:c r="AB93" s="191"/>
      <x:c r="AC93" s="191"/>
      <x:c r="AD93" s="191"/>
      <x:c r="AE93" s="191"/>
      <x:c r="AF93" s="191"/>
      <x:c r="AG93" s="191"/>
      <x:c r="AH93" s="191"/>
      <x:c r="AI93" s="191"/>
      <x:c r="AJ93" s="191"/>
      <x:c r="AK93" s="191"/>
    </x:row>
    <x:row r="94">
      <x:c r="A94" s="191"/>
      <x:c r="B94" s="191"/>
      <x:c r="C94" s="191"/>
      <x:c r="D94" s="191"/>
      <x:c r="E94" s="191"/>
      <x:c r="F94" s="191"/>
      <x:c r="G94" s="191"/>
      <x:c r="H94" s="191"/>
      <x:c r="I94" s="191"/>
      <x:c r="J94" s="191"/>
      <x:c r="K94" s="191"/>
      <x:c r="L94" s="191"/>
      <x:c r="M94" s="191"/>
      <x:c r="N94" s="191"/>
      <x:c r="O94" s="191"/>
      <x:c r="P94" s="191"/>
      <x:c r="Q94" s="191"/>
      <x:c r="R94" s="191"/>
      <x:c r="S94" s="191"/>
      <x:c r="T94" s="191"/>
      <x:c r="U94" s="191"/>
      <x:c r="V94" s="191"/>
      <x:c r="W94" s="191"/>
      <x:c r="X94" s="191"/>
      <x:c r="Y94" s="191"/>
      <x:c r="Z94" s="191"/>
      <x:c r="AA94" s="191"/>
      <x:c r="AB94" s="191"/>
      <x:c r="AC94" s="191"/>
      <x:c r="AD94" s="191"/>
      <x:c r="AE94" s="191"/>
      <x:c r="AF94" s="191"/>
      <x:c r="AG94" s="191"/>
      <x:c r="AH94" s="191"/>
      <x:c r="AI94" s="191"/>
      <x:c r="AJ94" s="191"/>
      <x:c r="AK94" s="191"/>
    </x:row>
    <x:row r="95">
      <x:c r="A95" s="191"/>
      <x:c r="B95" s="191"/>
      <x:c r="C95" s="191"/>
      <x:c r="D95" s="191"/>
      <x:c r="E95" s="191"/>
      <x:c r="F95" s="191"/>
      <x:c r="G95" s="191"/>
      <x:c r="H95" s="191"/>
      <x:c r="I95" s="191"/>
      <x:c r="J95" s="191"/>
      <x:c r="K95" s="191"/>
      <x:c r="L95" s="191"/>
      <x:c r="M95" s="191"/>
      <x:c r="N95" s="191"/>
      <x:c r="O95" s="191"/>
      <x:c r="P95" s="191"/>
      <x:c r="Q95" s="191"/>
      <x:c r="R95" s="191"/>
      <x:c r="S95" s="191"/>
      <x:c r="T95" s="191"/>
      <x:c r="U95" s="191"/>
      <x:c r="V95" s="191"/>
      <x:c r="W95" s="191"/>
      <x:c r="X95" s="191"/>
      <x:c r="Y95" s="191"/>
      <x:c r="Z95" s="191"/>
      <x:c r="AA95" s="191"/>
      <x:c r="AB95" s="191"/>
      <x:c r="AC95" s="191"/>
      <x:c r="AD95" s="191"/>
      <x:c r="AE95" s="191"/>
      <x:c r="AF95" s="191"/>
      <x:c r="AG95" s="191"/>
      <x:c r="AH95" s="191"/>
      <x:c r="AI95" s="191"/>
      <x:c r="AJ95" s="191"/>
      <x:c r="AK95" s="191"/>
    </x:row>
    <x:row r="96">
      <x:c r="A96" s="191"/>
      <x:c r="B96" s="191"/>
      <x:c r="C96" s="191"/>
      <x:c r="D96" s="191"/>
      <x:c r="E96" s="191"/>
      <x:c r="F96" s="191"/>
      <x:c r="G96" s="191"/>
      <x:c r="H96" s="191"/>
      <x:c r="I96" s="191"/>
      <x:c r="J96" s="191"/>
      <x:c r="K96" s="191"/>
      <x:c r="L96" s="191"/>
      <x:c r="M96" s="191"/>
      <x:c r="N96" s="191"/>
      <x:c r="O96" s="191"/>
      <x:c r="P96" s="191"/>
      <x:c r="Q96" s="191"/>
      <x:c r="R96" s="191"/>
      <x:c r="S96" s="191"/>
      <x:c r="T96" s="191"/>
      <x:c r="U96" s="191"/>
      <x:c r="V96" s="191"/>
      <x:c r="W96" s="191"/>
      <x:c r="X96" s="191"/>
      <x:c r="Y96" s="191"/>
      <x:c r="Z96" s="191"/>
      <x:c r="AA96" s="191"/>
      <x:c r="AB96" s="191"/>
      <x:c r="AC96" s="191"/>
      <x:c r="AD96" s="191"/>
      <x:c r="AE96" s="191"/>
      <x:c r="AF96" s="191"/>
      <x:c r="AG96" s="191"/>
      <x:c r="AH96" s="191"/>
      <x:c r="AI96" s="191"/>
      <x:c r="AJ96" s="191"/>
      <x:c r="AK96" s="191"/>
    </x:row>
    <x:row r="97">
      <x:c r="A97" s="191"/>
      <x:c r="B97" s="191"/>
      <x:c r="C97" s="191"/>
      <x:c r="D97" s="191"/>
      <x:c r="E97" s="191"/>
      <x:c r="F97" s="191"/>
      <x:c r="G97" s="191"/>
      <x:c r="H97" s="191"/>
      <x:c r="I97" s="191"/>
      <x:c r="J97" s="191"/>
      <x:c r="K97" s="191"/>
      <x:c r="L97" s="191"/>
      <x:c r="M97" s="191"/>
      <x:c r="N97" s="191"/>
      <x:c r="O97" s="191"/>
      <x:c r="P97" s="191"/>
      <x:c r="Q97" s="191"/>
      <x:c r="R97" s="191"/>
      <x:c r="S97" s="191"/>
      <x:c r="T97" s="191"/>
      <x:c r="U97" s="191"/>
      <x:c r="V97" s="191"/>
      <x:c r="W97" s="191"/>
      <x:c r="X97" s="191"/>
      <x:c r="Y97" s="191"/>
      <x:c r="Z97" s="191"/>
      <x:c r="AA97" s="191"/>
      <x:c r="AB97" s="191"/>
      <x:c r="AC97" s="191"/>
      <x:c r="AD97" s="191"/>
      <x:c r="AE97" s="191"/>
      <x:c r="AF97" s="191"/>
      <x:c r="AG97" s="191"/>
      <x:c r="AH97" s="191"/>
      <x:c r="AI97" s="191"/>
      <x:c r="AJ97" s="191"/>
      <x:c r="AK97" s="191"/>
    </x:row>
    <x:row r="98">
      <x:c r="A98" s="191"/>
      <x:c r="B98" s="191"/>
      <x:c r="C98" s="191"/>
      <x:c r="D98" s="191"/>
      <x:c r="E98" s="191"/>
      <x:c r="F98" s="191"/>
      <x:c r="G98" s="191"/>
      <x:c r="H98" s="191"/>
      <x:c r="I98" s="191"/>
      <x:c r="J98" s="191"/>
      <x:c r="K98" s="191"/>
      <x:c r="L98" s="191"/>
      <x:c r="M98" s="191"/>
      <x:c r="N98" s="191"/>
      <x:c r="O98" s="191"/>
      <x:c r="P98" s="191"/>
      <x:c r="Q98" s="191"/>
      <x:c r="R98" s="191"/>
      <x:c r="S98" s="191"/>
      <x:c r="T98" s="191"/>
      <x:c r="U98" s="191"/>
      <x:c r="V98" s="191"/>
      <x:c r="W98" s="191"/>
      <x:c r="X98" s="191"/>
      <x:c r="Y98" s="191"/>
      <x:c r="Z98" s="191"/>
      <x:c r="AA98" s="191"/>
      <x:c r="AB98" s="191"/>
      <x:c r="AC98" s="191"/>
      <x:c r="AD98" s="191"/>
      <x:c r="AE98" s="191"/>
      <x:c r="AF98" s="191"/>
      <x:c r="AG98" s="191"/>
      <x:c r="AH98" s="191"/>
      <x:c r="AI98" s="191"/>
      <x:c r="AJ98" s="191"/>
      <x:c r="AK98" s="191"/>
    </x:row>
    <x:row r="99">
      <x:c r="A99" s="191"/>
      <x:c r="B99" s="191"/>
      <x:c r="C99" s="191"/>
      <x:c r="D99" s="191"/>
      <x:c r="E99" s="191"/>
      <x:c r="F99" s="191"/>
      <x:c r="G99" s="191"/>
      <x:c r="H99" s="191"/>
      <x:c r="I99" s="191"/>
      <x:c r="J99" s="191"/>
      <x:c r="K99" s="191"/>
      <x:c r="L99" s="191"/>
      <x:c r="M99" s="191"/>
      <x:c r="N99" s="191"/>
      <x:c r="O99" s="191"/>
      <x:c r="P99" s="191"/>
      <x:c r="Q99" s="191"/>
      <x:c r="R99" s="191"/>
      <x:c r="S99" s="191"/>
      <x:c r="T99" s="191"/>
      <x:c r="U99" s="191"/>
      <x:c r="V99" s="191"/>
      <x:c r="W99" s="191"/>
      <x:c r="X99" s="191"/>
      <x:c r="Y99" s="191"/>
      <x:c r="Z99" s="191"/>
      <x:c r="AA99" s="191"/>
      <x:c r="AB99" s="191"/>
      <x:c r="AC99" s="191"/>
      <x:c r="AD99" s="191"/>
      <x:c r="AE99" s="191"/>
      <x:c r="AF99" s="191"/>
      <x:c r="AG99" s="191"/>
      <x:c r="AH99" s="191"/>
      <x:c r="AI99" s="191"/>
      <x:c r="AJ99" s="191"/>
      <x:c r="AK99" s="191"/>
    </x:row>
    <x:row r="100">
      <x:c r="A100" s="191"/>
      <x:c r="B100" s="191"/>
      <x:c r="C100" s="191"/>
      <x:c r="D100" s="191"/>
      <x:c r="E100" s="191"/>
      <x:c r="F100" s="191"/>
      <x:c r="G100" s="191"/>
      <x:c r="H100" s="191"/>
      <x:c r="I100" s="191"/>
      <x:c r="J100" s="191"/>
      <x:c r="K100" s="191"/>
      <x:c r="L100" s="191"/>
      <x:c r="M100" s="191"/>
      <x:c r="N100" s="191"/>
      <x:c r="O100" s="191"/>
      <x:c r="P100" s="191"/>
      <x:c r="Q100" s="191"/>
      <x:c r="R100" s="191"/>
      <x:c r="S100" s="191"/>
      <x:c r="T100" s="191"/>
      <x:c r="U100" s="191"/>
      <x:c r="V100" s="191"/>
      <x:c r="W100" s="191"/>
      <x:c r="X100" s="191"/>
      <x:c r="Y100" s="191"/>
      <x:c r="Z100" s="191"/>
      <x:c r="AA100" s="191"/>
      <x:c r="AB100" s="191"/>
      <x:c r="AC100" s="191"/>
      <x:c r="AD100" s="191"/>
      <x:c r="AE100" s="191"/>
      <x:c r="AF100" s="191"/>
      <x:c r="AG100" s="191"/>
      <x:c r="AH100" s="191"/>
      <x:c r="AI100" s="191"/>
      <x:c r="AJ100" s="191"/>
      <x:c r="AK100" s="191"/>
    </x:row>
    <x:row r="101">
      <x:c r="A101" s="191"/>
      <x:c r="B101" s="191"/>
      <x:c r="C101" s="191"/>
      <x:c r="D101" s="191"/>
      <x:c r="E101" s="191"/>
      <x:c r="F101" s="191"/>
      <x:c r="G101" s="191"/>
      <x:c r="H101" s="191"/>
      <x:c r="I101" s="191"/>
      <x:c r="J101" s="191"/>
      <x:c r="K101" s="191"/>
      <x:c r="L101" s="191"/>
      <x:c r="M101" s="191"/>
      <x:c r="N101" s="191"/>
      <x:c r="O101" s="191"/>
      <x:c r="P101" s="191"/>
      <x:c r="Q101" s="191"/>
      <x:c r="R101" s="191"/>
      <x:c r="S101" s="191"/>
      <x:c r="T101" s="191"/>
      <x:c r="U101" s="191"/>
      <x:c r="V101" s="191"/>
      <x:c r="W101" s="191"/>
      <x:c r="X101" s="191"/>
      <x:c r="Y101" s="191"/>
      <x:c r="Z101" s="191"/>
      <x:c r="AA101" s="191"/>
      <x:c r="AB101" s="191"/>
      <x:c r="AC101" s="191"/>
      <x:c r="AD101" s="191"/>
      <x:c r="AE101" s="191"/>
      <x:c r="AF101" s="191"/>
      <x:c r="AG101" s="191"/>
      <x:c r="AH101" s="191"/>
      <x:c r="AI101" s="191"/>
      <x:c r="AJ101" s="191"/>
      <x:c r="AK101" s="191"/>
    </x:row>
    <x:row r="102">
      <x:c r="A102" s="191"/>
      <x:c r="B102" s="191"/>
      <x:c r="C102" s="191"/>
      <x:c r="D102" s="191"/>
      <x:c r="E102" s="191"/>
      <x:c r="F102" s="191"/>
      <x:c r="G102" s="191"/>
      <x:c r="H102" s="191"/>
      <x:c r="I102" s="191"/>
      <x:c r="J102" s="191"/>
      <x:c r="K102" s="191"/>
      <x:c r="L102" s="191"/>
      <x:c r="M102" s="191"/>
      <x:c r="N102" s="191"/>
      <x:c r="O102" s="191"/>
      <x:c r="P102" s="191"/>
      <x:c r="Q102" s="191"/>
      <x:c r="R102" s="191"/>
      <x:c r="S102" s="191"/>
      <x:c r="T102" s="191"/>
      <x:c r="U102" s="191"/>
      <x:c r="V102" s="191"/>
      <x:c r="W102" s="191"/>
      <x:c r="X102" s="191"/>
      <x:c r="Y102" s="191"/>
      <x:c r="Z102" s="191"/>
      <x:c r="AA102" s="191"/>
      <x:c r="AB102" s="191"/>
      <x:c r="AC102" s="191"/>
      <x:c r="AD102" s="191"/>
      <x:c r="AE102" s="191"/>
      <x:c r="AF102" s="191"/>
      <x:c r="AG102" s="191"/>
      <x:c r="AH102" s="191"/>
      <x:c r="AI102" s="191"/>
      <x:c r="AJ102" s="191"/>
      <x:c r="AK102" s="191"/>
    </x:row>
    <x:row r="103">
      <x:c r="A103" s="191"/>
      <x:c r="B103" s="191"/>
      <x:c r="C103" s="191"/>
      <x:c r="D103" s="191"/>
      <x:c r="E103" s="191"/>
      <x:c r="F103" s="191"/>
      <x:c r="G103" s="191"/>
      <x:c r="H103" s="191"/>
      <x:c r="I103" s="191"/>
      <x:c r="J103" s="191"/>
      <x:c r="K103" s="191"/>
      <x:c r="L103" s="191"/>
      <x:c r="M103" s="191"/>
      <x:c r="N103" s="191"/>
      <x:c r="O103" s="191"/>
      <x:c r="P103" s="191"/>
      <x:c r="Q103" s="191"/>
      <x:c r="R103" s="191"/>
      <x:c r="S103" s="191"/>
      <x:c r="T103" s="191"/>
      <x:c r="U103" s="191"/>
      <x:c r="V103" s="191"/>
      <x:c r="W103" s="191"/>
      <x:c r="X103" s="191"/>
      <x:c r="Y103" s="191"/>
      <x:c r="Z103" s="191"/>
      <x:c r="AA103" s="191"/>
      <x:c r="AB103" s="191"/>
      <x:c r="AC103" s="191"/>
      <x:c r="AD103" s="191"/>
      <x:c r="AE103" s="191"/>
      <x:c r="AF103" s="191"/>
      <x:c r="AG103" s="191"/>
      <x:c r="AH103" s="191"/>
      <x:c r="AI103" s="191"/>
      <x:c r="AJ103" s="191"/>
      <x:c r="AK103" s="191"/>
    </x:row>
    <x:row r="104">
      <x:c r="A104" s="191"/>
      <x:c r="B104" s="191"/>
      <x:c r="C104" s="191"/>
      <x:c r="D104" s="191"/>
      <x:c r="E104" s="191"/>
      <x:c r="F104" s="191"/>
      <x:c r="G104" s="191"/>
      <x:c r="H104" s="191"/>
      <x:c r="I104" s="191"/>
      <x:c r="J104" s="191"/>
      <x:c r="K104" s="191"/>
      <x:c r="L104" s="191"/>
      <x:c r="M104" s="191"/>
      <x:c r="N104" s="191"/>
      <x:c r="O104" s="191"/>
      <x:c r="P104" s="191"/>
      <x:c r="Q104" s="191"/>
      <x:c r="R104" s="191"/>
      <x:c r="S104" s="191"/>
      <x:c r="T104" s="191"/>
      <x:c r="U104" s="191"/>
      <x:c r="V104" s="191"/>
      <x:c r="W104" s="191"/>
      <x:c r="X104" s="191"/>
      <x:c r="Y104" s="191"/>
      <x:c r="Z104" s="191"/>
      <x:c r="AA104" s="191"/>
      <x:c r="AB104" s="191"/>
      <x:c r="AC104" s="191"/>
      <x:c r="AD104" s="191"/>
      <x:c r="AE104" s="191"/>
      <x:c r="AF104" s="191"/>
      <x:c r="AG104" s="191"/>
      <x:c r="AH104" s="191"/>
      <x:c r="AI104" s="191"/>
      <x:c r="AJ104" s="191"/>
      <x:c r="AK104" s="191"/>
    </x:row>
    <x:row r="105">
      <x:c r="A105" s="191"/>
      <x:c r="B105" s="191"/>
      <x:c r="C105" s="191"/>
      <x:c r="D105" s="191"/>
      <x:c r="E105" s="191"/>
      <x:c r="F105" s="191"/>
      <x:c r="G105" s="191"/>
      <x:c r="H105" s="191"/>
      <x:c r="I105" s="191"/>
      <x:c r="J105" s="191"/>
      <x:c r="K105" s="191"/>
      <x:c r="L105" s="191"/>
      <x:c r="M105" s="191"/>
      <x:c r="N105" s="191"/>
      <x:c r="O105" s="191"/>
      <x:c r="P105" s="191"/>
      <x:c r="Q105" s="191"/>
      <x:c r="R105" s="191"/>
      <x:c r="S105" s="191"/>
      <x:c r="T105" s="191"/>
      <x:c r="U105" s="191"/>
      <x:c r="V105" s="191"/>
      <x:c r="W105" s="191"/>
      <x:c r="X105" s="191"/>
      <x:c r="Y105" s="191"/>
      <x:c r="Z105" s="191"/>
      <x:c r="AA105" s="191"/>
      <x:c r="AB105" s="191"/>
      <x:c r="AC105" s="191"/>
      <x:c r="AD105" s="191"/>
      <x:c r="AE105" s="191"/>
      <x:c r="AF105" s="191"/>
      <x:c r="AG105" s="191"/>
      <x:c r="AH105" s="191"/>
      <x:c r="AI105" s="191"/>
      <x:c r="AJ105" s="191"/>
      <x:c r="AK105" s="191"/>
    </x:row>
    <x:row r="106">
      <x:c r="A106" s="191"/>
      <x:c r="B106" s="191"/>
      <x:c r="C106" s="191"/>
      <x:c r="D106" s="191"/>
      <x:c r="E106" s="191"/>
      <x:c r="F106" s="191"/>
      <x:c r="G106" s="191"/>
      <x:c r="H106" s="191"/>
      <x:c r="I106" s="191"/>
      <x:c r="J106" s="191"/>
      <x:c r="K106" s="191"/>
      <x:c r="L106" s="191"/>
      <x:c r="M106" s="191"/>
      <x:c r="N106" s="191"/>
      <x:c r="O106" s="191"/>
      <x:c r="P106" s="191"/>
      <x:c r="Q106" s="191"/>
      <x:c r="R106" s="191"/>
      <x:c r="S106" s="191"/>
      <x:c r="T106" s="191"/>
      <x:c r="U106" s="191"/>
      <x:c r="V106" s="191"/>
      <x:c r="W106" s="191"/>
      <x:c r="X106" s="191"/>
      <x:c r="Y106" s="191"/>
      <x:c r="Z106" s="191"/>
      <x:c r="AA106" s="191"/>
      <x:c r="AB106" s="191"/>
      <x:c r="AC106" s="191"/>
      <x:c r="AD106" s="191"/>
      <x:c r="AE106" s="191"/>
      <x:c r="AF106" s="191"/>
      <x:c r="AG106" s="191"/>
      <x:c r="AH106" s="191"/>
      <x:c r="AI106" s="191"/>
      <x:c r="AJ106" s="191"/>
      <x:c r="AK106" s="191"/>
    </x:row>
    <x:row r="107">
      <x:c r="A107" s="191"/>
      <x:c r="B107" s="191"/>
      <x:c r="C107" s="191"/>
      <x:c r="D107" s="191"/>
      <x:c r="E107" s="191"/>
      <x:c r="F107" s="191"/>
      <x:c r="G107" s="191"/>
      <x:c r="H107" s="191"/>
      <x:c r="I107" s="191"/>
      <x:c r="J107" s="191"/>
      <x:c r="K107" s="191"/>
      <x:c r="L107" s="191"/>
      <x:c r="M107" s="191"/>
      <x:c r="N107" s="191"/>
      <x:c r="O107" s="191"/>
      <x:c r="P107" s="191"/>
      <x:c r="Q107" s="191"/>
      <x:c r="R107" s="191"/>
      <x:c r="S107" s="191"/>
      <x:c r="T107" s="191"/>
      <x:c r="U107" s="191"/>
      <x:c r="V107" s="191"/>
      <x:c r="W107" s="191"/>
      <x:c r="X107" s="191"/>
      <x:c r="Y107" s="191"/>
      <x:c r="Z107" s="191"/>
      <x:c r="AA107" s="191"/>
      <x:c r="AB107" s="191"/>
      <x:c r="AC107" s="191"/>
      <x:c r="AD107" s="191"/>
      <x:c r="AE107" s="191"/>
      <x:c r="AF107" s="191"/>
      <x:c r="AG107" s="191"/>
      <x:c r="AH107" s="191"/>
      <x:c r="AI107" s="191"/>
      <x:c r="AJ107" s="191"/>
      <x:c r="AK107" s="191"/>
    </x:row>
    <x:row r="108">
      <x:c r="A108" s="191"/>
      <x:c r="B108" s="191"/>
      <x:c r="C108" s="191"/>
      <x:c r="D108" s="191"/>
      <x:c r="E108" s="191"/>
      <x:c r="F108" s="191"/>
      <x:c r="G108" s="191"/>
      <x:c r="H108" s="191"/>
      <x:c r="I108" s="191"/>
      <x:c r="J108" s="191"/>
      <x:c r="K108" s="191"/>
      <x:c r="L108" s="191"/>
      <x:c r="M108" s="191"/>
      <x:c r="N108" s="191"/>
      <x:c r="O108" s="191"/>
      <x:c r="P108" s="191"/>
      <x:c r="Q108" s="191"/>
      <x:c r="R108" s="191"/>
      <x:c r="S108" s="191"/>
      <x:c r="T108" s="191"/>
      <x:c r="U108" s="191"/>
      <x:c r="V108" s="191"/>
      <x:c r="W108" s="191"/>
      <x:c r="X108" s="191"/>
      <x:c r="Y108" s="191"/>
      <x:c r="Z108" s="191"/>
      <x:c r="AA108" s="191"/>
      <x:c r="AB108" s="191"/>
      <x:c r="AC108" s="191"/>
      <x:c r="AD108" s="191"/>
      <x:c r="AE108" s="191"/>
      <x:c r="AF108" s="191"/>
      <x:c r="AG108" s="191"/>
      <x:c r="AH108" s="191"/>
      <x:c r="AI108" s="191"/>
      <x:c r="AJ108" s="191"/>
      <x:c r="AK108" s="191"/>
    </x:row>
    <x:row r="109">
      <x:c r="A109" s="191"/>
      <x:c r="B109" s="191"/>
      <x:c r="C109" s="191"/>
      <x:c r="D109" s="191"/>
      <x:c r="E109" s="191"/>
      <x:c r="F109" s="191"/>
      <x:c r="G109" s="191"/>
      <x:c r="H109" s="191"/>
      <x:c r="I109" s="191"/>
      <x:c r="J109" s="191"/>
      <x:c r="K109" s="191"/>
      <x:c r="L109" s="191"/>
      <x:c r="M109" s="191"/>
      <x:c r="N109" s="191"/>
      <x:c r="O109" s="191"/>
      <x:c r="P109" s="191"/>
      <x:c r="Q109" s="191"/>
      <x:c r="R109" s="191"/>
      <x:c r="S109" s="191"/>
      <x:c r="T109" s="191"/>
      <x:c r="U109" s="191"/>
      <x:c r="V109" s="191"/>
      <x:c r="W109" s="191"/>
      <x:c r="X109" s="191"/>
      <x:c r="Y109" s="191"/>
      <x:c r="Z109" s="191"/>
      <x:c r="AA109" s="191"/>
      <x:c r="AB109" s="191"/>
      <x:c r="AC109" s="191"/>
      <x:c r="AD109" s="191"/>
      <x:c r="AE109" s="191"/>
      <x:c r="AF109" s="191"/>
      <x:c r="AG109" s="191"/>
      <x:c r="AH109" s="191"/>
      <x:c r="AI109" s="191"/>
      <x:c r="AJ109" s="191"/>
      <x:c r="AK109" s="191"/>
    </x:row>
    <x:row r="110">
      <x:c r="A110" s="191"/>
      <x:c r="B110" s="191"/>
      <x:c r="C110" s="191"/>
      <x:c r="D110" s="191"/>
      <x:c r="E110" s="191"/>
      <x:c r="F110" s="191"/>
      <x:c r="G110" s="191"/>
      <x:c r="H110" s="191"/>
      <x:c r="I110" s="191"/>
      <x:c r="J110" s="191"/>
      <x:c r="K110" s="191"/>
      <x:c r="L110" s="191"/>
      <x:c r="M110" s="191"/>
      <x:c r="N110" s="191"/>
      <x:c r="O110" s="191"/>
      <x:c r="P110" s="191"/>
      <x:c r="Q110" s="191"/>
      <x:c r="R110" s="191"/>
      <x:c r="S110" s="191"/>
      <x:c r="T110" s="191"/>
      <x:c r="U110" s="191"/>
      <x:c r="V110" s="191"/>
      <x:c r="W110" s="191"/>
      <x:c r="X110" s="191"/>
      <x:c r="Y110" s="191"/>
      <x:c r="Z110" s="191"/>
      <x:c r="AA110" s="191"/>
      <x:c r="AB110" s="191"/>
      <x:c r="AC110" s="191"/>
      <x:c r="AD110" s="191"/>
      <x:c r="AE110" s="191"/>
      <x:c r="AF110" s="191"/>
      <x:c r="AG110" s="191"/>
      <x:c r="AH110" s="191"/>
      <x:c r="AI110" s="191"/>
      <x:c r="AJ110" s="191"/>
      <x:c r="AK110" s="191"/>
    </x:row>
    <x:row r="111">
      <x:c r="A111" s="191"/>
      <x:c r="B111" s="191"/>
      <x:c r="C111" s="191"/>
      <x:c r="D111" s="191"/>
      <x:c r="E111" s="191"/>
      <x:c r="F111" s="191"/>
      <x:c r="G111" s="191"/>
      <x:c r="H111" s="191"/>
      <x:c r="I111" s="191"/>
      <x:c r="J111" s="191"/>
      <x:c r="K111" s="191"/>
      <x:c r="L111" s="191"/>
      <x:c r="M111" s="191"/>
      <x:c r="N111" s="191"/>
      <x:c r="O111" s="191"/>
      <x:c r="P111" s="191"/>
      <x:c r="Q111" s="191"/>
      <x:c r="R111" s="191"/>
      <x:c r="S111" s="191"/>
      <x:c r="T111" s="191"/>
      <x:c r="U111" s="191"/>
      <x:c r="V111" s="191"/>
      <x:c r="W111" s="191"/>
      <x:c r="X111" s="191"/>
      <x:c r="Y111" s="191"/>
      <x:c r="Z111" s="191"/>
      <x:c r="AA111" s="191"/>
      <x:c r="AB111" s="191"/>
      <x:c r="AC111" s="191"/>
      <x:c r="AD111" s="191"/>
      <x:c r="AE111" s="191"/>
      <x:c r="AF111" s="191"/>
      <x:c r="AG111" s="191"/>
      <x:c r="AH111" s="191"/>
      <x:c r="AI111" s="191"/>
      <x:c r="AJ111" s="191"/>
      <x:c r="AK111" s="191"/>
    </x:row>
    <x:row r="112">
      <x:c r="A112" s="191"/>
      <x:c r="B112" s="191"/>
      <x:c r="C112" s="191"/>
      <x:c r="D112" s="191"/>
      <x:c r="E112" s="191"/>
      <x:c r="F112" s="191"/>
      <x:c r="G112" s="191"/>
      <x:c r="H112" s="191"/>
      <x:c r="I112" s="191"/>
      <x:c r="J112" s="191"/>
      <x:c r="K112" s="191"/>
      <x:c r="L112" s="191"/>
      <x:c r="M112" s="191"/>
      <x:c r="N112" s="191"/>
      <x:c r="O112" s="191"/>
      <x:c r="P112" s="191"/>
      <x:c r="Q112" s="191"/>
      <x:c r="R112" s="191"/>
      <x:c r="S112" s="191"/>
      <x:c r="T112" s="191"/>
      <x:c r="U112" s="191"/>
      <x:c r="V112" s="191"/>
      <x:c r="W112" s="191"/>
      <x:c r="X112" s="191"/>
      <x:c r="Y112" s="191"/>
      <x:c r="Z112" s="191"/>
      <x:c r="AA112" s="191"/>
      <x:c r="AB112" s="191"/>
      <x:c r="AC112" s="191"/>
      <x:c r="AD112" s="191"/>
      <x:c r="AE112" s="191"/>
      <x:c r="AF112" s="191"/>
      <x:c r="AG112" s="191"/>
      <x:c r="AH112" s="191"/>
      <x:c r="AI112" s="191"/>
      <x:c r="AJ112" s="191"/>
      <x:c r="AK112" s="191"/>
    </x:row>
    <x:row r="113">
      <x:c r="A113" s="191"/>
      <x:c r="B113" s="191"/>
      <x:c r="C113" s="191"/>
      <x:c r="D113" s="191"/>
      <x:c r="E113" s="191"/>
      <x:c r="F113" s="191"/>
      <x:c r="G113" s="191"/>
      <x:c r="H113" s="191"/>
      <x:c r="I113" s="191"/>
      <x:c r="J113" s="191"/>
      <x:c r="K113" s="191"/>
      <x:c r="L113" s="191"/>
      <x:c r="M113" s="191"/>
      <x:c r="N113" s="191"/>
      <x:c r="O113" s="191"/>
      <x:c r="P113" s="191"/>
      <x:c r="Q113" s="191"/>
      <x:c r="R113" s="191"/>
      <x:c r="S113" s="191"/>
      <x:c r="T113" s="191"/>
      <x:c r="U113" s="191"/>
      <x:c r="V113" s="191"/>
      <x:c r="W113" s="191"/>
      <x:c r="X113" s="191"/>
      <x:c r="Y113" s="191"/>
      <x:c r="Z113" s="191"/>
      <x:c r="AA113" s="191"/>
      <x:c r="AB113" s="191"/>
      <x:c r="AC113" s="191"/>
      <x:c r="AD113" s="191"/>
      <x:c r="AE113" s="191"/>
      <x:c r="AF113" s="191"/>
      <x:c r="AG113" s="191"/>
      <x:c r="AH113" s="191"/>
      <x:c r="AI113" s="191"/>
      <x:c r="AJ113" s="191"/>
      <x:c r="AK113" s="191"/>
    </x:row>
    <x:row r="114">
      <x:c r="A114" s="191"/>
      <x:c r="B114" s="191"/>
      <x:c r="C114" s="191"/>
      <x:c r="D114" s="191"/>
      <x:c r="E114" s="191"/>
      <x:c r="F114" s="191"/>
      <x:c r="G114" s="191"/>
      <x:c r="H114" s="191"/>
      <x:c r="I114" s="191"/>
      <x:c r="J114" s="191"/>
      <x:c r="K114" s="191"/>
      <x:c r="L114" s="191"/>
      <x:c r="M114" s="191"/>
      <x:c r="N114" s="191"/>
      <x:c r="O114" s="191"/>
      <x:c r="P114" s="191"/>
      <x:c r="Q114" s="191"/>
      <x:c r="R114" s="191"/>
      <x:c r="S114" s="191"/>
      <x:c r="T114" s="191"/>
      <x:c r="U114" s="191"/>
      <x:c r="V114" s="191"/>
      <x:c r="W114" s="191"/>
      <x:c r="X114" s="191"/>
      <x:c r="Y114" s="191"/>
      <x:c r="Z114" s="191"/>
      <x:c r="AA114" s="191"/>
      <x:c r="AB114" s="191"/>
      <x:c r="AC114" s="191"/>
      <x:c r="AD114" s="191"/>
      <x:c r="AE114" s="191"/>
      <x:c r="AF114" s="191"/>
      <x:c r="AG114" s="191"/>
      <x:c r="AH114" s="191"/>
      <x:c r="AI114" s="191"/>
      <x:c r="AJ114" s="191"/>
      <x:c r="AK114" s="191"/>
    </x:row>
    <x:row r="115">
      <x:c r="A115" s="191"/>
      <x:c r="B115" s="191"/>
      <x:c r="C115" s="191"/>
      <x:c r="D115" s="191"/>
      <x:c r="E115" s="191"/>
      <x:c r="F115" s="191"/>
      <x:c r="G115" s="191"/>
      <x:c r="H115" s="191"/>
      <x:c r="I115" s="191"/>
      <x:c r="J115" s="191"/>
      <x:c r="K115" s="191"/>
      <x:c r="L115" s="191"/>
      <x:c r="M115" s="191"/>
      <x:c r="N115" s="191"/>
      <x:c r="O115" s="191"/>
      <x:c r="P115" s="191"/>
      <x:c r="Q115" s="191"/>
      <x:c r="R115" s="191"/>
      <x:c r="S115" s="191"/>
      <x:c r="T115" s="191"/>
      <x:c r="U115" s="191"/>
      <x:c r="V115" s="191"/>
      <x:c r="W115" s="191"/>
      <x:c r="X115" s="191"/>
      <x:c r="Y115" s="191"/>
      <x:c r="Z115" s="191"/>
      <x:c r="AA115" s="191"/>
      <x:c r="AB115" s="191"/>
      <x:c r="AC115" s="191"/>
      <x:c r="AD115" s="191"/>
      <x:c r="AE115" s="191"/>
      <x:c r="AF115" s="191"/>
      <x:c r="AG115" s="191"/>
      <x:c r="AH115" s="191"/>
      <x:c r="AI115" s="191"/>
      <x:c r="AJ115" s="191"/>
      <x:c r="AK115" s="191"/>
    </x:row>
    <x:row r="116">
      <x:c r="A116" s="191"/>
      <x:c r="B116" s="191"/>
      <x:c r="C116" s="191"/>
      <x:c r="D116" s="191"/>
      <x:c r="E116" s="191"/>
      <x:c r="F116" s="191"/>
      <x:c r="G116" s="191"/>
      <x:c r="H116" s="191"/>
      <x:c r="I116" s="191"/>
      <x:c r="J116" s="191"/>
      <x:c r="K116" s="191"/>
      <x:c r="L116" s="191"/>
      <x:c r="M116" s="191"/>
      <x:c r="N116" s="191"/>
      <x:c r="O116" s="191"/>
      <x:c r="P116" s="191"/>
      <x:c r="Q116" s="191"/>
      <x:c r="R116" s="191"/>
      <x:c r="S116" s="191"/>
      <x:c r="T116" s="191"/>
      <x:c r="U116" s="191"/>
      <x:c r="V116" s="191"/>
      <x:c r="W116" s="191"/>
      <x:c r="X116" s="191"/>
      <x:c r="Y116" s="191"/>
      <x:c r="Z116" s="191"/>
      <x:c r="AA116" s="191"/>
      <x:c r="AB116" s="191"/>
      <x:c r="AC116" s="191"/>
      <x:c r="AD116" s="191"/>
      <x:c r="AE116" s="191"/>
      <x:c r="AF116" s="191"/>
      <x:c r="AG116" s="191"/>
      <x:c r="AH116" s="191"/>
      <x:c r="AI116" s="191"/>
      <x:c r="AJ116" s="191"/>
      <x:c r="AK116" s="191"/>
    </x:row>
    <x:row r="117">
      <x:c r="A117" s="191"/>
      <x:c r="B117" s="191"/>
      <x:c r="C117" s="191"/>
      <x:c r="D117" s="191"/>
      <x:c r="E117" s="191"/>
      <x:c r="F117" s="191"/>
      <x:c r="G117" s="191"/>
      <x:c r="H117" s="191"/>
      <x:c r="I117" s="191"/>
      <x:c r="J117" s="191"/>
      <x:c r="K117" s="191"/>
      <x:c r="L117" s="191"/>
      <x:c r="M117" s="191"/>
      <x:c r="N117" s="191"/>
      <x:c r="O117" s="191"/>
      <x:c r="P117" s="191"/>
      <x:c r="Q117" s="191"/>
      <x:c r="R117" s="191"/>
      <x:c r="S117" s="191"/>
      <x:c r="T117" s="191"/>
      <x:c r="U117" s="191"/>
      <x:c r="V117" s="191"/>
      <x:c r="W117" s="191"/>
      <x:c r="X117" s="191"/>
      <x:c r="Y117" s="191"/>
      <x:c r="Z117" s="191"/>
      <x:c r="AA117" s="191"/>
      <x:c r="AB117" s="191"/>
      <x:c r="AC117" s="191"/>
      <x:c r="AD117" s="191"/>
      <x:c r="AE117" s="191"/>
      <x:c r="AF117" s="191"/>
      <x:c r="AG117" s="191"/>
      <x:c r="AH117" s="191"/>
      <x:c r="AI117" s="191"/>
      <x:c r="AJ117" s="191"/>
      <x:c r="AK117" s="191"/>
    </x:row>
    <x:row r="118">
      <x:c r="A118" s="191"/>
      <x:c r="B118" s="191"/>
      <x:c r="C118" s="191"/>
      <x:c r="D118" s="191"/>
      <x:c r="E118" s="191"/>
      <x:c r="F118" s="191"/>
      <x:c r="G118" s="191"/>
      <x:c r="H118" s="191"/>
      <x:c r="I118" s="191"/>
      <x:c r="J118" s="191"/>
      <x:c r="K118" s="191"/>
      <x:c r="L118" s="191"/>
      <x:c r="M118" s="191"/>
      <x:c r="N118" s="191"/>
      <x:c r="O118" s="191"/>
      <x:c r="P118" s="191"/>
      <x:c r="Q118" s="191"/>
      <x:c r="R118" s="191"/>
      <x:c r="S118" s="191"/>
      <x:c r="T118" s="191"/>
      <x:c r="U118" s="191"/>
      <x:c r="V118" s="191"/>
      <x:c r="W118" s="191"/>
      <x:c r="X118" s="191"/>
      <x:c r="Y118" s="191"/>
      <x:c r="Z118" s="191"/>
      <x:c r="AA118" s="191"/>
      <x:c r="AB118" s="191"/>
      <x:c r="AC118" s="191"/>
      <x:c r="AD118" s="191"/>
      <x:c r="AE118" s="191"/>
      <x:c r="AF118" s="191"/>
      <x:c r="AG118" s="191"/>
      <x:c r="AH118" s="191"/>
      <x:c r="AI118" s="191"/>
      <x:c r="AJ118" s="191"/>
      <x:c r="AK118" s="191"/>
    </x:row>
    <x:row r="119">
      <x:c r="A119" s="191"/>
      <x:c r="B119" s="191"/>
      <x:c r="C119" s="191"/>
      <x:c r="D119" s="191"/>
      <x:c r="E119" s="191"/>
      <x:c r="F119" s="191"/>
      <x:c r="G119" s="191"/>
      <x:c r="H119" s="191"/>
      <x:c r="I119" s="191"/>
      <x:c r="J119" s="191"/>
      <x:c r="K119" s="191"/>
      <x:c r="L119" s="191"/>
      <x:c r="M119" s="191"/>
      <x:c r="N119" s="191"/>
      <x:c r="O119" s="191"/>
      <x:c r="P119" s="191"/>
      <x:c r="Q119" s="191"/>
      <x:c r="R119" s="191"/>
      <x:c r="S119" s="191"/>
      <x:c r="T119" s="191"/>
      <x:c r="U119" s="191"/>
      <x:c r="V119" s="191"/>
      <x:c r="W119" s="191"/>
      <x:c r="X119" s="191"/>
      <x:c r="Y119" s="191"/>
      <x:c r="Z119" s="191"/>
      <x:c r="AA119" s="191"/>
      <x:c r="AB119" s="191"/>
      <x:c r="AC119" s="191"/>
      <x:c r="AD119" s="191"/>
      <x:c r="AE119" s="191"/>
      <x:c r="AF119" s="191"/>
      <x:c r="AG119" s="191"/>
      <x:c r="AH119" s="191"/>
      <x:c r="AI119" s="191"/>
      <x:c r="AJ119" s="191"/>
      <x:c r="AK119" s="191"/>
    </x:row>
    <x:row r="120">
      <x:c r="A120" s="191"/>
      <x:c r="B120" s="191"/>
      <x:c r="C120" s="191"/>
      <x:c r="D120" s="191"/>
      <x:c r="E120" s="191"/>
      <x:c r="F120" s="191"/>
      <x:c r="G120" s="191"/>
      <x:c r="H120" s="191"/>
      <x:c r="I120" s="191"/>
      <x:c r="J120" s="191"/>
      <x:c r="K120" s="191"/>
      <x:c r="L120" s="191"/>
      <x:c r="M120" s="191"/>
      <x:c r="N120" s="191"/>
      <x:c r="O120" s="191"/>
      <x:c r="P120" s="191"/>
      <x:c r="Q120" s="191"/>
      <x:c r="R120" s="191"/>
      <x:c r="S120" s="191"/>
      <x:c r="T120" s="191"/>
      <x:c r="U120" s="191"/>
      <x:c r="V120" s="191"/>
      <x:c r="W120" s="191"/>
      <x:c r="X120" s="191"/>
      <x:c r="Y120" s="191"/>
      <x:c r="Z120" s="191"/>
      <x:c r="AA120" s="191"/>
      <x:c r="AB120" s="191"/>
      <x:c r="AC120" s="191"/>
      <x:c r="AD120" s="191"/>
      <x:c r="AE120" s="191"/>
      <x:c r="AF120" s="191"/>
      <x:c r="AG120" s="191"/>
      <x:c r="AH120" s="191"/>
      <x:c r="AI120" s="191"/>
      <x:c r="AJ120" s="191"/>
      <x:c r="AK120" s="191"/>
    </x:row>
    <x:row r="121">
      <x:c r="A121" s="191"/>
      <x:c r="B121" s="191"/>
      <x:c r="C121" s="191"/>
      <x:c r="D121" s="191"/>
      <x:c r="E121" s="191"/>
      <x:c r="F121" s="191"/>
      <x:c r="G121" s="191"/>
      <x:c r="H121" s="191"/>
      <x:c r="I121" s="191"/>
      <x:c r="J121" s="191"/>
      <x:c r="K121" s="191"/>
      <x:c r="L121" s="191"/>
      <x:c r="M121" s="191"/>
      <x:c r="N121" s="191"/>
      <x:c r="O121" s="191"/>
      <x:c r="P121" s="191"/>
      <x:c r="Q121" s="191"/>
      <x:c r="R121" s="191"/>
      <x:c r="S121" s="191"/>
      <x:c r="T121" s="191"/>
      <x:c r="U121" s="191"/>
      <x:c r="V121" s="191"/>
      <x:c r="W121" s="191"/>
      <x:c r="X121" s="191"/>
      <x:c r="Y121" s="191"/>
      <x:c r="Z121" s="191"/>
      <x:c r="AA121" s="191"/>
      <x:c r="AB121" s="191"/>
      <x:c r="AC121" s="191"/>
      <x:c r="AD121" s="191"/>
      <x:c r="AE121" s="191"/>
      <x:c r="AF121" s="191"/>
      <x:c r="AG121" s="191"/>
      <x:c r="AH121" s="191"/>
      <x:c r="AI121" s="191"/>
      <x:c r="AJ121" s="191"/>
      <x:c r="AK121" s="191"/>
    </x:row>
    <x:row r="122">
      <x:c r="A122" s="191"/>
      <x:c r="B122" s="191"/>
      <x:c r="C122" s="191"/>
      <x:c r="D122" s="191"/>
      <x:c r="E122" s="191"/>
      <x:c r="F122" s="191"/>
      <x:c r="G122" s="191"/>
      <x:c r="H122" s="191"/>
      <x:c r="I122" s="191"/>
      <x:c r="J122" s="191"/>
      <x:c r="K122" s="191"/>
      <x:c r="L122" s="191"/>
      <x:c r="M122" s="191"/>
      <x:c r="N122" s="191"/>
      <x:c r="O122" s="191"/>
      <x:c r="P122" s="191"/>
      <x:c r="Q122" s="191"/>
      <x:c r="R122" s="191"/>
      <x:c r="S122" s="191"/>
      <x:c r="T122" s="191"/>
      <x:c r="U122" s="191"/>
      <x:c r="V122" s="191"/>
      <x:c r="W122" s="191"/>
      <x:c r="X122" s="191"/>
      <x:c r="Y122" s="191"/>
      <x:c r="Z122" s="191"/>
      <x:c r="AA122" s="191"/>
      <x:c r="AB122" s="191"/>
      <x:c r="AC122" s="191"/>
      <x:c r="AD122" s="191"/>
      <x:c r="AE122" s="191"/>
      <x:c r="AF122" s="191"/>
      <x:c r="AG122" s="191"/>
      <x:c r="AH122" s="191"/>
      <x:c r="AI122" s="191"/>
      <x:c r="AJ122" s="191"/>
      <x:c r="AK122" s="191"/>
    </x:row>
    <x:row r="123">
      <x:c r="A123" s="191"/>
      <x:c r="B123" s="191"/>
      <x:c r="C123" s="191"/>
      <x:c r="D123" s="191"/>
      <x:c r="E123" s="191"/>
      <x:c r="F123" s="191"/>
      <x:c r="G123" s="191"/>
      <x:c r="H123" s="191"/>
      <x:c r="I123" s="191"/>
      <x:c r="J123" s="191"/>
      <x:c r="K123" s="191"/>
      <x:c r="L123" s="191"/>
      <x:c r="M123" s="191"/>
      <x:c r="N123" s="191"/>
      <x:c r="O123" s="191"/>
      <x:c r="P123" s="191"/>
      <x:c r="Q123" s="191"/>
      <x:c r="R123" s="191"/>
      <x:c r="S123" s="191"/>
      <x:c r="T123" s="191"/>
      <x:c r="U123" s="191"/>
      <x:c r="V123" s="191"/>
      <x:c r="W123" s="191"/>
      <x:c r="X123" s="191"/>
      <x:c r="Y123" s="191"/>
      <x:c r="Z123" s="191"/>
      <x:c r="AA123" s="191"/>
      <x:c r="AB123" s="191"/>
      <x:c r="AC123" s="191"/>
      <x:c r="AD123" s="191"/>
      <x:c r="AE123" s="191"/>
      <x:c r="AF123" s="191"/>
      <x:c r="AG123" s="191"/>
      <x:c r="AH123" s="191"/>
      <x:c r="AI123" s="191"/>
      <x:c r="AJ123" s="191"/>
      <x:c r="AK123" s="191"/>
    </x:row>
    <x:row r="124">
      <x:c r="A124" s="191"/>
      <x:c r="B124" s="191"/>
      <x:c r="C124" s="191"/>
      <x:c r="D124" s="191"/>
      <x:c r="E124" s="191"/>
      <x:c r="F124" s="191"/>
      <x:c r="G124" s="191"/>
      <x:c r="H124" s="191"/>
      <x:c r="I124" s="191"/>
      <x:c r="J124" s="191"/>
      <x:c r="K124" s="191"/>
      <x:c r="L124" s="191"/>
      <x:c r="M124" s="191"/>
      <x:c r="N124" s="191"/>
      <x:c r="O124" s="191"/>
      <x:c r="P124" s="191"/>
      <x:c r="Q124" s="191"/>
      <x:c r="R124" s="191"/>
      <x:c r="S124" s="191"/>
      <x:c r="T124" s="191"/>
      <x:c r="U124" s="191"/>
      <x:c r="V124" s="191"/>
      <x:c r="W124" s="191"/>
      <x:c r="X124" s="191"/>
      <x:c r="Y124" s="191"/>
      <x:c r="Z124" s="191"/>
      <x:c r="AA124" s="191"/>
      <x:c r="AB124" s="191"/>
      <x:c r="AC124" s="191"/>
      <x:c r="AD124" s="191"/>
      <x:c r="AE124" s="191"/>
      <x:c r="AF124" s="191"/>
      <x:c r="AG124" s="191"/>
      <x:c r="AH124" s="191"/>
      <x:c r="AI124" s="191"/>
      <x:c r="AJ124" s="191"/>
      <x:c r="AK124" s="191"/>
    </x:row>
    <x:row r="125">
      <x:c r="A125" s="191"/>
      <x:c r="B125" s="191"/>
      <x:c r="C125" s="191"/>
      <x:c r="D125" s="191"/>
      <x:c r="E125" s="191"/>
      <x:c r="F125" s="191"/>
      <x:c r="G125" s="191"/>
      <x:c r="H125" s="191"/>
      <x:c r="I125" s="191"/>
      <x:c r="J125" s="191"/>
      <x:c r="K125" s="191"/>
      <x:c r="L125" s="191"/>
      <x:c r="M125" s="191"/>
      <x:c r="N125" s="191"/>
      <x:c r="O125" s="191"/>
      <x:c r="P125" s="191"/>
      <x:c r="Q125" s="191"/>
      <x:c r="R125" s="191"/>
      <x:c r="S125" s="191"/>
      <x:c r="T125" s="191"/>
      <x:c r="U125" s="191"/>
      <x:c r="V125" s="191"/>
      <x:c r="W125" s="191"/>
      <x:c r="X125" s="191"/>
      <x:c r="Y125" s="191"/>
      <x:c r="Z125" s="191"/>
      <x:c r="AA125" s="191"/>
      <x:c r="AB125" s="191"/>
      <x:c r="AC125" s="191"/>
      <x:c r="AD125" s="191"/>
      <x:c r="AE125" s="191"/>
      <x:c r="AF125" s="191"/>
      <x:c r="AG125" s="191"/>
      <x:c r="AH125" s="191"/>
      <x:c r="AI125" s="191"/>
      <x:c r="AJ125" s="191"/>
      <x:c r="AK125" s="191"/>
    </x:row>
    <x:row r="126">
      <x:c r="A126" s="191"/>
      <x:c r="B126" s="191"/>
      <x:c r="C126" s="191"/>
      <x:c r="D126" s="191"/>
      <x:c r="E126" s="191"/>
      <x:c r="F126" s="191"/>
      <x:c r="G126" s="191"/>
      <x:c r="H126" s="191"/>
      <x:c r="I126" s="191"/>
      <x:c r="J126" s="191"/>
      <x:c r="K126" s="191"/>
      <x:c r="L126" s="191"/>
      <x:c r="M126" s="191"/>
      <x:c r="N126" s="191"/>
      <x:c r="O126" s="191"/>
      <x:c r="P126" s="191"/>
      <x:c r="Q126" s="191"/>
      <x:c r="R126" s="191"/>
      <x:c r="S126" s="191"/>
      <x:c r="T126" s="191"/>
      <x:c r="U126" s="191"/>
      <x:c r="V126" s="191"/>
      <x:c r="W126" s="191"/>
      <x:c r="X126" s="191"/>
      <x:c r="Y126" s="191"/>
      <x:c r="Z126" s="191"/>
      <x:c r="AA126" s="191"/>
      <x:c r="AB126" s="191"/>
      <x:c r="AC126" s="191"/>
      <x:c r="AD126" s="191"/>
      <x:c r="AE126" s="191"/>
      <x:c r="AF126" s="191"/>
      <x:c r="AG126" s="191"/>
      <x:c r="AH126" s="191"/>
      <x:c r="AI126" s="191"/>
      <x:c r="AJ126" s="191"/>
      <x:c r="AK126" s="191"/>
    </x:row>
    <x:row r="127">
      <x:c r="A127" s="191"/>
      <x:c r="B127" s="191"/>
      <x:c r="C127" s="191"/>
      <x:c r="D127" s="191"/>
      <x:c r="E127" s="191"/>
      <x:c r="F127" s="191"/>
      <x:c r="G127" s="191"/>
      <x:c r="H127" s="191"/>
      <x:c r="I127" s="191"/>
      <x:c r="J127" s="191"/>
      <x:c r="K127" s="191"/>
      <x:c r="L127" s="191"/>
      <x:c r="M127" s="191"/>
      <x:c r="N127" s="191"/>
      <x:c r="O127" s="191"/>
      <x:c r="P127" s="191"/>
      <x:c r="Q127" s="191"/>
      <x:c r="R127" s="191"/>
      <x:c r="S127" s="191"/>
      <x:c r="T127" s="191"/>
      <x:c r="U127" s="191"/>
      <x:c r="V127" s="191"/>
      <x:c r="W127" s="191"/>
      <x:c r="X127" s="191"/>
      <x:c r="Y127" s="191"/>
      <x:c r="Z127" s="191"/>
      <x:c r="AA127" s="191"/>
      <x:c r="AB127" s="191"/>
      <x:c r="AC127" s="191"/>
      <x:c r="AD127" s="191"/>
      <x:c r="AE127" s="191"/>
      <x:c r="AF127" s="191"/>
      <x:c r="AG127" s="191"/>
      <x:c r="AH127" s="191"/>
      <x:c r="AI127" s="191"/>
      <x:c r="AJ127" s="191"/>
      <x:c r="AK127" s="191"/>
    </x:row>
    <x:row r="128">
      <x:c r="A128" s="191"/>
      <x:c r="B128" s="191"/>
      <x:c r="C128" s="191"/>
      <x:c r="D128" s="191"/>
      <x:c r="E128" s="191"/>
      <x:c r="F128" s="191"/>
      <x:c r="G128" s="191"/>
      <x:c r="H128" s="191"/>
      <x:c r="I128" s="191"/>
      <x:c r="J128" s="191"/>
      <x:c r="K128" s="191"/>
      <x:c r="L128" s="191"/>
      <x:c r="M128" s="191"/>
      <x:c r="N128" s="191"/>
      <x:c r="O128" s="191"/>
      <x:c r="P128" s="191"/>
      <x:c r="Q128" s="191"/>
      <x:c r="R128" s="191"/>
      <x:c r="S128" s="191"/>
      <x:c r="T128" s="191"/>
      <x:c r="U128" s="191"/>
      <x:c r="V128" s="191"/>
      <x:c r="W128" s="191"/>
      <x:c r="X128" s="191"/>
      <x:c r="Y128" s="191"/>
      <x:c r="Z128" s="191"/>
      <x:c r="AA128" s="191"/>
      <x:c r="AB128" s="191"/>
      <x:c r="AC128" s="191"/>
      <x:c r="AD128" s="191"/>
      <x:c r="AE128" s="191"/>
      <x:c r="AF128" s="191"/>
      <x:c r="AG128" s="191"/>
      <x:c r="AH128" s="191"/>
      <x:c r="AI128" s="191"/>
      <x:c r="AJ128" s="191"/>
      <x:c r="AK128" s="191"/>
    </x:row>
    <x:row r="129">
      <x:c r="A129" s="191"/>
      <x:c r="B129" s="191"/>
      <x:c r="C129" s="191"/>
      <x:c r="D129" s="191"/>
      <x:c r="E129" s="191"/>
      <x:c r="F129" s="191"/>
      <x:c r="G129" s="191"/>
      <x:c r="H129" s="191"/>
      <x:c r="I129" s="191"/>
      <x:c r="J129" s="191"/>
      <x:c r="K129" s="191"/>
      <x:c r="L129" s="191"/>
      <x:c r="M129" s="191"/>
      <x:c r="N129" s="191"/>
      <x:c r="O129" s="191"/>
      <x:c r="P129" s="191"/>
      <x:c r="Q129" s="191"/>
      <x:c r="R129" s="191"/>
      <x:c r="S129" s="191"/>
      <x:c r="T129" s="191"/>
      <x:c r="U129" s="191"/>
      <x:c r="V129" s="191"/>
      <x:c r="W129" s="191"/>
      <x:c r="X129" s="191"/>
      <x:c r="Y129" s="191"/>
      <x:c r="Z129" s="191"/>
      <x:c r="AA129" s="191"/>
      <x:c r="AB129" s="191"/>
      <x:c r="AC129" s="191"/>
      <x:c r="AD129" s="191"/>
      <x:c r="AE129" s="191"/>
      <x:c r="AF129" s="191"/>
      <x:c r="AG129" s="191"/>
      <x:c r="AH129" s="191"/>
      <x:c r="AI129" s="191"/>
      <x:c r="AJ129" s="191"/>
      <x:c r="AK129" s="191"/>
    </x:row>
    <x:row r="130">
      <x:c r="A130" s="191"/>
      <x:c r="B130" s="191"/>
      <x:c r="C130" s="191"/>
      <x:c r="D130" s="191"/>
      <x:c r="E130" s="191"/>
      <x:c r="F130" s="191"/>
      <x:c r="G130" s="191"/>
      <x:c r="H130" s="191"/>
      <x:c r="I130" s="191"/>
      <x:c r="J130" s="191"/>
      <x:c r="K130" s="191"/>
      <x:c r="L130" s="191"/>
      <x:c r="M130" s="191"/>
      <x:c r="N130" s="191"/>
      <x:c r="O130" s="191"/>
      <x:c r="P130" s="191"/>
      <x:c r="Q130" s="191"/>
      <x:c r="R130" s="191"/>
      <x:c r="S130" s="191"/>
      <x:c r="T130" s="191"/>
      <x:c r="U130" s="191"/>
      <x:c r="V130" s="191"/>
      <x:c r="W130" s="191"/>
      <x:c r="X130" s="191"/>
      <x:c r="Y130" s="191"/>
      <x:c r="Z130" s="191"/>
      <x:c r="AA130" s="191"/>
      <x:c r="AB130" s="191"/>
      <x:c r="AC130" s="191"/>
      <x:c r="AD130" s="191"/>
      <x:c r="AE130" s="191"/>
      <x:c r="AF130" s="191"/>
      <x:c r="AG130" s="191"/>
      <x:c r="AH130" s="191"/>
      <x:c r="AI130" s="191"/>
      <x:c r="AJ130" s="191"/>
      <x:c r="AK130" s="191"/>
    </x:row>
    <x:row r="131">
      <x:c r="A131" s="191"/>
      <x:c r="B131" s="191"/>
      <x:c r="C131" s="191"/>
      <x:c r="D131" s="191"/>
      <x:c r="E131" s="191"/>
      <x:c r="F131" s="191"/>
      <x:c r="G131" s="191"/>
      <x:c r="H131" s="191"/>
      <x:c r="I131" s="191"/>
      <x:c r="J131" s="191"/>
      <x:c r="K131" s="191"/>
      <x:c r="L131" s="191"/>
      <x:c r="M131" s="191"/>
      <x:c r="N131" s="191"/>
      <x:c r="O131" s="191"/>
      <x:c r="P131" s="191"/>
      <x:c r="Q131" s="191"/>
      <x:c r="R131" s="191"/>
      <x:c r="S131" s="191"/>
      <x:c r="T131" s="191"/>
      <x:c r="U131" s="191"/>
      <x:c r="V131" s="191"/>
      <x:c r="W131" s="191"/>
      <x:c r="X131" s="191"/>
      <x:c r="Y131" s="191"/>
      <x:c r="Z131" s="191"/>
      <x:c r="AA131" s="191"/>
      <x:c r="AB131" s="191"/>
      <x:c r="AC131" s="191"/>
      <x:c r="AD131" s="191"/>
      <x:c r="AE131" s="191"/>
      <x:c r="AF131" s="191"/>
      <x:c r="AG131" s="191"/>
      <x:c r="AH131" s="191"/>
      <x:c r="AI131" s="191"/>
      <x:c r="AJ131" s="191"/>
      <x:c r="AK131" s="191"/>
    </x:row>
    <x:row r="132">
      <x:c r="A132" s="191"/>
      <x:c r="B132" s="191"/>
      <x:c r="C132" s="191"/>
      <x:c r="D132" s="191"/>
      <x:c r="E132" s="191"/>
      <x:c r="F132" s="191"/>
      <x:c r="G132" s="191"/>
      <x:c r="H132" s="191"/>
      <x:c r="I132" s="191"/>
      <x:c r="J132" s="191"/>
      <x:c r="K132" s="191"/>
      <x:c r="L132" s="191"/>
      <x:c r="M132" s="191"/>
      <x:c r="N132" s="191"/>
      <x:c r="O132" s="191"/>
      <x:c r="P132" s="191"/>
      <x:c r="Q132" s="191"/>
      <x:c r="R132" s="191"/>
      <x:c r="S132" s="191"/>
      <x:c r="T132" s="191"/>
      <x:c r="U132" s="191"/>
      <x:c r="V132" s="191"/>
      <x:c r="W132" s="191"/>
      <x:c r="X132" s="191"/>
      <x:c r="Y132" s="191"/>
      <x:c r="Z132" s="191"/>
      <x:c r="AA132" s="191"/>
      <x:c r="AB132" s="191"/>
      <x:c r="AC132" s="191"/>
      <x:c r="AD132" s="191"/>
      <x:c r="AE132" s="191"/>
      <x:c r="AF132" s="191"/>
      <x:c r="AG132" s="191"/>
      <x:c r="AH132" s="191"/>
      <x:c r="AI132" s="191"/>
      <x:c r="AJ132" s="191"/>
      <x:c r="AK132" s="191"/>
    </x:row>
    <x:row r="133">
      <x:c r="A133" s="191"/>
      <x:c r="B133" s="191"/>
      <x:c r="C133" s="191"/>
      <x:c r="D133" s="191"/>
      <x:c r="E133" s="191"/>
      <x:c r="F133" s="191"/>
      <x:c r="G133" s="191"/>
      <x:c r="H133" s="191"/>
      <x:c r="I133" s="191"/>
      <x:c r="J133" s="191"/>
      <x:c r="K133" s="191"/>
      <x:c r="L133" s="191"/>
      <x:c r="M133" s="191"/>
      <x:c r="N133" s="191"/>
      <x:c r="O133" s="191"/>
      <x:c r="P133" s="191"/>
      <x:c r="Q133" s="191"/>
      <x:c r="R133" s="191"/>
      <x:c r="S133" s="191"/>
      <x:c r="T133" s="191"/>
      <x:c r="U133" s="191"/>
      <x:c r="V133" s="191"/>
      <x:c r="W133" s="191"/>
      <x:c r="X133" s="191"/>
      <x:c r="Y133" s="191"/>
      <x:c r="Z133" s="191"/>
      <x:c r="AA133" s="191"/>
      <x:c r="AB133" s="191"/>
      <x:c r="AC133" s="191"/>
      <x:c r="AD133" s="191"/>
      <x:c r="AE133" s="191"/>
      <x:c r="AF133" s="191"/>
      <x:c r="AG133" s="191"/>
      <x:c r="AH133" s="191"/>
      <x:c r="AI133" s="191"/>
      <x:c r="AJ133" s="191"/>
      <x:c r="AK133" s="191"/>
    </x:row>
    <x:row r="134">
      <x:c r="A134" s="191"/>
      <x:c r="B134" s="191"/>
      <x:c r="C134" s="191"/>
      <x:c r="D134" s="191"/>
      <x:c r="E134" s="191"/>
      <x:c r="F134" s="191"/>
      <x:c r="G134" s="191"/>
      <x:c r="H134" s="191"/>
      <x:c r="I134" s="191"/>
      <x:c r="J134" s="191"/>
      <x:c r="K134" s="191"/>
      <x:c r="L134" s="191"/>
      <x:c r="M134" s="191"/>
      <x:c r="N134" s="191"/>
      <x:c r="O134" s="191"/>
      <x:c r="P134" s="191"/>
      <x:c r="Q134" s="191"/>
      <x:c r="R134" s="191"/>
      <x:c r="S134" s="191"/>
      <x:c r="T134" s="191"/>
      <x:c r="U134" s="191"/>
      <x:c r="V134" s="191"/>
      <x:c r="W134" s="191"/>
      <x:c r="X134" s="191"/>
      <x:c r="Y134" s="191"/>
      <x:c r="Z134" s="191"/>
      <x:c r="AA134" s="191"/>
      <x:c r="AB134" s="191"/>
      <x:c r="AC134" s="191"/>
      <x:c r="AD134" s="191"/>
      <x:c r="AE134" s="191"/>
      <x:c r="AF134" s="191"/>
      <x:c r="AG134" s="191"/>
      <x:c r="AH134" s="191"/>
      <x:c r="AI134" s="191"/>
      <x:c r="AJ134" s="191"/>
      <x:c r="AK134" s="191"/>
    </x:row>
    <x:row r="135">
      <x:c r="A135" s="191"/>
      <x:c r="B135" s="191"/>
      <x:c r="C135" s="191"/>
      <x:c r="D135" s="191"/>
      <x:c r="E135" s="191"/>
      <x:c r="F135" s="191"/>
      <x:c r="G135" s="191"/>
      <x:c r="H135" s="191"/>
      <x:c r="I135" s="191"/>
      <x:c r="J135" s="191"/>
      <x:c r="K135" s="191"/>
      <x:c r="L135" s="191"/>
      <x:c r="M135" s="191"/>
      <x:c r="N135" s="191"/>
      <x:c r="O135" s="191"/>
      <x:c r="P135" s="191"/>
      <x:c r="Q135" s="191"/>
      <x:c r="R135" s="191"/>
      <x:c r="S135" s="191"/>
      <x:c r="T135" s="191"/>
      <x:c r="U135" s="191"/>
      <x:c r="V135" s="191"/>
      <x:c r="W135" s="191"/>
      <x:c r="X135" s="191"/>
      <x:c r="Y135" s="191"/>
      <x:c r="Z135" s="191"/>
      <x:c r="AA135" s="191"/>
      <x:c r="AB135" s="191"/>
      <x:c r="AC135" s="191"/>
      <x:c r="AD135" s="191"/>
      <x:c r="AE135" s="191"/>
      <x:c r="AF135" s="191"/>
      <x:c r="AG135" s="191"/>
      <x:c r="AH135" s="191"/>
      <x:c r="AI135" s="191"/>
      <x:c r="AJ135" s="191"/>
      <x:c r="AK135" s="191"/>
    </x:row>
    <x:row r="136">
      <x:c r="A136" s="191"/>
      <x:c r="B136" s="191"/>
      <x:c r="C136" s="191"/>
      <x:c r="D136" s="191"/>
      <x:c r="E136" s="191"/>
      <x:c r="F136" s="191"/>
      <x:c r="G136" s="191"/>
      <x:c r="H136" s="191"/>
      <x:c r="I136" s="191"/>
      <x:c r="J136" s="191"/>
      <x:c r="K136" s="191"/>
      <x:c r="L136" s="191"/>
      <x:c r="M136" s="191"/>
      <x:c r="N136" s="191"/>
      <x:c r="O136" s="191"/>
      <x:c r="P136" s="191"/>
      <x:c r="Q136" s="191"/>
      <x:c r="R136" s="191"/>
      <x:c r="S136" s="191"/>
      <x:c r="T136" s="191"/>
      <x:c r="U136" s="191"/>
      <x:c r="V136" s="191"/>
      <x:c r="W136" s="191"/>
      <x:c r="X136" s="191"/>
      <x:c r="Y136" s="191"/>
      <x:c r="Z136" s="191"/>
      <x:c r="AA136" s="191"/>
      <x:c r="AB136" s="191"/>
      <x:c r="AC136" s="191"/>
      <x:c r="AD136" s="191"/>
      <x:c r="AE136" s="191"/>
      <x:c r="AF136" s="191"/>
      <x:c r="AG136" s="191"/>
      <x:c r="AH136" s="191"/>
      <x:c r="AI136" s="191"/>
      <x:c r="AJ136" s="191"/>
      <x:c r="AK136" s="191"/>
    </x:row>
    <x:row r="137">
      <x:c r="A137" s="191"/>
      <x:c r="B137" s="191"/>
      <x:c r="C137" s="191"/>
      <x:c r="D137" s="191"/>
      <x:c r="E137" s="191"/>
      <x:c r="F137" s="191"/>
      <x:c r="G137" s="191"/>
      <x:c r="H137" s="191"/>
      <x:c r="I137" s="191"/>
      <x:c r="J137" s="191"/>
      <x:c r="K137" s="191"/>
      <x:c r="L137" s="191"/>
      <x:c r="M137" s="191"/>
      <x:c r="N137" s="191"/>
      <x:c r="O137" s="191"/>
      <x:c r="P137" s="191"/>
      <x:c r="Q137" s="191"/>
      <x:c r="R137" s="191"/>
      <x:c r="S137" s="191"/>
      <x:c r="T137" s="191"/>
      <x:c r="U137" s="191"/>
      <x:c r="V137" s="191"/>
      <x:c r="W137" s="191"/>
      <x:c r="X137" s="191"/>
      <x:c r="Y137" s="191"/>
      <x:c r="Z137" s="191"/>
      <x:c r="AA137" s="191"/>
      <x:c r="AB137" s="191"/>
      <x:c r="AC137" s="191"/>
      <x:c r="AD137" s="191"/>
      <x:c r="AE137" s="191"/>
      <x:c r="AF137" s="191"/>
      <x:c r="AG137" s="191"/>
      <x:c r="AH137" s="191"/>
      <x:c r="AI137" s="191"/>
      <x:c r="AJ137" s="191"/>
      <x:c r="AK137" s="191"/>
    </x:row>
    <x:row r="138">
      <x:c r="A138" s="191"/>
      <x:c r="B138" s="191"/>
      <x:c r="C138" s="191"/>
      <x:c r="D138" s="191"/>
      <x:c r="E138" s="191"/>
      <x:c r="F138" s="191"/>
      <x:c r="G138" s="191"/>
      <x:c r="H138" s="191"/>
      <x:c r="I138" s="191"/>
      <x:c r="J138" s="191"/>
      <x:c r="K138" s="191"/>
      <x:c r="L138" s="191"/>
      <x:c r="M138" s="191"/>
      <x:c r="N138" s="191"/>
      <x:c r="O138" s="191"/>
      <x:c r="P138" s="191"/>
      <x:c r="Q138" s="191"/>
      <x:c r="R138" s="191"/>
      <x:c r="S138" s="191"/>
      <x:c r="T138" s="191"/>
      <x:c r="U138" s="191"/>
      <x:c r="V138" s="191"/>
      <x:c r="W138" s="191"/>
      <x:c r="X138" s="191"/>
      <x:c r="Y138" s="191"/>
      <x:c r="Z138" s="191"/>
      <x:c r="AA138" s="191"/>
      <x:c r="AB138" s="191"/>
      <x:c r="AC138" s="191"/>
      <x:c r="AD138" s="191"/>
      <x:c r="AE138" s="191"/>
      <x:c r="AF138" s="191"/>
      <x:c r="AG138" s="191"/>
      <x:c r="AH138" s="191"/>
      <x:c r="AI138" s="191"/>
      <x:c r="AJ138" s="191"/>
      <x:c r="AK138" s="191"/>
    </x:row>
    <x:row r="139">
      <x:c r="A139" s="191"/>
      <x:c r="B139" s="191"/>
      <x:c r="C139" s="191"/>
      <x:c r="D139" s="191"/>
      <x:c r="E139" s="191"/>
      <x:c r="F139" s="191"/>
      <x:c r="G139" s="191"/>
      <x:c r="H139" s="191"/>
      <x:c r="I139" s="191"/>
      <x:c r="J139" s="191"/>
      <x:c r="K139" s="191"/>
      <x:c r="L139" s="191"/>
      <x:c r="M139" s="191"/>
      <x:c r="N139" s="191"/>
      <x:c r="O139" s="191"/>
      <x:c r="P139" s="191"/>
      <x:c r="Q139" s="191"/>
      <x:c r="R139" s="191"/>
      <x:c r="S139" s="191"/>
      <x:c r="T139" s="191"/>
      <x:c r="U139" s="191"/>
      <x:c r="V139" s="191"/>
      <x:c r="W139" s="191"/>
      <x:c r="X139" s="191"/>
      <x:c r="Y139" s="191"/>
      <x:c r="Z139" s="191"/>
      <x:c r="AA139" s="191"/>
      <x:c r="AB139" s="191"/>
      <x:c r="AC139" s="191"/>
      <x:c r="AD139" s="191"/>
      <x:c r="AE139" s="191"/>
      <x:c r="AF139" s="191"/>
      <x:c r="AG139" s="191"/>
      <x:c r="AH139" s="191"/>
      <x:c r="AI139" s="191"/>
      <x:c r="AJ139" s="191"/>
      <x:c r="AK139" s="191"/>
    </x:row>
    <x:row r="140">
      <x:c r="A140" s="191"/>
      <x:c r="B140" s="191"/>
      <x:c r="C140" s="191"/>
      <x:c r="D140" s="191"/>
      <x:c r="E140" s="191"/>
      <x:c r="F140" s="191"/>
      <x:c r="G140" s="191"/>
      <x:c r="H140" s="191"/>
      <x:c r="I140" s="191"/>
      <x:c r="J140" s="191"/>
      <x:c r="K140" s="191"/>
      <x:c r="L140" s="191"/>
      <x:c r="M140" s="191"/>
      <x:c r="N140" s="191"/>
      <x:c r="O140" s="191"/>
      <x:c r="P140" s="191"/>
      <x:c r="Q140" s="191"/>
      <x:c r="R140" s="191"/>
      <x:c r="S140" s="191"/>
      <x:c r="T140" s="191"/>
      <x:c r="U140" s="191"/>
      <x:c r="V140" s="191"/>
      <x:c r="W140" s="191"/>
      <x:c r="X140" s="191"/>
      <x:c r="Y140" s="191"/>
      <x:c r="Z140" s="191"/>
      <x:c r="AA140" s="191"/>
      <x:c r="AB140" s="191"/>
      <x:c r="AC140" s="191"/>
      <x:c r="AD140" s="191"/>
      <x:c r="AE140" s="191"/>
      <x:c r="AF140" s="191"/>
      <x:c r="AG140" s="191"/>
      <x:c r="AH140" s="191"/>
      <x:c r="AI140" s="191"/>
      <x:c r="AJ140" s="191"/>
      <x:c r="AK140" s="191"/>
    </x:row>
    <x:row r="141">
      <x:c r="A141" s="191"/>
      <x:c r="B141" s="191"/>
      <x:c r="C141" s="191"/>
      <x:c r="D141" s="191"/>
      <x:c r="E141" s="191"/>
      <x:c r="F141" s="191"/>
      <x:c r="G141" s="191"/>
      <x:c r="H141" s="191"/>
      <x:c r="I141" s="191"/>
      <x:c r="J141" s="191"/>
      <x:c r="K141" s="191"/>
      <x:c r="L141" s="191"/>
      <x:c r="M141" s="191"/>
      <x:c r="N141" s="191"/>
      <x:c r="O141" s="191"/>
      <x:c r="P141" s="191"/>
      <x:c r="Q141" s="191"/>
      <x:c r="R141" s="191"/>
      <x:c r="S141" s="191"/>
      <x:c r="T141" s="191"/>
      <x:c r="U141" s="191"/>
      <x:c r="V141" s="191"/>
      <x:c r="W141" s="191"/>
      <x:c r="X141" s="191"/>
      <x:c r="Y141" s="191"/>
      <x:c r="Z141" s="191"/>
      <x:c r="AA141" s="191"/>
      <x:c r="AB141" s="191"/>
      <x:c r="AC141" s="191"/>
      <x:c r="AD141" s="191"/>
      <x:c r="AE141" s="191"/>
      <x:c r="AF141" s="191"/>
      <x:c r="AG141" s="191"/>
      <x:c r="AH141" s="191"/>
      <x:c r="AI141" s="191"/>
      <x:c r="AJ141" s="191"/>
      <x:c r="AK141" s="191"/>
    </x:row>
    <x:row r="142">
      <x:c r="A142" s="191"/>
      <x:c r="B142" s="191"/>
      <x:c r="C142" s="191"/>
      <x:c r="D142" s="191"/>
      <x:c r="E142" s="191"/>
      <x:c r="F142" s="191"/>
      <x:c r="G142" s="191"/>
      <x:c r="H142" s="191"/>
      <x:c r="I142" s="191"/>
      <x:c r="J142" s="191"/>
      <x:c r="K142" s="191"/>
      <x:c r="L142" s="191"/>
      <x:c r="M142" s="191"/>
      <x:c r="N142" s="191"/>
      <x:c r="O142" s="191"/>
      <x:c r="P142" s="191"/>
      <x:c r="Q142" s="191"/>
      <x:c r="R142" s="191"/>
      <x:c r="S142" s="191"/>
      <x:c r="T142" s="191"/>
      <x:c r="U142" s="191"/>
      <x:c r="V142" s="191"/>
      <x:c r="W142" s="191"/>
      <x:c r="X142" s="191"/>
      <x:c r="Y142" s="191"/>
      <x:c r="Z142" s="191"/>
      <x:c r="AA142" s="191"/>
      <x:c r="AB142" s="191"/>
      <x:c r="AC142" s="191"/>
      <x:c r="AD142" s="191"/>
      <x:c r="AE142" s="191"/>
      <x:c r="AF142" s="191"/>
      <x:c r="AG142" s="191"/>
      <x:c r="AH142" s="191"/>
      <x:c r="AI142" s="191"/>
      <x:c r="AJ142" s="191"/>
      <x:c r="AK142" s="191"/>
    </x:row>
    <x:row r="143">
      <x:c r="A143" s="191"/>
      <x:c r="B143" s="191"/>
      <x:c r="C143" s="191"/>
      <x:c r="D143" s="191"/>
      <x:c r="E143" s="191"/>
      <x:c r="F143" s="191"/>
      <x:c r="G143" s="191"/>
      <x:c r="H143" s="191"/>
      <x:c r="I143" s="191"/>
      <x:c r="J143" s="191"/>
      <x:c r="K143" s="191"/>
      <x:c r="L143" s="191"/>
      <x:c r="M143" s="191"/>
      <x:c r="N143" s="191"/>
      <x:c r="O143" s="191"/>
      <x:c r="P143" s="191"/>
      <x:c r="Q143" s="191"/>
      <x:c r="R143" s="191"/>
      <x:c r="S143" s="191"/>
      <x:c r="T143" s="191"/>
      <x:c r="U143" s="191"/>
      <x:c r="V143" s="191"/>
      <x:c r="W143" s="191"/>
      <x:c r="X143" s="191"/>
      <x:c r="Y143" s="191"/>
      <x:c r="Z143" s="191"/>
      <x:c r="AA143" s="191"/>
      <x:c r="AB143" s="191"/>
      <x:c r="AC143" s="191"/>
      <x:c r="AD143" s="191"/>
      <x:c r="AE143" s="191"/>
      <x:c r="AF143" s="191"/>
      <x:c r="AG143" s="191"/>
      <x:c r="AH143" s="191"/>
      <x:c r="AI143" s="191"/>
      <x:c r="AJ143" s="191"/>
      <x:c r="AK143" s="191"/>
    </x:row>
    <x:row r="144">
      <x:c r="A144" s="191"/>
      <x:c r="B144" s="191"/>
      <x:c r="C144" s="191"/>
      <x:c r="D144" s="191"/>
      <x:c r="E144" s="191"/>
      <x:c r="F144" s="191"/>
      <x:c r="G144" s="191"/>
      <x:c r="H144" s="191"/>
      <x:c r="I144" s="191"/>
      <x:c r="J144" s="191"/>
      <x:c r="K144" s="191"/>
      <x:c r="L144" s="191"/>
      <x:c r="M144" s="191"/>
      <x:c r="N144" s="191"/>
      <x:c r="O144" s="191"/>
      <x:c r="P144" s="191"/>
      <x:c r="Q144" s="191"/>
      <x:c r="R144" s="191"/>
      <x:c r="S144" s="191"/>
      <x:c r="T144" s="191"/>
      <x:c r="U144" s="191"/>
      <x:c r="V144" s="191"/>
      <x:c r="W144" s="191"/>
      <x:c r="X144" s="191"/>
      <x:c r="Y144" s="191"/>
      <x:c r="Z144" s="191"/>
      <x:c r="AA144" s="191"/>
      <x:c r="AB144" s="191"/>
      <x:c r="AC144" s="191"/>
      <x:c r="AD144" s="191"/>
      <x:c r="AE144" s="191"/>
      <x:c r="AF144" s="191"/>
      <x:c r="AG144" s="191"/>
      <x:c r="AH144" s="191"/>
      <x:c r="AI144" s="191"/>
      <x:c r="AJ144" s="191"/>
      <x:c r="AK144" s="191"/>
    </x:row>
    <x:row r="145">
      <x:c r="A145" s="191"/>
      <x:c r="B145" s="191"/>
      <x:c r="C145" s="191"/>
      <x:c r="D145" s="191"/>
      <x:c r="E145" s="191"/>
      <x:c r="F145" s="191"/>
      <x:c r="G145" s="191"/>
      <x:c r="H145" s="191"/>
      <x:c r="I145" s="191"/>
      <x:c r="J145" s="191"/>
      <x:c r="K145" s="191"/>
      <x:c r="L145" s="191"/>
      <x:c r="M145" s="191"/>
      <x:c r="N145" s="191"/>
      <x:c r="O145" s="191"/>
      <x:c r="P145" s="191"/>
      <x:c r="Q145" s="191"/>
      <x:c r="R145" s="191"/>
      <x:c r="S145" s="191"/>
      <x:c r="T145" s="191"/>
      <x:c r="U145" s="191"/>
      <x:c r="V145" s="191"/>
      <x:c r="W145" s="191"/>
      <x:c r="X145" s="191"/>
      <x:c r="Y145" s="191"/>
      <x:c r="Z145" s="191"/>
      <x:c r="AA145" s="191"/>
      <x:c r="AB145" s="191"/>
      <x:c r="AC145" s="191"/>
      <x:c r="AD145" s="191"/>
      <x:c r="AE145" s="191"/>
      <x:c r="AF145" s="191"/>
      <x:c r="AG145" s="191"/>
      <x:c r="AH145" s="191"/>
      <x:c r="AI145" s="191"/>
      <x:c r="AJ145" s="191"/>
      <x:c r="AK145" s="191"/>
    </x:row>
    <x:row r="146">
      <x:c r="A146" s="191"/>
      <x:c r="B146" s="191"/>
      <x:c r="C146" s="191"/>
      <x:c r="D146" s="191"/>
      <x:c r="E146" s="191"/>
      <x:c r="F146" s="191"/>
      <x:c r="G146" s="191"/>
      <x:c r="H146" s="191"/>
      <x:c r="I146" s="191"/>
      <x:c r="J146" s="191"/>
      <x:c r="K146" s="191"/>
      <x:c r="L146" s="191"/>
      <x:c r="M146" s="191"/>
      <x:c r="N146" s="191"/>
      <x:c r="O146" s="191"/>
      <x:c r="P146" s="191"/>
      <x:c r="Q146" s="191"/>
      <x:c r="R146" s="191"/>
      <x:c r="S146" s="191"/>
      <x:c r="T146" s="191"/>
      <x:c r="U146" s="191"/>
      <x:c r="V146" s="191"/>
      <x:c r="W146" s="191"/>
      <x:c r="X146" s="191"/>
      <x:c r="Y146" s="191"/>
      <x:c r="Z146" s="191"/>
      <x:c r="AA146" s="191"/>
      <x:c r="AB146" s="191"/>
      <x:c r="AC146" s="191"/>
      <x:c r="AD146" s="191"/>
      <x:c r="AE146" s="191"/>
      <x:c r="AF146" s="191"/>
      <x:c r="AG146" s="191"/>
      <x:c r="AH146" s="191"/>
      <x:c r="AI146" s="191"/>
      <x:c r="AJ146" s="191"/>
      <x:c r="AK146" s="191"/>
    </x:row>
    <x:row r="147">
      <x:c r="A147" s="191"/>
      <x:c r="B147" s="191"/>
      <x:c r="C147" s="191"/>
      <x:c r="D147" s="191"/>
      <x:c r="E147" s="191"/>
      <x:c r="F147" s="191"/>
      <x:c r="G147" s="191"/>
      <x:c r="H147" s="191"/>
      <x:c r="I147" s="191"/>
      <x:c r="J147" s="191"/>
      <x:c r="K147" s="191"/>
      <x:c r="L147" s="191"/>
      <x:c r="M147" s="191"/>
      <x:c r="N147" s="191"/>
      <x:c r="O147" s="191"/>
      <x:c r="P147" s="191"/>
      <x:c r="Q147" s="191"/>
      <x:c r="R147" s="191"/>
      <x:c r="S147" s="191"/>
      <x:c r="T147" s="191"/>
      <x:c r="U147" s="191"/>
      <x:c r="V147" s="191"/>
      <x:c r="W147" s="191"/>
      <x:c r="X147" s="191"/>
      <x:c r="Y147" s="191"/>
      <x:c r="Z147" s="191"/>
      <x:c r="AA147" s="191"/>
      <x:c r="AB147" s="191"/>
      <x:c r="AC147" s="191"/>
      <x:c r="AD147" s="191"/>
      <x:c r="AE147" s="191"/>
      <x:c r="AF147" s="191"/>
      <x:c r="AG147" s="191"/>
      <x:c r="AH147" s="191"/>
      <x:c r="AI147" s="191"/>
      <x:c r="AJ147" s="191"/>
      <x:c r="AK147" s="191"/>
    </x:row>
    <x:row r="148">
      <x:c r="A148" s="191"/>
      <x:c r="B148" s="191"/>
      <x:c r="C148" s="191"/>
      <x:c r="D148" s="191"/>
      <x:c r="E148" s="191"/>
      <x:c r="F148" s="191"/>
      <x:c r="G148" s="191"/>
      <x:c r="H148" s="191"/>
      <x:c r="I148" s="191"/>
      <x:c r="J148" s="191"/>
      <x:c r="K148" s="191"/>
      <x:c r="L148" s="191"/>
      <x:c r="M148" s="191"/>
      <x:c r="N148" s="191"/>
      <x:c r="O148" s="191"/>
      <x:c r="P148" s="191"/>
      <x:c r="Q148" s="191"/>
      <x:c r="R148" s="191"/>
      <x:c r="S148" s="191"/>
      <x:c r="T148" s="191"/>
      <x:c r="U148" s="191"/>
      <x:c r="V148" s="191"/>
      <x:c r="W148" s="191"/>
      <x:c r="X148" s="191"/>
      <x:c r="Y148" s="191"/>
      <x:c r="Z148" s="191"/>
      <x:c r="AA148" s="191"/>
      <x:c r="AB148" s="191"/>
      <x:c r="AC148" s="191"/>
      <x:c r="AD148" s="191"/>
      <x:c r="AE148" s="191"/>
      <x:c r="AF148" s="191"/>
      <x:c r="AG148" s="191"/>
      <x:c r="AH148" s="191"/>
      <x:c r="AI148" s="191"/>
      <x:c r="AJ148" s="191"/>
      <x:c r="AK148" s="191"/>
    </x:row>
    <x:row r="149">
      <x:c r="A149" s="191"/>
      <x:c r="B149" s="191"/>
      <x:c r="C149" s="191"/>
      <x:c r="D149" s="191"/>
      <x:c r="E149" s="191"/>
      <x:c r="F149" s="191"/>
      <x:c r="G149" s="191"/>
      <x:c r="H149" s="191"/>
      <x:c r="I149" s="191"/>
      <x:c r="J149" s="191"/>
      <x:c r="K149" s="191"/>
      <x:c r="L149" s="191"/>
      <x:c r="M149" s="191"/>
      <x:c r="N149" s="191"/>
      <x:c r="O149" s="191"/>
      <x:c r="P149" s="191"/>
      <x:c r="Q149" s="191"/>
      <x:c r="R149" s="191"/>
      <x:c r="S149" s="191"/>
      <x:c r="T149" s="191"/>
      <x:c r="U149" s="191"/>
      <x:c r="V149" s="191"/>
      <x:c r="W149" s="191"/>
      <x:c r="X149" s="191"/>
      <x:c r="Y149" s="191"/>
      <x:c r="Z149" s="191"/>
      <x:c r="AA149" s="191"/>
      <x:c r="AB149" s="191"/>
      <x:c r="AC149" s="191"/>
      <x:c r="AD149" s="191"/>
      <x:c r="AE149" s="191"/>
      <x:c r="AF149" s="191"/>
      <x:c r="AG149" s="191"/>
      <x:c r="AH149" s="191"/>
      <x:c r="AI149" s="191"/>
      <x:c r="AJ149" s="191"/>
      <x:c r="AK149" s="191"/>
    </x:row>
    <x:row r="150">
      <x:c r="A150" s="191"/>
      <x:c r="B150" s="191"/>
      <x:c r="C150" s="191"/>
      <x:c r="D150" s="191"/>
      <x:c r="E150" s="191"/>
      <x:c r="F150" s="191"/>
      <x:c r="G150" s="191"/>
      <x:c r="H150" s="191"/>
      <x:c r="I150" s="191"/>
      <x:c r="J150" s="191"/>
      <x:c r="K150" s="191"/>
      <x:c r="L150" s="191"/>
      <x:c r="M150" s="191"/>
      <x:c r="N150" s="191"/>
      <x:c r="O150" s="191"/>
      <x:c r="P150" s="191"/>
      <x:c r="Q150" s="191"/>
      <x:c r="R150" s="191"/>
      <x:c r="S150" s="191"/>
      <x:c r="T150" s="191"/>
      <x:c r="U150" s="191"/>
      <x:c r="V150" s="191"/>
      <x:c r="W150" s="191"/>
      <x:c r="X150" s="191"/>
      <x:c r="Y150" s="191"/>
      <x:c r="Z150" s="191"/>
      <x:c r="AA150" s="191"/>
      <x:c r="AB150" s="191"/>
      <x:c r="AC150" s="191"/>
      <x:c r="AD150" s="191"/>
      <x:c r="AE150" s="191"/>
      <x:c r="AF150" s="191"/>
      <x:c r="AG150" s="191"/>
      <x:c r="AH150" s="191"/>
      <x:c r="AI150" s="191"/>
      <x:c r="AJ150" s="191"/>
      <x:c r="AK150" s="191"/>
    </x:row>
    <x:row r="151">
      <x:c r="A151" s="191"/>
      <x:c r="B151" s="191"/>
      <x:c r="C151" s="191"/>
      <x:c r="D151" s="191"/>
      <x:c r="E151" s="191"/>
      <x:c r="F151" s="191"/>
      <x:c r="G151" s="191"/>
      <x:c r="H151" s="191"/>
      <x:c r="I151" s="191"/>
      <x:c r="J151" s="191"/>
      <x:c r="K151" s="191"/>
      <x:c r="L151" s="191"/>
      <x:c r="M151" s="191"/>
      <x:c r="N151" s="191"/>
      <x:c r="O151" s="191"/>
      <x:c r="P151" s="191"/>
      <x:c r="Q151" s="191"/>
      <x:c r="R151" s="191"/>
      <x:c r="S151" s="191"/>
      <x:c r="T151" s="191"/>
      <x:c r="U151" s="191"/>
      <x:c r="V151" s="191"/>
      <x:c r="W151" s="191"/>
      <x:c r="X151" s="191"/>
      <x:c r="Y151" s="191"/>
      <x:c r="Z151" s="191"/>
      <x:c r="AA151" s="191"/>
      <x:c r="AB151" s="191"/>
      <x:c r="AC151" s="191"/>
      <x:c r="AD151" s="191"/>
      <x:c r="AE151" s="191"/>
      <x:c r="AF151" s="191"/>
      <x:c r="AG151" s="191"/>
      <x:c r="AH151" s="191"/>
      <x:c r="AI151" s="191"/>
      <x:c r="AJ151" s="191"/>
      <x:c r="AK151" s="191"/>
    </x:row>
    <x:row r="152">
      <x:c r="A152" s="191"/>
      <x:c r="B152" s="191"/>
      <x:c r="C152" s="191"/>
      <x:c r="D152" s="191"/>
      <x:c r="E152" s="191"/>
      <x:c r="F152" s="191"/>
      <x:c r="G152" s="191"/>
      <x:c r="H152" s="191"/>
      <x:c r="I152" s="191"/>
      <x:c r="J152" s="191"/>
      <x:c r="K152" s="191"/>
      <x:c r="L152" s="191"/>
      <x:c r="M152" s="191"/>
      <x:c r="N152" s="191"/>
      <x:c r="O152" s="191"/>
      <x:c r="P152" s="191"/>
      <x:c r="Q152" s="191"/>
      <x:c r="R152" s="191"/>
      <x:c r="S152" s="191"/>
      <x:c r="T152" s="191"/>
      <x:c r="U152" s="191"/>
      <x:c r="V152" s="191"/>
      <x:c r="W152" s="191"/>
      <x:c r="X152" s="191"/>
      <x:c r="Y152" s="191"/>
      <x:c r="Z152" s="191"/>
      <x:c r="AA152" s="191"/>
      <x:c r="AB152" s="191"/>
      <x:c r="AC152" s="191"/>
      <x:c r="AD152" s="191"/>
      <x:c r="AE152" s="191"/>
      <x:c r="AF152" s="191"/>
      <x:c r="AG152" s="191"/>
      <x:c r="AH152" s="191"/>
      <x:c r="AI152" s="191"/>
      <x:c r="AJ152" s="191"/>
      <x:c r="AK152" s="191"/>
    </x:row>
    <x:row r="153">
      <x:c r="A153" s="191"/>
      <x:c r="B153" s="191"/>
      <x:c r="C153" s="191"/>
      <x:c r="D153" s="191"/>
      <x:c r="E153" s="191"/>
      <x:c r="F153" s="191"/>
      <x:c r="G153" s="191"/>
      <x:c r="H153" s="191"/>
      <x:c r="I153" s="191"/>
      <x:c r="J153" s="191"/>
      <x:c r="K153" s="191"/>
      <x:c r="L153" s="191"/>
      <x:c r="M153" s="191"/>
      <x:c r="N153" s="191"/>
      <x:c r="O153" s="191"/>
      <x:c r="P153" s="191"/>
      <x:c r="Q153" s="191"/>
      <x:c r="R153" s="191"/>
      <x:c r="S153" s="191"/>
      <x:c r="T153" s="191"/>
      <x:c r="U153" s="191"/>
      <x:c r="V153" s="191"/>
      <x:c r="W153" s="191"/>
      <x:c r="X153" s="191"/>
      <x:c r="Y153" s="191"/>
      <x:c r="Z153" s="191"/>
      <x:c r="AA153" s="191"/>
      <x:c r="AB153" s="191"/>
      <x:c r="AC153" s="191"/>
      <x:c r="AD153" s="191"/>
      <x:c r="AE153" s="191"/>
      <x:c r="AF153" s="191"/>
      <x:c r="AG153" s="191"/>
      <x:c r="AH153" s="191"/>
      <x:c r="AI153" s="191"/>
      <x:c r="AJ153" s="191"/>
      <x:c r="AK153" s="191"/>
    </x:row>
    <x:row r="154">
      <x:c r="A154" s="191"/>
      <x:c r="B154" s="191"/>
      <x:c r="C154" s="191"/>
      <x:c r="D154" s="191"/>
      <x:c r="E154" s="191"/>
      <x:c r="F154" s="191"/>
      <x:c r="G154" s="191"/>
      <x:c r="H154" s="191"/>
      <x:c r="I154" s="191"/>
      <x:c r="J154" s="191"/>
      <x:c r="K154" s="191"/>
      <x:c r="L154" s="191"/>
      <x:c r="M154" s="191"/>
      <x:c r="N154" s="191"/>
      <x:c r="O154" s="191"/>
      <x:c r="P154" s="191"/>
      <x:c r="Q154" s="191"/>
      <x:c r="R154" s="191"/>
      <x:c r="S154" s="191"/>
      <x:c r="T154" s="191"/>
      <x:c r="U154" s="191"/>
      <x:c r="V154" s="191"/>
      <x:c r="W154" s="191"/>
      <x:c r="X154" s="191"/>
      <x:c r="Y154" s="191"/>
      <x:c r="Z154" s="191"/>
      <x:c r="AA154" s="191"/>
      <x:c r="AB154" s="191"/>
      <x:c r="AC154" s="191"/>
      <x:c r="AD154" s="191"/>
      <x:c r="AE154" s="191"/>
      <x:c r="AF154" s="191"/>
      <x:c r="AG154" s="191"/>
      <x:c r="AH154" s="191"/>
      <x:c r="AI154" s="191"/>
      <x:c r="AJ154" s="191"/>
      <x:c r="AK154" s="191"/>
    </x:row>
    <x:row r="155">
      <x:c r="A155" s="191"/>
      <x:c r="B155" s="191"/>
      <x:c r="C155" s="191"/>
      <x:c r="D155" s="191"/>
      <x:c r="E155" s="191"/>
      <x:c r="F155" s="191"/>
      <x:c r="G155" s="191"/>
      <x:c r="H155" s="191"/>
      <x:c r="I155" s="191"/>
      <x:c r="J155" s="191"/>
      <x:c r="K155" s="191"/>
      <x:c r="L155" s="191"/>
      <x:c r="M155" s="191"/>
      <x:c r="N155" s="191"/>
      <x:c r="O155" s="191"/>
      <x:c r="P155" s="191"/>
      <x:c r="Q155" s="191"/>
      <x:c r="R155" s="191"/>
      <x:c r="S155" s="191"/>
      <x:c r="T155" s="191"/>
      <x:c r="U155" s="191"/>
      <x:c r="V155" s="191"/>
      <x:c r="W155" s="191"/>
      <x:c r="X155" s="191"/>
      <x:c r="Y155" s="191"/>
      <x:c r="Z155" s="191"/>
      <x:c r="AA155" s="191"/>
      <x:c r="AB155" s="191"/>
      <x:c r="AC155" s="191"/>
      <x:c r="AD155" s="191"/>
      <x:c r="AE155" s="191"/>
      <x:c r="AF155" s="191"/>
      <x:c r="AG155" s="191"/>
      <x:c r="AH155" s="191"/>
      <x:c r="AI155" s="191"/>
      <x:c r="AJ155" s="191"/>
      <x:c r="AK155" s="191"/>
    </x:row>
    <x:row r="156">
      <x:c r="A156" s="191"/>
      <x:c r="B156" s="191"/>
      <x:c r="C156" s="191"/>
      <x:c r="D156" s="191"/>
      <x:c r="E156" s="191"/>
      <x:c r="F156" s="191"/>
      <x:c r="G156" s="191"/>
      <x:c r="H156" s="191"/>
      <x:c r="I156" s="191"/>
      <x:c r="J156" s="191"/>
      <x:c r="K156" s="191"/>
      <x:c r="L156" s="191"/>
      <x:c r="M156" s="191"/>
      <x:c r="N156" s="191"/>
      <x:c r="O156" s="191"/>
      <x:c r="P156" s="191"/>
      <x:c r="Q156" s="191"/>
      <x:c r="R156" s="191"/>
      <x:c r="S156" s="191"/>
      <x:c r="T156" s="191"/>
      <x:c r="U156" s="191"/>
      <x:c r="V156" s="191"/>
      <x:c r="W156" s="191"/>
      <x:c r="X156" s="191"/>
      <x:c r="Y156" s="191"/>
      <x:c r="Z156" s="191"/>
      <x:c r="AA156" s="191"/>
      <x:c r="AB156" s="191"/>
      <x:c r="AC156" s="191"/>
      <x:c r="AD156" s="191"/>
      <x:c r="AE156" s="191"/>
      <x:c r="AF156" s="191"/>
      <x:c r="AG156" s="191"/>
      <x:c r="AH156" s="191"/>
      <x:c r="AI156" s="191"/>
      <x:c r="AJ156" s="191"/>
      <x:c r="AK156" s="191"/>
    </x:row>
    <x:row r="157">
      <x:c r="A157" s="191"/>
      <x:c r="B157" s="191"/>
      <x:c r="C157" s="191"/>
      <x:c r="D157" s="191"/>
      <x:c r="E157" s="191"/>
      <x:c r="F157" s="191"/>
      <x:c r="G157" s="191"/>
      <x:c r="H157" s="191"/>
      <x:c r="I157" s="191"/>
      <x:c r="J157" s="191"/>
      <x:c r="K157" s="191"/>
      <x:c r="L157" s="191"/>
      <x:c r="M157" s="191"/>
      <x:c r="N157" s="191"/>
      <x:c r="O157" s="191"/>
      <x:c r="P157" s="191"/>
      <x:c r="Q157" s="191"/>
      <x:c r="R157" s="191"/>
      <x:c r="S157" s="191"/>
      <x:c r="T157" s="191"/>
      <x:c r="U157" s="191"/>
      <x:c r="V157" s="191"/>
      <x:c r="W157" s="191"/>
      <x:c r="X157" s="191"/>
      <x:c r="Y157" s="191"/>
      <x:c r="Z157" s="191"/>
      <x:c r="AA157" s="191"/>
      <x:c r="AB157" s="191"/>
      <x:c r="AC157" s="191"/>
      <x:c r="AD157" s="191"/>
      <x:c r="AE157" s="191"/>
      <x:c r="AF157" s="191"/>
      <x:c r="AG157" s="191"/>
      <x:c r="AH157" s="191"/>
      <x:c r="AI157" s="191"/>
      <x:c r="AJ157" s="191"/>
      <x:c r="AK157" s="191"/>
    </x:row>
    <x:row r="158">
      <x:c r="A158" s="191"/>
      <x:c r="B158" s="191"/>
      <x:c r="C158" s="191"/>
      <x:c r="D158" s="191"/>
      <x:c r="E158" s="191"/>
      <x:c r="F158" s="191"/>
      <x:c r="G158" s="191"/>
      <x:c r="H158" s="191"/>
      <x:c r="I158" s="191"/>
      <x:c r="J158" s="191"/>
      <x:c r="K158" s="191"/>
      <x:c r="L158" s="191"/>
      <x:c r="M158" s="191"/>
      <x:c r="N158" s="191"/>
      <x:c r="O158" s="191"/>
      <x:c r="P158" s="191"/>
      <x:c r="Q158" s="191"/>
      <x:c r="R158" s="191"/>
      <x:c r="S158" s="191"/>
      <x:c r="T158" s="191"/>
      <x:c r="U158" s="191"/>
      <x:c r="V158" s="191"/>
      <x:c r="W158" s="191"/>
      <x:c r="X158" s="191"/>
      <x:c r="Y158" s="191"/>
      <x:c r="Z158" s="191"/>
      <x:c r="AA158" s="191"/>
      <x:c r="AB158" s="191"/>
      <x:c r="AC158" s="191"/>
      <x:c r="AD158" s="191"/>
      <x:c r="AE158" s="191"/>
      <x:c r="AF158" s="191"/>
      <x:c r="AG158" s="191"/>
      <x:c r="AH158" s="191"/>
      <x:c r="AI158" s="191"/>
      <x:c r="AJ158" s="191"/>
      <x:c r="AK158" s="191"/>
    </x:row>
    <x:row r="159">
      <x:c r="A159" s="191"/>
      <x:c r="B159" s="191"/>
      <x:c r="C159" s="191"/>
      <x:c r="D159" s="191"/>
      <x:c r="E159" s="191"/>
      <x:c r="F159" s="191"/>
      <x:c r="G159" s="191"/>
      <x:c r="H159" s="191"/>
      <x:c r="I159" s="191"/>
      <x:c r="J159" s="191"/>
      <x:c r="K159" s="191"/>
      <x:c r="L159" s="191"/>
      <x:c r="M159" s="191"/>
      <x:c r="N159" s="191"/>
      <x:c r="O159" s="191"/>
      <x:c r="P159" s="191"/>
      <x:c r="Q159" s="191"/>
      <x:c r="R159" s="191"/>
      <x:c r="S159" s="191"/>
      <x:c r="T159" s="191"/>
      <x:c r="U159" s="191"/>
      <x:c r="V159" s="191"/>
      <x:c r="W159" s="191"/>
      <x:c r="X159" s="191"/>
      <x:c r="Y159" s="191"/>
      <x:c r="Z159" s="191"/>
      <x:c r="AA159" s="191"/>
      <x:c r="AB159" s="191"/>
      <x:c r="AC159" s="191"/>
      <x:c r="AD159" s="191"/>
      <x:c r="AE159" s="191"/>
      <x:c r="AF159" s="191"/>
      <x:c r="AG159" s="191"/>
      <x:c r="AH159" s="191"/>
      <x:c r="AI159" s="191"/>
      <x:c r="AJ159" s="191"/>
      <x:c r="AK159" s="191"/>
    </x:row>
    <x:row r="160">
      <x:c r="A160" s="191"/>
      <x:c r="B160" s="191"/>
      <x:c r="C160" s="191"/>
      <x:c r="D160" s="191"/>
      <x:c r="E160" s="191"/>
      <x:c r="F160" s="191"/>
      <x:c r="G160" s="191"/>
      <x:c r="H160" s="191"/>
      <x:c r="I160" s="191"/>
      <x:c r="J160" s="191"/>
      <x:c r="K160" s="191"/>
      <x:c r="L160" s="191"/>
      <x:c r="M160" s="191"/>
      <x:c r="N160" s="191"/>
      <x:c r="O160" s="191"/>
      <x:c r="P160" s="191"/>
      <x:c r="Q160" s="191"/>
      <x:c r="R160" s="191"/>
      <x:c r="S160" s="191"/>
      <x:c r="T160" s="191"/>
      <x:c r="U160" s="191"/>
      <x:c r="V160" s="191"/>
      <x:c r="W160" s="191"/>
      <x:c r="X160" s="191"/>
      <x:c r="Y160" s="191"/>
      <x:c r="Z160" s="191"/>
      <x:c r="AA160" s="191"/>
      <x:c r="AB160" s="191"/>
      <x:c r="AC160" s="191"/>
      <x:c r="AD160" s="191"/>
      <x:c r="AE160" s="191"/>
      <x:c r="AF160" s="191"/>
      <x:c r="AG160" s="191"/>
      <x:c r="AH160" s="191"/>
      <x:c r="AI160" s="191"/>
      <x:c r="AJ160" s="191"/>
      <x:c r="AK160" s="191"/>
    </x:row>
    <x:row r="161">
      <x:c r="A161" s="191"/>
      <x:c r="B161" s="191"/>
      <x:c r="C161" s="191"/>
      <x:c r="D161" s="191"/>
      <x:c r="E161" s="191"/>
      <x:c r="F161" s="191"/>
      <x:c r="G161" s="191"/>
      <x:c r="H161" s="191"/>
      <x:c r="I161" s="191"/>
      <x:c r="J161" s="191"/>
      <x:c r="K161" s="191"/>
      <x:c r="L161" s="191"/>
      <x:c r="M161" s="191"/>
      <x:c r="N161" s="191"/>
      <x:c r="O161" s="191"/>
      <x:c r="P161" s="191"/>
      <x:c r="Q161" s="191"/>
      <x:c r="R161" s="191"/>
      <x:c r="S161" s="191"/>
      <x:c r="T161" s="191"/>
      <x:c r="U161" s="191"/>
      <x:c r="V161" s="191"/>
      <x:c r="W161" s="191"/>
      <x:c r="X161" s="191"/>
      <x:c r="Y161" s="191"/>
      <x:c r="Z161" s="191"/>
      <x:c r="AA161" s="191"/>
      <x:c r="AB161" s="191"/>
      <x:c r="AC161" s="191"/>
      <x:c r="AD161" s="191"/>
      <x:c r="AE161" s="191"/>
      <x:c r="AF161" s="191"/>
      <x:c r="AG161" s="191"/>
      <x:c r="AH161" s="191"/>
      <x:c r="AI161" s="191"/>
      <x:c r="AJ161" s="191"/>
      <x:c r="AK161" s="191"/>
    </x:row>
    <x:row r="162">
      <x:c r="A162" s="191"/>
      <x:c r="B162" s="191"/>
      <x:c r="C162" s="191"/>
      <x:c r="D162" s="191"/>
      <x:c r="E162" s="191"/>
      <x:c r="F162" s="191"/>
      <x:c r="G162" s="191"/>
      <x:c r="H162" s="191"/>
      <x:c r="I162" s="191"/>
      <x:c r="J162" s="191"/>
      <x:c r="K162" s="191"/>
      <x:c r="L162" s="191"/>
      <x:c r="M162" s="191"/>
      <x:c r="N162" s="191"/>
      <x:c r="O162" s="191"/>
      <x:c r="P162" s="191"/>
      <x:c r="Q162" s="191"/>
      <x:c r="R162" s="191"/>
      <x:c r="S162" s="191"/>
      <x:c r="T162" s="191"/>
      <x:c r="U162" s="191"/>
      <x:c r="V162" s="191"/>
      <x:c r="W162" s="191"/>
      <x:c r="X162" s="191"/>
      <x:c r="Y162" s="191"/>
      <x:c r="Z162" s="191"/>
      <x:c r="AA162" s="191"/>
      <x:c r="AB162" s="191"/>
      <x:c r="AC162" s="191"/>
      <x:c r="AD162" s="191"/>
      <x:c r="AE162" s="191"/>
      <x:c r="AF162" s="191"/>
      <x:c r="AG162" s="191"/>
      <x:c r="AH162" s="191"/>
      <x:c r="AI162" s="191"/>
      <x:c r="AJ162" s="191"/>
      <x:c r="AK162" s="191"/>
    </x:row>
    <x:row r="163">
      <x:c r="A163" s="191"/>
      <x:c r="B163" s="191"/>
      <x:c r="C163" s="191"/>
      <x:c r="D163" s="191"/>
      <x:c r="E163" s="191"/>
      <x:c r="F163" s="191"/>
      <x:c r="G163" s="191"/>
      <x:c r="H163" s="191"/>
      <x:c r="I163" s="191"/>
      <x:c r="J163" s="191"/>
      <x:c r="K163" s="191"/>
      <x:c r="L163" s="191"/>
      <x:c r="M163" s="191"/>
      <x:c r="N163" s="191"/>
      <x:c r="O163" s="191"/>
      <x:c r="P163" s="191"/>
      <x:c r="Q163" s="191"/>
      <x:c r="R163" s="191"/>
      <x:c r="S163" s="191"/>
      <x:c r="T163" s="191"/>
      <x:c r="U163" s="191"/>
      <x:c r="V163" s="191"/>
      <x:c r="W163" s="191"/>
      <x:c r="X163" s="191"/>
      <x:c r="Y163" s="191"/>
      <x:c r="Z163" s="191"/>
      <x:c r="AA163" s="191"/>
      <x:c r="AB163" s="191"/>
      <x:c r="AC163" s="191"/>
      <x:c r="AD163" s="191"/>
      <x:c r="AE163" s="191"/>
      <x:c r="AF163" s="191"/>
      <x:c r="AG163" s="191"/>
      <x:c r="AH163" s="191"/>
      <x:c r="AI163" s="191"/>
      <x:c r="AJ163" s="191"/>
      <x:c r="AK163" s="191"/>
    </x:row>
    <x:row r="164">
      <x:c r="A164" s="191"/>
      <x:c r="B164" s="191"/>
      <x:c r="C164" s="191"/>
      <x:c r="D164" s="191"/>
      <x:c r="E164" s="191"/>
      <x:c r="F164" s="191"/>
      <x:c r="G164" s="191"/>
      <x:c r="H164" s="191"/>
      <x:c r="I164" s="191"/>
      <x:c r="J164" s="191"/>
      <x:c r="K164" s="191"/>
      <x:c r="L164" s="191"/>
      <x:c r="M164" s="191"/>
      <x:c r="N164" s="191"/>
      <x:c r="O164" s="191"/>
      <x:c r="P164" s="191"/>
      <x:c r="Q164" s="191"/>
      <x:c r="R164" s="191"/>
      <x:c r="S164" s="191"/>
      <x:c r="T164" s="191"/>
      <x:c r="U164" s="191"/>
      <x:c r="V164" s="191"/>
      <x:c r="W164" s="191"/>
      <x:c r="X164" s="191"/>
      <x:c r="Y164" s="191"/>
      <x:c r="Z164" s="191"/>
      <x:c r="AA164" s="191"/>
      <x:c r="AB164" s="191"/>
      <x:c r="AC164" s="191"/>
      <x:c r="AD164" s="191"/>
      <x:c r="AE164" s="191"/>
      <x:c r="AF164" s="191"/>
      <x:c r="AG164" s="191"/>
      <x:c r="AH164" s="191"/>
      <x:c r="AI164" s="191"/>
      <x:c r="AJ164" s="191"/>
      <x:c r="AK164" s="191"/>
    </x:row>
    <x:row r="165">
      <x:c r="A165" s="191"/>
      <x:c r="B165" s="191"/>
      <x:c r="C165" s="191"/>
      <x:c r="D165" s="191"/>
      <x:c r="E165" s="191"/>
      <x:c r="F165" s="191"/>
      <x:c r="G165" s="191"/>
      <x:c r="H165" s="191"/>
      <x:c r="I165" s="191"/>
      <x:c r="J165" s="191"/>
      <x:c r="K165" s="191"/>
      <x:c r="L165" s="191"/>
      <x:c r="M165" s="191"/>
      <x:c r="N165" s="191"/>
      <x:c r="O165" s="191"/>
      <x:c r="P165" s="191"/>
      <x:c r="Q165" s="191"/>
      <x:c r="R165" s="191"/>
      <x:c r="S165" s="191"/>
      <x:c r="T165" s="191"/>
      <x:c r="U165" s="191"/>
      <x:c r="V165" s="191"/>
      <x:c r="W165" s="191"/>
      <x:c r="X165" s="191"/>
      <x:c r="Y165" s="191"/>
      <x:c r="Z165" s="191"/>
      <x:c r="AA165" s="191"/>
      <x:c r="AB165" s="191"/>
      <x:c r="AC165" s="191"/>
      <x:c r="AD165" s="191"/>
      <x:c r="AE165" s="191"/>
      <x:c r="AF165" s="191"/>
      <x:c r="AG165" s="191"/>
      <x:c r="AH165" s="191"/>
      <x:c r="AI165" s="191"/>
      <x:c r="AJ165" s="191"/>
      <x:c r="AK165" s="191"/>
    </x:row>
    <x:row r="166">
      <x:c r="A166" s="191"/>
      <x:c r="B166" s="191"/>
      <x:c r="C166" s="191"/>
      <x:c r="D166" s="191"/>
      <x:c r="E166" s="191"/>
      <x:c r="F166" s="191"/>
      <x:c r="G166" s="191"/>
      <x:c r="H166" s="191"/>
      <x:c r="I166" s="191"/>
      <x:c r="J166" s="191"/>
      <x:c r="K166" s="191"/>
      <x:c r="L166" s="191"/>
      <x:c r="M166" s="191"/>
      <x:c r="N166" s="191"/>
      <x:c r="O166" s="191"/>
      <x:c r="P166" s="191"/>
      <x:c r="Q166" s="191"/>
      <x:c r="R166" s="191"/>
      <x:c r="S166" s="191"/>
      <x:c r="T166" s="191"/>
      <x:c r="U166" s="191"/>
      <x:c r="V166" s="191"/>
      <x:c r="W166" s="191"/>
      <x:c r="X166" s="191"/>
      <x:c r="Y166" s="191"/>
      <x:c r="Z166" s="191"/>
      <x:c r="AA166" s="191"/>
      <x:c r="AB166" s="191"/>
      <x:c r="AC166" s="191"/>
      <x:c r="AD166" s="191"/>
      <x:c r="AE166" s="191"/>
      <x:c r="AF166" s="191"/>
      <x:c r="AG166" s="191"/>
      <x:c r="AH166" s="191"/>
      <x:c r="AI166" s="191"/>
      <x:c r="AJ166" s="191"/>
      <x:c r="AK166" s="191"/>
    </x:row>
    <x:row r="167">
      <x:c r="A167" s="191"/>
      <x:c r="B167" s="191"/>
      <x:c r="C167" s="191"/>
      <x:c r="D167" s="191"/>
      <x:c r="E167" s="191"/>
      <x:c r="F167" s="191"/>
      <x:c r="G167" s="191"/>
      <x:c r="H167" s="191"/>
      <x:c r="I167" s="191"/>
      <x:c r="J167" s="191"/>
      <x:c r="K167" s="191"/>
      <x:c r="L167" s="191"/>
      <x:c r="M167" s="191"/>
      <x:c r="N167" s="191"/>
      <x:c r="O167" s="191"/>
      <x:c r="P167" s="191"/>
      <x:c r="Q167" s="191"/>
      <x:c r="R167" s="191"/>
      <x:c r="S167" s="191"/>
      <x:c r="T167" s="191"/>
      <x:c r="U167" s="191"/>
      <x:c r="V167" s="191"/>
      <x:c r="W167" s="191"/>
      <x:c r="X167" s="191"/>
      <x:c r="Y167" s="191"/>
      <x:c r="Z167" s="191"/>
      <x:c r="AA167" s="191"/>
      <x:c r="AB167" s="191"/>
      <x:c r="AC167" s="191"/>
      <x:c r="AD167" s="191"/>
      <x:c r="AE167" s="191"/>
      <x:c r="AF167" s="191"/>
      <x:c r="AG167" s="191"/>
      <x:c r="AH167" s="191"/>
      <x:c r="AI167" s="191"/>
      <x:c r="AJ167" s="191"/>
      <x:c r="AK167" s="191"/>
    </x:row>
    <x:row r="168">
      <x:c r="A168" s="191"/>
      <x:c r="B168" s="191"/>
      <x:c r="C168" s="191"/>
      <x:c r="D168" s="191"/>
      <x:c r="E168" s="191"/>
      <x:c r="F168" s="191"/>
      <x:c r="G168" s="191"/>
      <x:c r="H168" s="191"/>
      <x:c r="I168" s="191"/>
      <x:c r="J168" s="191"/>
      <x:c r="K168" s="191"/>
      <x:c r="L168" s="191"/>
      <x:c r="M168" s="191"/>
      <x:c r="N168" s="191"/>
      <x:c r="O168" s="191"/>
      <x:c r="P168" s="191"/>
      <x:c r="Q168" s="191"/>
      <x:c r="R168" s="191"/>
      <x:c r="S168" s="191"/>
      <x:c r="T168" s="191"/>
      <x:c r="U168" s="191"/>
      <x:c r="V168" s="191"/>
      <x:c r="W168" s="191"/>
      <x:c r="X168" s="191"/>
      <x:c r="Y168" s="191"/>
      <x:c r="Z168" s="191"/>
      <x:c r="AA168" s="191"/>
      <x:c r="AB168" s="191"/>
      <x:c r="AC168" s="191"/>
      <x:c r="AD168" s="191"/>
      <x:c r="AE168" s="191"/>
      <x:c r="AF168" s="191"/>
      <x:c r="AG168" s="191"/>
      <x:c r="AH168" s="191"/>
      <x:c r="AI168" s="191"/>
      <x:c r="AJ168" s="191"/>
      <x:c r="AK168" s="191"/>
    </x:row>
    <x:row r="169">
      <x:c r="A169" s="191"/>
      <x:c r="B169" s="191"/>
      <x:c r="C169" s="191"/>
      <x:c r="D169" s="191"/>
      <x:c r="E169" s="191"/>
      <x:c r="F169" s="191"/>
      <x:c r="G169" s="191"/>
      <x:c r="H169" s="191"/>
      <x:c r="I169" s="191"/>
      <x:c r="J169" s="191"/>
      <x:c r="K169" s="191"/>
      <x:c r="L169" s="191"/>
      <x:c r="M169" s="191"/>
      <x:c r="N169" s="191"/>
      <x:c r="O169" s="191"/>
      <x:c r="P169" s="191"/>
      <x:c r="Q169" s="191"/>
      <x:c r="R169" s="191"/>
      <x:c r="S169" s="191"/>
      <x:c r="T169" s="191"/>
      <x:c r="U169" s="191"/>
      <x:c r="V169" s="191"/>
      <x:c r="W169" s="191"/>
      <x:c r="X169" s="191"/>
      <x:c r="Y169" s="191"/>
      <x:c r="Z169" s="191"/>
      <x:c r="AA169" s="191"/>
      <x:c r="AB169" s="191"/>
      <x:c r="AC169" s="191"/>
      <x:c r="AD169" s="191"/>
      <x:c r="AE169" s="191"/>
      <x:c r="AF169" s="191"/>
      <x:c r="AG169" s="191"/>
      <x:c r="AH169" s="191"/>
      <x:c r="AI169" s="191"/>
      <x:c r="AJ169" s="191"/>
      <x:c r="AK169" s="191"/>
    </x:row>
    <x:row r="170">
      <x:c r="A170" s="191"/>
      <x:c r="B170" s="191"/>
      <x:c r="C170" s="191"/>
      <x:c r="D170" s="191"/>
      <x:c r="E170" s="191"/>
      <x:c r="F170" s="191"/>
      <x:c r="G170" s="191"/>
      <x:c r="H170" s="191"/>
      <x:c r="I170" s="191"/>
      <x:c r="J170" s="191"/>
      <x:c r="K170" s="191"/>
      <x:c r="L170" s="191"/>
      <x:c r="M170" s="191"/>
      <x:c r="N170" s="191"/>
      <x:c r="O170" s="191"/>
      <x:c r="P170" s="191"/>
      <x:c r="Q170" s="191"/>
      <x:c r="R170" s="191"/>
      <x:c r="S170" s="191"/>
      <x:c r="T170" s="191"/>
      <x:c r="U170" s="191"/>
      <x:c r="V170" s="191"/>
      <x:c r="W170" s="191"/>
      <x:c r="X170" s="191"/>
      <x:c r="Y170" s="191"/>
      <x:c r="Z170" s="191"/>
      <x:c r="AA170" s="191"/>
      <x:c r="AB170" s="191"/>
      <x:c r="AC170" s="191"/>
      <x:c r="AD170" s="191"/>
      <x:c r="AE170" s="191"/>
      <x:c r="AF170" s="191"/>
      <x:c r="AG170" s="191"/>
      <x:c r="AH170" s="191"/>
      <x:c r="AI170" s="191"/>
      <x:c r="AJ170" s="191"/>
      <x:c r="AK170" s="191"/>
    </x:row>
    <x:row r="171">
      <x:c r="A171" s="191"/>
      <x:c r="B171" s="191"/>
      <x:c r="C171" s="191"/>
      <x:c r="D171" s="191"/>
      <x:c r="E171" s="191"/>
      <x:c r="F171" s="191"/>
      <x:c r="G171" s="191"/>
      <x:c r="H171" s="191"/>
      <x:c r="I171" s="191"/>
      <x:c r="J171" s="191"/>
      <x:c r="K171" s="191"/>
      <x:c r="L171" s="191"/>
      <x:c r="M171" s="191"/>
      <x:c r="N171" s="191"/>
      <x:c r="O171" s="191"/>
      <x:c r="P171" s="191"/>
      <x:c r="Q171" s="191"/>
      <x:c r="R171" s="191"/>
      <x:c r="S171" s="191"/>
      <x:c r="T171" s="191"/>
      <x:c r="U171" s="191"/>
      <x:c r="V171" s="191"/>
      <x:c r="W171" s="191"/>
      <x:c r="X171" s="191"/>
      <x:c r="Y171" s="191"/>
      <x:c r="Z171" s="191"/>
      <x:c r="AA171" s="191"/>
      <x:c r="AB171" s="191"/>
      <x:c r="AC171" s="191"/>
      <x:c r="AD171" s="191"/>
      <x:c r="AE171" s="191"/>
      <x:c r="AF171" s="191"/>
      <x:c r="AG171" s="191"/>
      <x:c r="AH171" s="191"/>
      <x:c r="AI171" s="191"/>
      <x:c r="AJ171" s="191"/>
      <x:c r="AK171" s="191"/>
    </x:row>
    <x:row r="172">
      <x:c r="A172" s="191"/>
      <x:c r="B172" s="191"/>
      <x:c r="C172" s="191"/>
      <x:c r="D172" s="191"/>
      <x:c r="E172" s="191"/>
      <x:c r="F172" s="191"/>
      <x:c r="G172" s="191"/>
      <x:c r="H172" s="191"/>
      <x:c r="I172" s="191"/>
      <x:c r="J172" s="191"/>
      <x:c r="K172" s="191"/>
      <x:c r="L172" s="191"/>
      <x:c r="M172" s="191"/>
      <x:c r="N172" s="191"/>
      <x:c r="O172" s="191"/>
      <x:c r="P172" s="191"/>
      <x:c r="Q172" s="191"/>
      <x:c r="R172" s="191"/>
      <x:c r="S172" s="191"/>
      <x:c r="T172" s="191"/>
      <x:c r="U172" s="191"/>
      <x:c r="V172" s="191"/>
      <x:c r="W172" s="191"/>
      <x:c r="X172" s="191"/>
      <x:c r="Y172" s="191"/>
      <x:c r="Z172" s="191"/>
      <x:c r="AA172" s="191"/>
      <x:c r="AB172" s="191"/>
      <x:c r="AC172" s="191"/>
      <x:c r="AD172" s="191"/>
      <x:c r="AE172" s="191"/>
      <x:c r="AF172" s="191"/>
      <x:c r="AG172" s="191"/>
      <x:c r="AH172" s="191"/>
      <x:c r="AI172" s="191"/>
      <x:c r="AJ172" s="191"/>
      <x:c r="AK172" s="191"/>
    </x:row>
    <x:row r="173">
      <x:c r="A173" s="191"/>
      <x:c r="B173" s="191"/>
      <x:c r="C173" s="191"/>
      <x:c r="D173" s="191"/>
      <x:c r="E173" s="191"/>
      <x:c r="F173" s="191"/>
      <x:c r="G173" s="191"/>
      <x:c r="H173" s="191"/>
      <x:c r="I173" s="191"/>
      <x:c r="J173" s="191"/>
      <x:c r="K173" s="191"/>
      <x:c r="L173" s="191"/>
      <x:c r="M173" s="191"/>
      <x:c r="N173" s="191"/>
      <x:c r="O173" s="191"/>
      <x:c r="P173" s="191"/>
      <x:c r="Q173" s="191"/>
      <x:c r="R173" s="191"/>
      <x:c r="S173" s="191"/>
      <x:c r="T173" s="191"/>
      <x:c r="U173" s="191"/>
      <x:c r="V173" s="191"/>
      <x:c r="W173" s="191"/>
      <x:c r="X173" s="191"/>
      <x:c r="Y173" s="191"/>
      <x:c r="Z173" s="191"/>
      <x:c r="AA173" s="191"/>
      <x:c r="AB173" s="191"/>
      <x:c r="AC173" s="191"/>
      <x:c r="AD173" s="191"/>
      <x:c r="AE173" s="191"/>
      <x:c r="AF173" s="191"/>
      <x:c r="AG173" s="191"/>
      <x:c r="AH173" s="191"/>
      <x:c r="AI173" s="191"/>
      <x:c r="AJ173" s="191"/>
      <x:c r="AK173" s="191"/>
    </x:row>
    <x:row r="174">
      <x:c r="A174" s="191"/>
      <x:c r="B174" s="191"/>
      <x:c r="C174" s="191"/>
      <x:c r="D174" s="191"/>
      <x:c r="E174" s="191"/>
      <x:c r="F174" s="191"/>
      <x:c r="G174" s="191"/>
      <x:c r="H174" s="191"/>
      <x:c r="I174" s="191"/>
      <x:c r="J174" s="191"/>
      <x:c r="K174" s="191"/>
      <x:c r="L174" s="191"/>
      <x:c r="M174" s="191"/>
      <x:c r="N174" s="191"/>
      <x:c r="O174" s="191"/>
      <x:c r="P174" s="191"/>
      <x:c r="Q174" s="191"/>
      <x:c r="R174" s="191"/>
      <x:c r="S174" s="191"/>
      <x:c r="T174" s="191"/>
      <x:c r="U174" s="191"/>
      <x:c r="V174" s="191"/>
      <x:c r="W174" s="191"/>
      <x:c r="X174" s="191"/>
      <x:c r="Y174" s="191"/>
      <x:c r="Z174" s="191"/>
      <x:c r="AA174" s="191"/>
      <x:c r="AB174" s="191"/>
      <x:c r="AC174" s="191"/>
      <x:c r="AD174" s="191"/>
      <x:c r="AE174" s="191"/>
      <x:c r="AF174" s="191"/>
      <x:c r="AG174" s="191"/>
      <x:c r="AH174" s="191"/>
      <x:c r="AI174" s="191"/>
      <x:c r="AJ174" s="191"/>
      <x:c r="AK174" s="191"/>
    </x:row>
    <x:row r="175">
      <x:c r="A175" s="191"/>
      <x:c r="B175" s="191"/>
      <x:c r="C175" s="191"/>
      <x:c r="D175" s="191"/>
      <x:c r="E175" s="191"/>
      <x:c r="F175" s="191"/>
      <x:c r="G175" s="191"/>
      <x:c r="H175" s="191"/>
      <x:c r="I175" s="191"/>
      <x:c r="J175" s="191"/>
      <x:c r="K175" s="191"/>
      <x:c r="L175" s="191"/>
      <x:c r="M175" s="191"/>
      <x:c r="N175" s="191"/>
      <x:c r="O175" s="191"/>
      <x:c r="P175" s="191"/>
      <x:c r="Q175" s="191"/>
      <x:c r="R175" s="191"/>
      <x:c r="S175" s="191"/>
      <x:c r="T175" s="191"/>
      <x:c r="U175" s="191"/>
      <x:c r="V175" s="191"/>
      <x:c r="W175" s="191"/>
      <x:c r="X175" s="191"/>
      <x:c r="Y175" s="191"/>
      <x:c r="Z175" s="191"/>
      <x:c r="AA175" s="191"/>
      <x:c r="AB175" s="191"/>
      <x:c r="AC175" s="191"/>
      <x:c r="AD175" s="191"/>
      <x:c r="AE175" s="191"/>
      <x:c r="AF175" s="191"/>
      <x:c r="AG175" s="191"/>
      <x:c r="AH175" s="191"/>
      <x:c r="AI175" s="191"/>
      <x:c r="AJ175" s="191"/>
      <x:c r="AK175" s="191"/>
    </x:row>
    <x:row r="176">
      <x:c r="A176" s="191"/>
      <x:c r="B176" s="191"/>
      <x:c r="C176" s="191"/>
      <x:c r="D176" s="191"/>
      <x:c r="E176" s="191"/>
      <x:c r="F176" s="191"/>
      <x:c r="G176" s="191"/>
      <x:c r="H176" s="191"/>
      <x:c r="I176" s="191"/>
      <x:c r="J176" s="191"/>
      <x:c r="K176" s="191"/>
      <x:c r="L176" s="191"/>
      <x:c r="M176" s="191"/>
      <x:c r="N176" s="191"/>
      <x:c r="O176" s="191"/>
      <x:c r="P176" s="191"/>
      <x:c r="Q176" s="191"/>
      <x:c r="R176" s="191"/>
      <x:c r="S176" s="191"/>
      <x:c r="T176" s="191"/>
      <x:c r="U176" s="191"/>
      <x:c r="V176" s="191"/>
      <x:c r="W176" s="191"/>
      <x:c r="X176" s="191"/>
      <x:c r="Y176" s="191"/>
      <x:c r="Z176" s="191"/>
      <x:c r="AA176" s="191"/>
      <x:c r="AB176" s="191"/>
      <x:c r="AC176" s="191"/>
      <x:c r="AD176" s="191"/>
      <x:c r="AE176" s="191"/>
      <x:c r="AF176" s="191"/>
      <x:c r="AG176" s="191"/>
      <x:c r="AH176" s="191"/>
      <x:c r="AI176" s="191"/>
      <x:c r="AJ176" s="191"/>
      <x:c r="AK176" s="191"/>
    </x:row>
    <x:row r="177">
      <x:c r="A177" s="191"/>
      <x:c r="B177" s="191"/>
      <x:c r="C177" s="191"/>
      <x:c r="D177" s="191"/>
      <x:c r="E177" s="191"/>
      <x:c r="F177" s="191"/>
      <x:c r="G177" s="191"/>
      <x:c r="H177" s="191"/>
      <x:c r="I177" s="191"/>
      <x:c r="J177" s="191"/>
      <x:c r="K177" s="191"/>
      <x:c r="L177" s="191"/>
      <x:c r="M177" s="191"/>
      <x:c r="N177" s="191"/>
      <x:c r="O177" s="191"/>
      <x:c r="P177" s="191"/>
      <x:c r="Q177" s="191"/>
      <x:c r="R177" s="191"/>
      <x:c r="S177" s="191"/>
      <x:c r="T177" s="191"/>
      <x:c r="U177" s="191"/>
      <x:c r="V177" s="191"/>
      <x:c r="W177" s="191"/>
      <x:c r="X177" s="191"/>
      <x:c r="Y177" s="191"/>
      <x:c r="Z177" s="191"/>
      <x:c r="AA177" s="191"/>
      <x:c r="AB177" s="191"/>
      <x:c r="AC177" s="191"/>
      <x:c r="AD177" s="191"/>
      <x:c r="AE177" s="191"/>
      <x:c r="AF177" s="191"/>
      <x:c r="AG177" s="191"/>
      <x:c r="AH177" s="191"/>
      <x:c r="AI177" s="191"/>
      <x:c r="AJ177" s="191"/>
      <x:c r="AK177" s="191"/>
    </x:row>
    <x:row r="178">
      <x:c r="A178" s="191"/>
      <x:c r="B178" s="191"/>
      <x:c r="C178" s="191"/>
      <x:c r="D178" s="191"/>
      <x:c r="E178" s="191"/>
      <x:c r="F178" s="191"/>
      <x:c r="G178" s="191"/>
      <x:c r="H178" s="191"/>
      <x:c r="I178" s="191"/>
      <x:c r="J178" s="191"/>
      <x:c r="K178" s="191"/>
      <x:c r="L178" s="191"/>
      <x:c r="M178" s="191"/>
      <x:c r="N178" s="191"/>
      <x:c r="O178" s="191"/>
      <x:c r="P178" s="191"/>
      <x:c r="Q178" s="191"/>
      <x:c r="R178" s="191"/>
      <x:c r="S178" s="191"/>
      <x:c r="T178" s="191"/>
      <x:c r="U178" s="191"/>
      <x:c r="V178" s="191"/>
      <x:c r="W178" s="191"/>
      <x:c r="X178" s="191"/>
      <x:c r="Y178" s="191"/>
      <x:c r="Z178" s="191"/>
      <x:c r="AA178" s="191"/>
      <x:c r="AB178" s="191"/>
      <x:c r="AC178" s="191"/>
      <x:c r="AD178" s="191"/>
      <x:c r="AE178" s="191"/>
      <x:c r="AF178" s="191"/>
      <x:c r="AG178" s="191"/>
      <x:c r="AH178" s="191"/>
      <x:c r="AI178" s="191"/>
      <x:c r="AJ178" s="191"/>
      <x:c r="AK178" s="191"/>
    </x:row>
    <x:row r="179">
      <x:c r="A179" s="191"/>
      <x:c r="B179" s="191"/>
      <x:c r="C179" s="191"/>
      <x:c r="D179" s="191"/>
      <x:c r="E179" s="191"/>
      <x:c r="F179" s="191"/>
      <x:c r="G179" s="191"/>
      <x:c r="H179" s="191"/>
      <x:c r="I179" s="191"/>
      <x:c r="J179" s="191"/>
      <x:c r="K179" s="191"/>
      <x:c r="L179" s="191"/>
      <x:c r="M179" s="191"/>
      <x:c r="N179" s="191"/>
      <x:c r="O179" s="191"/>
      <x:c r="P179" s="191"/>
      <x:c r="Q179" s="191"/>
      <x:c r="R179" s="191"/>
      <x:c r="S179" s="191"/>
      <x:c r="T179" s="191"/>
      <x:c r="U179" s="191"/>
      <x:c r="V179" s="191"/>
      <x:c r="W179" s="191"/>
      <x:c r="X179" s="191"/>
      <x:c r="Y179" s="191"/>
      <x:c r="Z179" s="191"/>
      <x:c r="AA179" s="191"/>
      <x:c r="AB179" s="191"/>
      <x:c r="AC179" s="191"/>
      <x:c r="AD179" s="191"/>
      <x:c r="AE179" s="191"/>
      <x:c r="AF179" s="191"/>
      <x:c r="AG179" s="191"/>
      <x:c r="AH179" s="191"/>
      <x:c r="AI179" s="191"/>
      <x:c r="AJ179" s="191"/>
      <x:c r="AK179" s="191"/>
    </x:row>
    <x:row r="180">
      <x:c r="A180" s="191"/>
      <x:c r="B180" s="191"/>
      <x:c r="C180" s="191"/>
      <x:c r="D180" s="191"/>
      <x:c r="E180" s="191"/>
      <x:c r="F180" s="191"/>
      <x:c r="G180" s="191"/>
      <x:c r="H180" s="191"/>
      <x:c r="I180" s="191"/>
      <x:c r="J180" s="191"/>
      <x:c r="K180" s="191"/>
      <x:c r="L180" s="191"/>
      <x:c r="M180" s="191"/>
      <x:c r="N180" s="191"/>
      <x:c r="O180" s="191"/>
      <x:c r="P180" s="191"/>
      <x:c r="Q180" s="191"/>
      <x:c r="R180" s="191"/>
      <x:c r="S180" s="191"/>
      <x:c r="T180" s="191"/>
      <x:c r="U180" s="191"/>
      <x:c r="V180" s="191"/>
      <x:c r="W180" s="191"/>
      <x:c r="X180" s="191"/>
      <x:c r="Y180" s="191"/>
      <x:c r="Z180" s="191"/>
      <x:c r="AA180" s="191"/>
      <x:c r="AB180" s="191"/>
      <x:c r="AC180" s="191"/>
      <x:c r="AD180" s="191"/>
      <x:c r="AE180" s="191"/>
      <x:c r="AF180" s="191"/>
      <x:c r="AG180" s="191"/>
      <x:c r="AH180" s="191"/>
      <x:c r="AI180" s="191"/>
      <x:c r="AJ180" s="191"/>
      <x:c r="AK180" s="191"/>
    </x:row>
    <x:row r="181">
      <x:c r="A181" s="191"/>
      <x:c r="B181" s="191"/>
      <x:c r="C181" s="191"/>
      <x:c r="D181" s="191"/>
      <x:c r="E181" s="191"/>
      <x:c r="F181" s="191"/>
      <x:c r="G181" s="191"/>
      <x:c r="H181" s="191"/>
      <x:c r="I181" s="191"/>
      <x:c r="J181" s="191"/>
      <x:c r="K181" s="191"/>
      <x:c r="L181" s="191"/>
      <x:c r="M181" s="191"/>
      <x:c r="N181" s="191"/>
      <x:c r="O181" s="191"/>
      <x:c r="P181" s="191"/>
      <x:c r="Q181" s="191"/>
      <x:c r="R181" s="191"/>
      <x:c r="S181" s="191"/>
      <x:c r="T181" s="191"/>
      <x:c r="U181" s="191"/>
      <x:c r="V181" s="191"/>
      <x:c r="W181" s="191"/>
      <x:c r="X181" s="191"/>
      <x:c r="Y181" s="191"/>
      <x:c r="Z181" s="191"/>
      <x:c r="AA181" s="191"/>
      <x:c r="AB181" s="191"/>
      <x:c r="AC181" s="191"/>
      <x:c r="AD181" s="191"/>
      <x:c r="AE181" s="191"/>
      <x:c r="AF181" s="191"/>
      <x:c r="AG181" s="191"/>
      <x:c r="AH181" s="191"/>
      <x:c r="AI181" s="191"/>
      <x:c r="AJ181" s="191"/>
      <x:c r="AK181" s="191"/>
    </x:row>
    <x:row r="182">
      <x:c r="A182" s="191"/>
      <x:c r="B182" s="191"/>
      <x:c r="C182" s="191"/>
      <x:c r="D182" s="191"/>
      <x:c r="E182" s="191"/>
      <x:c r="F182" s="191"/>
      <x:c r="G182" s="191"/>
      <x:c r="H182" s="191"/>
      <x:c r="I182" s="191"/>
      <x:c r="J182" s="191"/>
      <x:c r="K182" s="191"/>
      <x:c r="L182" s="191"/>
      <x:c r="M182" s="191"/>
      <x:c r="N182" s="191"/>
      <x:c r="O182" s="191"/>
      <x:c r="P182" s="191"/>
      <x:c r="Q182" s="191"/>
      <x:c r="R182" s="191"/>
      <x:c r="S182" s="191"/>
      <x:c r="T182" s="191"/>
      <x:c r="U182" s="191"/>
      <x:c r="V182" s="191"/>
      <x:c r="W182" s="191"/>
      <x:c r="X182" s="191"/>
      <x:c r="Y182" s="191"/>
      <x:c r="Z182" s="191"/>
      <x:c r="AA182" s="191"/>
      <x:c r="AB182" s="191"/>
      <x:c r="AC182" s="191"/>
      <x:c r="AD182" s="191"/>
      <x:c r="AE182" s="191"/>
      <x:c r="AF182" s="191"/>
      <x:c r="AG182" s="191"/>
      <x:c r="AH182" s="191"/>
      <x:c r="AI182" s="191"/>
      <x:c r="AJ182" s="191"/>
      <x:c r="AK182" s="191"/>
    </x:row>
    <x:row r="183">
      <x:c r="A183" s="191"/>
      <x:c r="B183" s="191"/>
      <x:c r="C183" s="191"/>
      <x:c r="D183" s="191"/>
      <x:c r="E183" s="191"/>
      <x:c r="F183" s="191"/>
      <x:c r="G183" s="191"/>
      <x:c r="H183" s="191"/>
      <x:c r="I183" s="191"/>
      <x:c r="J183" s="191"/>
      <x:c r="K183" s="191"/>
      <x:c r="L183" s="191"/>
      <x:c r="M183" s="191"/>
      <x:c r="N183" s="191"/>
      <x:c r="O183" s="191"/>
      <x:c r="P183" s="191"/>
      <x:c r="Q183" s="191"/>
      <x:c r="R183" s="191"/>
      <x:c r="S183" s="191"/>
      <x:c r="T183" s="191"/>
      <x:c r="U183" s="191"/>
      <x:c r="V183" s="191"/>
      <x:c r="W183" s="191"/>
      <x:c r="X183" s="191"/>
      <x:c r="Y183" s="191"/>
      <x:c r="Z183" s="191"/>
      <x:c r="AA183" s="191"/>
      <x:c r="AB183" s="191"/>
      <x:c r="AC183" s="191"/>
      <x:c r="AD183" s="191"/>
      <x:c r="AE183" s="191"/>
      <x:c r="AF183" s="191"/>
      <x:c r="AG183" s="191"/>
      <x:c r="AH183" s="191"/>
      <x:c r="AI183" s="191"/>
      <x:c r="AJ183" s="191"/>
      <x:c r="AK183" s="191"/>
    </x:row>
    <x:row r="184">
      <x:c r="A184" s="191"/>
      <x:c r="B184" s="191"/>
      <x:c r="C184" s="191"/>
      <x:c r="D184" s="191"/>
      <x:c r="E184" s="191"/>
      <x:c r="F184" s="191"/>
      <x:c r="G184" s="191"/>
      <x:c r="H184" s="191"/>
      <x:c r="I184" s="191"/>
      <x:c r="J184" s="191"/>
      <x:c r="K184" s="191"/>
      <x:c r="L184" s="191"/>
      <x:c r="M184" s="191"/>
      <x:c r="N184" s="191"/>
      <x:c r="O184" s="191"/>
      <x:c r="P184" s="191"/>
      <x:c r="Q184" s="191"/>
      <x:c r="R184" s="191"/>
      <x:c r="S184" s="191"/>
      <x:c r="T184" s="191"/>
      <x:c r="U184" s="191"/>
      <x:c r="V184" s="191"/>
      <x:c r="W184" s="191"/>
      <x:c r="X184" s="191"/>
      <x:c r="Y184" s="191"/>
      <x:c r="Z184" s="191"/>
      <x:c r="AA184" s="191"/>
      <x:c r="AB184" s="191"/>
      <x:c r="AC184" s="191"/>
      <x:c r="AD184" s="191"/>
      <x:c r="AE184" s="191"/>
      <x:c r="AF184" s="191"/>
      <x:c r="AG184" s="191"/>
      <x:c r="AH184" s="191"/>
      <x:c r="AI184" s="191"/>
      <x:c r="AJ184" s="191"/>
      <x:c r="AK184" s="191"/>
    </x:row>
    <x:row r="185">
      <x:c r="A185" s="191"/>
      <x:c r="B185" s="191"/>
      <x:c r="C185" s="191"/>
      <x:c r="D185" s="191"/>
      <x:c r="E185" s="191"/>
      <x:c r="F185" s="191"/>
      <x:c r="G185" s="191"/>
      <x:c r="H185" s="191"/>
      <x:c r="I185" s="191"/>
      <x:c r="J185" s="191"/>
      <x:c r="K185" s="191"/>
      <x:c r="L185" s="191"/>
      <x:c r="M185" s="191"/>
      <x:c r="N185" s="191"/>
      <x:c r="O185" s="191"/>
      <x:c r="P185" s="191"/>
      <x:c r="Q185" s="191"/>
      <x:c r="R185" s="191"/>
      <x:c r="S185" s="191"/>
      <x:c r="T185" s="191"/>
      <x:c r="U185" s="191"/>
      <x:c r="V185" s="191"/>
      <x:c r="W185" s="191"/>
      <x:c r="X185" s="191"/>
      <x:c r="Y185" s="191"/>
      <x:c r="Z185" s="191"/>
      <x:c r="AA185" s="191"/>
      <x:c r="AB185" s="191"/>
      <x:c r="AC185" s="191"/>
      <x:c r="AD185" s="191"/>
      <x:c r="AE185" s="191"/>
      <x:c r="AF185" s="191"/>
      <x:c r="AG185" s="191"/>
      <x:c r="AH185" s="191"/>
      <x:c r="AI185" s="191"/>
      <x:c r="AJ185" s="191"/>
      <x:c r="AK185" s="191"/>
    </x:row>
    <x:row r="186">
      <x:c r="A186" s="191"/>
      <x:c r="B186" s="191"/>
      <x:c r="C186" s="191"/>
      <x:c r="D186" s="191"/>
      <x:c r="E186" s="191"/>
      <x:c r="F186" s="191"/>
      <x:c r="G186" s="191"/>
      <x:c r="H186" s="191"/>
      <x:c r="I186" s="191"/>
      <x:c r="J186" s="191"/>
      <x:c r="K186" s="191"/>
      <x:c r="L186" s="191"/>
      <x:c r="M186" s="191"/>
      <x:c r="N186" s="191"/>
      <x:c r="O186" s="191"/>
      <x:c r="P186" s="191"/>
      <x:c r="Q186" s="191"/>
      <x:c r="R186" s="191"/>
      <x:c r="S186" s="191"/>
      <x:c r="T186" s="191"/>
      <x:c r="U186" s="191"/>
      <x:c r="V186" s="191"/>
      <x:c r="W186" s="191"/>
      <x:c r="X186" s="191"/>
      <x:c r="Y186" s="191"/>
      <x:c r="Z186" s="191"/>
      <x:c r="AA186" s="191"/>
      <x:c r="AB186" s="191"/>
      <x:c r="AC186" s="191"/>
      <x:c r="AD186" s="191"/>
      <x:c r="AE186" s="191"/>
      <x:c r="AF186" s="191"/>
      <x:c r="AG186" s="191"/>
      <x:c r="AH186" s="191"/>
      <x:c r="AI186" s="191"/>
      <x:c r="AJ186" s="191"/>
      <x:c r="AK186" s="191"/>
    </x:row>
    <x:row r="187">
      <x:c r="A187" s="191"/>
      <x:c r="B187" s="191"/>
      <x:c r="C187" s="191"/>
      <x:c r="D187" s="191"/>
      <x:c r="E187" s="191"/>
      <x:c r="F187" s="191"/>
      <x:c r="G187" s="191"/>
      <x:c r="H187" s="191"/>
      <x:c r="I187" s="191"/>
      <x:c r="J187" s="191"/>
      <x:c r="K187" s="191"/>
      <x:c r="L187" s="191"/>
      <x:c r="M187" s="191"/>
      <x:c r="N187" s="191"/>
      <x:c r="O187" s="191"/>
      <x:c r="P187" s="191"/>
      <x:c r="Q187" s="191"/>
      <x:c r="R187" s="191"/>
      <x:c r="S187" s="191"/>
      <x:c r="T187" s="191"/>
      <x:c r="U187" s="191"/>
      <x:c r="V187" s="191"/>
      <x:c r="W187" s="191"/>
      <x:c r="X187" s="191"/>
      <x:c r="Y187" s="191"/>
      <x:c r="Z187" s="191"/>
      <x:c r="AA187" s="191"/>
      <x:c r="AB187" s="191"/>
      <x:c r="AC187" s="191"/>
      <x:c r="AD187" s="191"/>
      <x:c r="AE187" s="191"/>
      <x:c r="AF187" s="191"/>
      <x:c r="AG187" s="191"/>
      <x:c r="AH187" s="191"/>
      <x:c r="AI187" s="191"/>
      <x:c r="AJ187" s="191"/>
      <x:c r="AK187" s="191"/>
    </x:row>
    <x:row r="188">
      <x:c r="A188" s="191"/>
      <x:c r="B188" s="191"/>
      <x:c r="C188" s="191"/>
      <x:c r="D188" s="191"/>
      <x:c r="E188" s="191"/>
      <x:c r="F188" s="191"/>
      <x:c r="G188" s="191"/>
      <x:c r="H188" s="191"/>
      <x:c r="I188" s="191"/>
      <x:c r="J188" s="191"/>
      <x:c r="K188" s="191"/>
      <x:c r="L188" s="191"/>
      <x:c r="M188" s="191"/>
      <x:c r="N188" s="191"/>
      <x:c r="O188" s="191"/>
      <x:c r="P188" s="191"/>
      <x:c r="Q188" s="191"/>
      <x:c r="R188" s="191"/>
      <x:c r="S188" s="191"/>
      <x:c r="T188" s="191"/>
      <x:c r="U188" s="191"/>
      <x:c r="V188" s="191"/>
      <x:c r="W188" s="191"/>
      <x:c r="X188" s="191"/>
      <x:c r="Y188" s="191"/>
      <x:c r="Z188" s="191"/>
      <x:c r="AA188" s="191"/>
      <x:c r="AB188" s="191"/>
      <x:c r="AC188" s="191"/>
      <x:c r="AD188" s="191"/>
      <x:c r="AE188" s="191"/>
      <x:c r="AF188" s="191"/>
      <x:c r="AG188" s="191"/>
      <x:c r="AH188" s="191"/>
      <x:c r="AI188" s="191"/>
      <x:c r="AJ188" s="191"/>
      <x:c r="AK188" s="191"/>
    </x:row>
    <x:row r="189">
      <x:c r="A189" s="191"/>
      <x:c r="B189" s="191"/>
      <x:c r="C189" s="191"/>
      <x:c r="D189" s="191"/>
      <x:c r="E189" s="191"/>
      <x:c r="F189" s="191"/>
      <x:c r="G189" s="191"/>
      <x:c r="H189" s="191"/>
      <x:c r="I189" s="191"/>
      <x:c r="J189" s="191"/>
      <x:c r="K189" s="191"/>
      <x:c r="L189" s="191"/>
      <x:c r="M189" s="191"/>
      <x:c r="N189" s="191"/>
      <x:c r="O189" s="191"/>
      <x:c r="P189" s="191"/>
      <x:c r="Q189" s="191"/>
      <x:c r="R189" s="191"/>
      <x:c r="S189" s="191"/>
      <x:c r="T189" s="191"/>
      <x:c r="U189" s="191"/>
      <x:c r="V189" s="191"/>
      <x:c r="W189" s="191"/>
      <x:c r="X189" s="191"/>
      <x:c r="Y189" s="191"/>
      <x:c r="Z189" s="191"/>
      <x:c r="AA189" s="191"/>
      <x:c r="AB189" s="191"/>
      <x:c r="AC189" s="191"/>
      <x:c r="AD189" s="191"/>
      <x:c r="AE189" s="191"/>
      <x:c r="AF189" s="191"/>
      <x:c r="AG189" s="191"/>
      <x:c r="AH189" s="191"/>
      <x:c r="AI189" s="191"/>
      <x:c r="AJ189" s="191"/>
      <x:c r="AK189" s="191"/>
    </x:row>
    <x:row r="190">
      <x:c r="A190" s="191"/>
      <x:c r="B190" s="191"/>
      <x:c r="C190" s="191"/>
      <x:c r="D190" s="191"/>
      <x:c r="E190" s="191"/>
      <x:c r="F190" s="191"/>
      <x:c r="G190" s="191"/>
      <x:c r="H190" s="191"/>
      <x:c r="I190" s="191"/>
      <x:c r="J190" s="191"/>
      <x:c r="K190" s="191"/>
      <x:c r="L190" s="191"/>
      <x:c r="M190" s="191"/>
      <x:c r="N190" s="191"/>
      <x:c r="O190" s="191"/>
      <x:c r="P190" s="191"/>
      <x:c r="Q190" s="191"/>
      <x:c r="R190" s="191"/>
      <x:c r="S190" s="191"/>
      <x:c r="T190" s="191"/>
      <x:c r="U190" s="191"/>
      <x:c r="V190" s="191"/>
      <x:c r="W190" s="191"/>
      <x:c r="X190" s="191"/>
      <x:c r="Y190" s="191"/>
      <x:c r="Z190" s="191"/>
      <x:c r="AA190" s="191"/>
      <x:c r="AB190" s="191"/>
      <x:c r="AC190" s="191"/>
      <x:c r="AD190" s="191"/>
      <x:c r="AE190" s="191"/>
      <x:c r="AF190" s="191"/>
      <x:c r="AG190" s="191"/>
      <x:c r="AH190" s="191"/>
      <x:c r="AI190" s="191"/>
      <x:c r="AJ190" s="191"/>
      <x:c r="AK190" s="191"/>
    </x:row>
    <x:row r="191">
      <x:c r="A191" s="191"/>
      <x:c r="B191" s="191"/>
      <x:c r="C191" s="191"/>
      <x:c r="D191" s="191"/>
      <x:c r="E191" s="191"/>
      <x:c r="F191" s="191"/>
      <x:c r="G191" s="191"/>
      <x:c r="H191" s="191"/>
      <x:c r="I191" s="191"/>
      <x:c r="J191" s="191"/>
      <x:c r="K191" s="191"/>
      <x:c r="L191" s="191"/>
      <x:c r="M191" s="191"/>
      <x:c r="N191" s="191"/>
      <x:c r="O191" s="191"/>
      <x:c r="P191" s="191"/>
      <x:c r="Q191" s="191"/>
      <x:c r="R191" s="191"/>
      <x:c r="S191" s="191"/>
      <x:c r="T191" s="191"/>
      <x:c r="U191" s="191"/>
      <x:c r="V191" s="191"/>
      <x:c r="W191" s="191"/>
      <x:c r="X191" s="191"/>
      <x:c r="Y191" s="191"/>
      <x:c r="Z191" s="191"/>
      <x:c r="AA191" s="191"/>
      <x:c r="AB191" s="191"/>
      <x:c r="AC191" s="191"/>
      <x:c r="AD191" s="191"/>
      <x:c r="AE191" s="191"/>
      <x:c r="AF191" s="191"/>
      <x:c r="AG191" s="191"/>
      <x:c r="AH191" s="191"/>
      <x:c r="AI191" s="191"/>
      <x:c r="AJ191" s="191"/>
      <x:c r="AK191" s="191"/>
    </x:row>
    <x:row r="192">
      <x:c r="A192" s="191"/>
      <x:c r="B192" s="191"/>
      <x:c r="C192" s="191"/>
      <x:c r="D192" s="191"/>
      <x:c r="E192" s="191"/>
      <x:c r="F192" s="191"/>
      <x:c r="G192" s="191"/>
      <x:c r="H192" s="191"/>
      <x:c r="I192" s="191"/>
      <x:c r="J192" s="191"/>
      <x:c r="K192" s="191"/>
      <x:c r="L192" s="191"/>
      <x:c r="M192" s="191"/>
      <x:c r="N192" s="191"/>
      <x:c r="O192" s="191"/>
      <x:c r="P192" s="191"/>
      <x:c r="Q192" s="191"/>
      <x:c r="R192" s="191"/>
      <x:c r="S192" s="191"/>
      <x:c r="T192" s="191"/>
      <x:c r="U192" s="191"/>
      <x:c r="V192" s="191"/>
      <x:c r="W192" s="191"/>
      <x:c r="X192" s="191"/>
      <x:c r="Y192" s="191"/>
      <x:c r="Z192" s="191"/>
      <x:c r="AA192" s="191"/>
      <x:c r="AB192" s="191"/>
      <x:c r="AC192" s="191"/>
      <x:c r="AD192" s="191"/>
      <x:c r="AE192" s="191"/>
      <x:c r="AF192" s="191"/>
      <x:c r="AG192" s="191"/>
      <x:c r="AH192" s="191"/>
      <x:c r="AI192" s="191"/>
      <x:c r="AJ192" s="191"/>
      <x:c r="AK192" s="191"/>
    </x:row>
    <x:row r="193">
      <x:c r="A193" s="191"/>
      <x:c r="B193" s="191"/>
      <x:c r="C193" s="191"/>
      <x:c r="D193" s="191"/>
      <x:c r="E193" s="191"/>
      <x:c r="F193" s="191"/>
      <x:c r="G193" s="191"/>
      <x:c r="H193" s="191"/>
      <x:c r="I193" s="191"/>
      <x:c r="J193" s="191"/>
      <x:c r="K193" s="191"/>
      <x:c r="L193" s="191"/>
      <x:c r="M193" s="191"/>
      <x:c r="N193" s="191"/>
      <x:c r="O193" s="191"/>
      <x:c r="P193" s="191"/>
      <x:c r="Q193" s="191"/>
      <x:c r="R193" s="191"/>
      <x:c r="S193" s="191"/>
      <x:c r="T193" s="191"/>
      <x:c r="U193" s="191"/>
      <x:c r="V193" s="191"/>
      <x:c r="W193" s="191"/>
      <x:c r="X193" s="191"/>
      <x:c r="Y193" s="191"/>
      <x:c r="Z193" s="191"/>
      <x:c r="AA193" s="191"/>
      <x:c r="AB193" s="191"/>
      <x:c r="AC193" s="191"/>
      <x:c r="AD193" s="191"/>
      <x:c r="AE193" s="191"/>
      <x:c r="AF193" s="191"/>
      <x:c r="AG193" s="191"/>
      <x:c r="AH193" s="191"/>
      <x:c r="AI193" s="191"/>
      <x:c r="AJ193" s="191"/>
      <x:c r="AK193" s="191"/>
    </x:row>
    <x:row r="194">
      <x:c r="A194" s="191"/>
      <x:c r="B194" s="191"/>
      <x:c r="C194" s="191"/>
      <x:c r="D194" s="191"/>
      <x:c r="E194" s="191"/>
      <x:c r="F194" s="191"/>
      <x:c r="G194" s="191"/>
      <x:c r="H194" s="191"/>
      <x:c r="I194" s="191"/>
      <x:c r="J194" s="191"/>
      <x:c r="K194" s="191"/>
      <x:c r="L194" s="191"/>
      <x:c r="M194" s="191"/>
      <x:c r="N194" s="191"/>
      <x:c r="O194" s="191"/>
      <x:c r="P194" s="191"/>
      <x:c r="Q194" s="191"/>
      <x:c r="R194" s="191"/>
      <x:c r="S194" s="191"/>
      <x:c r="T194" s="191"/>
      <x:c r="U194" s="191"/>
      <x:c r="V194" s="191"/>
      <x:c r="W194" s="191"/>
      <x:c r="X194" s="191"/>
      <x:c r="Y194" s="191"/>
      <x:c r="Z194" s="191"/>
      <x:c r="AA194" s="191"/>
      <x:c r="AB194" s="191"/>
      <x:c r="AC194" s="191"/>
      <x:c r="AD194" s="191"/>
      <x:c r="AE194" s="191"/>
      <x:c r="AF194" s="191"/>
      <x:c r="AG194" s="191"/>
      <x:c r="AH194" s="191"/>
      <x:c r="AI194" s="191"/>
      <x:c r="AJ194" s="191"/>
      <x:c r="AK194" s="191"/>
    </x:row>
    <x:row r="195">
      <x:c r="A195" s="191"/>
      <x:c r="B195" s="191"/>
      <x:c r="C195" s="191"/>
      <x:c r="D195" s="191"/>
      <x:c r="E195" s="191"/>
      <x:c r="F195" s="191"/>
      <x:c r="G195" s="191"/>
      <x:c r="H195" s="191"/>
      <x:c r="I195" s="191"/>
      <x:c r="J195" s="191"/>
      <x:c r="K195" s="191"/>
      <x:c r="L195" s="191"/>
      <x:c r="M195" s="191"/>
      <x:c r="N195" s="191"/>
      <x:c r="O195" s="191"/>
      <x:c r="P195" s="191"/>
      <x:c r="Q195" s="191"/>
      <x:c r="R195" s="191"/>
      <x:c r="S195" s="191"/>
      <x:c r="T195" s="191"/>
      <x:c r="U195" s="191"/>
      <x:c r="V195" s="191"/>
      <x:c r="W195" s="191"/>
      <x:c r="X195" s="191"/>
      <x:c r="Y195" s="191"/>
      <x:c r="Z195" s="191"/>
      <x:c r="AA195" s="191"/>
      <x:c r="AB195" s="191"/>
      <x:c r="AC195" s="191"/>
      <x:c r="AD195" s="191"/>
      <x:c r="AE195" s="191"/>
      <x:c r="AF195" s="191"/>
      <x:c r="AG195" s="191"/>
      <x:c r="AH195" s="191"/>
      <x:c r="AI195" s="191"/>
      <x:c r="AJ195" s="191"/>
      <x:c r="AK195" s="191"/>
    </x:row>
    <x:row r="196">
      <x:c r="A196" s="191"/>
      <x:c r="B196" s="191"/>
      <x:c r="C196" s="191"/>
      <x:c r="D196" s="191"/>
      <x:c r="E196" s="191"/>
      <x:c r="F196" s="191"/>
      <x:c r="G196" s="191"/>
      <x:c r="H196" s="191"/>
      <x:c r="I196" s="191"/>
      <x:c r="J196" s="191"/>
      <x:c r="K196" s="191"/>
      <x:c r="L196" s="191"/>
      <x:c r="M196" s="191"/>
      <x:c r="N196" s="191"/>
      <x:c r="O196" s="191"/>
      <x:c r="P196" s="191"/>
      <x:c r="Q196" s="191"/>
      <x:c r="R196" s="191"/>
      <x:c r="S196" s="191"/>
      <x:c r="T196" s="191"/>
      <x:c r="U196" s="191"/>
      <x:c r="V196" s="191"/>
      <x:c r="W196" s="191"/>
      <x:c r="X196" s="191"/>
      <x:c r="Y196" s="191"/>
      <x:c r="Z196" s="191"/>
      <x:c r="AA196" s="191"/>
      <x:c r="AB196" s="191"/>
      <x:c r="AC196" s="191"/>
      <x:c r="AD196" s="191"/>
      <x:c r="AE196" s="191"/>
      <x:c r="AF196" s="191"/>
      <x:c r="AG196" s="191"/>
      <x:c r="AH196" s="191"/>
      <x:c r="AI196" s="191"/>
      <x:c r="AJ196" s="191"/>
      <x:c r="AK196" s="191"/>
    </x:row>
    <x:row r="197">
      <x:c r="A197" s="191"/>
      <x:c r="B197" s="191"/>
      <x:c r="C197" s="191"/>
      <x:c r="D197" s="191"/>
      <x:c r="E197" s="191"/>
      <x:c r="F197" s="191"/>
      <x:c r="G197" s="191"/>
      <x:c r="H197" s="191"/>
      <x:c r="I197" s="191"/>
      <x:c r="J197" s="191"/>
      <x:c r="K197" s="191"/>
      <x:c r="L197" s="191"/>
      <x:c r="M197" s="191"/>
      <x:c r="N197" s="191"/>
      <x:c r="O197" s="191"/>
      <x:c r="P197" s="191"/>
      <x:c r="Q197" s="191"/>
      <x:c r="R197" s="191"/>
      <x:c r="S197" s="191"/>
      <x:c r="T197" s="191"/>
      <x:c r="U197" s="191"/>
      <x:c r="V197" s="191"/>
      <x:c r="W197" s="191"/>
      <x:c r="X197" s="191"/>
      <x:c r="Y197" s="191"/>
      <x:c r="Z197" s="191"/>
      <x:c r="AA197" s="191"/>
      <x:c r="AB197" s="191"/>
      <x:c r="AC197" s="191"/>
      <x:c r="AD197" s="191"/>
      <x:c r="AE197" s="191"/>
      <x:c r="AF197" s="191"/>
      <x:c r="AG197" s="191"/>
      <x:c r="AH197" s="191"/>
      <x:c r="AI197" s="191"/>
      <x:c r="AJ197" s="191"/>
      <x:c r="AK197" s="191"/>
    </x:row>
    <x:row r="198">
      <x:c r="A198" s="191"/>
      <x:c r="B198" s="191"/>
      <x:c r="C198" s="191"/>
      <x:c r="D198" s="191"/>
      <x:c r="E198" s="191"/>
      <x:c r="F198" s="191"/>
      <x:c r="G198" s="191"/>
      <x:c r="H198" s="191"/>
      <x:c r="I198" s="191"/>
      <x:c r="J198" s="191"/>
      <x:c r="K198" s="191"/>
      <x:c r="L198" s="191"/>
      <x:c r="M198" s="191"/>
      <x:c r="N198" s="191"/>
      <x:c r="O198" s="191"/>
      <x:c r="P198" s="191"/>
      <x:c r="Q198" s="191"/>
      <x:c r="R198" s="191"/>
      <x:c r="S198" s="191"/>
      <x:c r="T198" s="191"/>
      <x:c r="U198" s="191"/>
      <x:c r="V198" s="191"/>
      <x:c r="W198" s="191"/>
      <x:c r="X198" s="191"/>
      <x:c r="Y198" s="191"/>
      <x:c r="Z198" s="191"/>
      <x:c r="AA198" s="191"/>
      <x:c r="AB198" s="191"/>
      <x:c r="AC198" s="191"/>
      <x:c r="AD198" s="191"/>
      <x:c r="AE198" s="191"/>
      <x:c r="AF198" s="191"/>
      <x:c r="AG198" s="191"/>
      <x:c r="AH198" s="191"/>
      <x:c r="AI198" s="191"/>
      <x:c r="AJ198" s="191"/>
      <x:c r="AK198" s="191"/>
    </x:row>
    <x:row r="199">
      <x:c r="A199" s="191"/>
      <x:c r="B199" s="191"/>
      <x:c r="C199" s="191"/>
      <x:c r="D199" s="191"/>
      <x:c r="E199" s="191"/>
      <x:c r="F199" s="191"/>
      <x:c r="G199" s="191"/>
      <x:c r="H199" s="191"/>
      <x:c r="I199" s="191"/>
      <x:c r="J199" s="191"/>
      <x:c r="K199" s="191"/>
      <x:c r="L199" s="191"/>
      <x:c r="M199" s="191"/>
      <x:c r="N199" s="191"/>
      <x:c r="O199" s="191"/>
      <x:c r="P199" s="191"/>
      <x:c r="Q199" s="191"/>
      <x:c r="R199" s="191"/>
      <x:c r="S199" s="191"/>
      <x:c r="T199" s="191"/>
      <x:c r="U199" s="191"/>
      <x:c r="V199" s="191"/>
      <x:c r="W199" s="191"/>
      <x:c r="X199" s="191"/>
      <x:c r="Y199" s="191"/>
      <x:c r="Z199" s="191"/>
      <x:c r="AA199" s="191"/>
      <x:c r="AB199" s="191"/>
      <x:c r="AC199" s="191"/>
      <x:c r="AD199" s="191"/>
      <x:c r="AE199" s="191"/>
      <x:c r="AF199" s="191"/>
      <x:c r="AG199" s="191"/>
      <x:c r="AH199" s="191"/>
      <x:c r="AI199" s="191"/>
      <x:c r="AJ199" s="191"/>
      <x:c r="AK199" s="191"/>
    </x:row>
    <x:row r="200">
      <x:c r="A200" s="191"/>
      <x:c r="B200" s="191"/>
      <x:c r="C200" s="191"/>
      <x:c r="D200" s="191"/>
      <x:c r="E200" s="191"/>
      <x:c r="F200" s="191"/>
      <x:c r="G200" s="191"/>
      <x:c r="H200" s="191"/>
      <x:c r="I200" s="191"/>
      <x:c r="J200" s="191"/>
      <x:c r="K200" s="191"/>
      <x:c r="L200" s="191"/>
      <x:c r="M200" s="191"/>
      <x:c r="N200" s="191"/>
      <x:c r="O200" s="191"/>
      <x:c r="P200" s="191"/>
      <x:c r="Q200" s="191"/>
      <x:c r="R200" s="191"/>
      <x:c r="S200" s="191"/>
      <x:c r="T200" s="191"/>
      <x:c r="U200" s="191"/>
      <x:c r="V200" s="191"/>
      <x:c r="W200" s="191"/>
      <x:c r="X200" s="191"/>
      <x:c r="Y200" s="191"/>
      <x:c r="Z200" s="191"/>
      <x:c r="AA200" s="191"/>
      <x:c r="AB200" s="191"/>
      <x:c r="AC200" s="191"/>
      <x:c r="AD200" s="191"/>
      <x:c r="AE200" s="191"/>
      <x:c r="AF200" s="191"/>
      <x:c r="AG200" s="191"/>
      <x:c r="AH200" s="191"/>
      <x:c r="AI200" s="191"/>
      <x:c r="AJ200" s="191"/>
      <x:c r="AK200" s="191"/>
    </x:row>
    <x:row r="201">
      <x:c r="A201" s="191"/>
      <x:c r="B201" s="191"/>
      <x:c r="C201" s="191"/>
      <x:c r="D201" s="191"/>
      <x:c r="E201" s="191"/>
      <x:c r="F201" s="191"/>
      <x:c r="G201" s="191"/>
      <x:c r="H201" s="191"/>
      <x:c r="I201" s="191"/>
      <x:c r="J201" s="191"/>
      <x:c r="K201" s="191"/>
      <x:c r="L201" s="191"/>
      <x:c r="M201" s="191"/>
      <x:c r="N201" s="191"/>
      <x:c r="O201" s="191"/>
      <x:c r="P201" s="191"/>
      <x:c r="Q201" s="191"/>
      <x:c r="R201" s="191"/>
      <x:c r="S201" s="191"/>
      <x:c r="T201" s="191"/>
      <x:c r="U201" s="191"/>
      <x:c r="V201" s="191"/>
      <x:c r="W201" s="191"/>
      <x:c r="X201" s="191"/>
      <x:c r="Y201" s="191"/>
      <x:c r="Z201" s="191"/>
      <x:c r="AA201" s="191"/>
      <x:c r="AB201" s="191"/>
      <x:c r="AC201" s="191"/>
      <x:c r="AD201" s="191"/>
      <x:c r="AE201" s="191"/>
      <x:c r="AF201" s="191"/>
      <x:c r="AG201" s="191"/>
      <x:c r="AH201" s="191"/>
      <x:c r="AI201" s="191"/>
      <x:c r="AJ201" s="191"/>
      <x:c r="AK201" s="191"/>
    </x:row>
    <x:row r="202">
      <x:c r="A202" s="191"/>
      <x:c r="B202" s="191"/>
      <x:c r="C202" s="191"/>
      <x:c r="D202" s="191"/>
      <x:c r="E202" s="191"/>
      <x:c r="F202" s="191"/>
      <x:c r="G202" s="191"/>
      <x:c r="H202" s="191"/>
      <x:c r="I202" s="191"/>
      <x:c r="J202" s="191"/>
      <x:c r="K202" s="191"/>
      <x:c r="L202" s="191"/>
      <x:c r="M202" s="191"/>
      <x:c r="N202" s="191"/>
      <x:c r="O202" s="191"/>
      <x:c r="P202" s="191"/>
      <x:c r="Q202" s="191"/>
      <x:c r="R202" s="191"/>
      <x:c r="S202" s="191"/>
      <x:c r="T202" s="191"/>
      <x:c r="U202" s="191"/>
      <x:c r="V202" s="191"/>
      <x:c r="W202" s="191"/>
      <x:c r="X202" s="191"/>
      <x:c r="Y202" s="191"/>
      <x:c r="Z202" s="191"/>
      <x:c r="AA202" s="191"/>
      <x:c r="AB202" s="191"/>
      <x:c r="AC202" s="191"/>
      <x:c r="AD202" s="191"/>
      <x:c r="AE202" s="191"/>
      <x:c r="AF202" s="191"/>
      <x:c r="AG202" s="191"/>
      <x:c r="AH202" s="191"/>
      <x:c r="AI202" s="191"/>
      <x:c r="AJ202" s="191"/>
      <x:c r="AK202" s="191"/>
    </x:row>
    <x:row r="203">
      <x:c r="A203" s="191"/>
      <x:c r="B203" s="191"/>
      <x:c r="C203" s="191"/>
      <x:c r="D203" s="191"/>
      <x:c r="E203" s="191"/>
      <x:c r="F203" s="191"/>
      <x:c r="G203" s="191"/>
      <x:c r="H203" s="191"/>
      <x:c r="I203" s="191"/>
      <x:c r="J203" s="191"/>
      <x:c r="K203" s="191"/>
      <x:c r="L203" s="191"/>
      <x:c r="M203" s="191"/>
      <x:c r="N203" s="191"/>
      <x:c r="O203" s="191"/>
      <x:c r="P203" s="191"/>
      <x:c r="Q203" s="191"/>
      <x:c r="R203" s="191"/>
      <x:c r="S203" s="191"/>
      <x:c r="T203" s="191"/>
      <x:c r="U203" s="191"/>
      <x:c r="V203" s="191"/>
      <x:c r="W203" s="191"/>
      <x:c r="X203" s="191"/>
      <x:c r="Y203" s="191"/>
      <x:c r="Z203" s="191"/>
      <x:c r="AA203" s="191"/>
      <x:c r="AB203" s="191"/>
      <x:c r="AC203" s="191"/>
      <x:c r="AD203" s="191"/>
      <x:c r="AE203" s="191"/>
      <x:c r="AF203" s="191"/>
      <x:c r="AG203" s="191"/>
      <x:c r="AH203" s="191"/>
      <x:c r="AI203" s="191"/>
      <x:c r="AJ203" s="191"/>
      <x:c r="AK203" s="191"/>
    </x:row>
    <x:row r="204">
      <x:c r="A204" s="191"/>
      <x:c r="B204" s="191"/>
      <x:c r="C204" s="191"/>
      <x:c r="D204" s="191"/>
      <x:c r="E204" s="191"/>
      <x:c r="F204" s="191"/>
      <x:c r="G204" s="191"/>
      <x:c r="H204" s="191"/>
      <x:c r="I204" s="191"/>
      <x:c r="J204" s="191"/>
      <x:c r="K204" s="191"/>
      <x:c r="L204" s="191"/>
      <x:c r="M204" s="191"/>
      <x:c r="N204" s="191"/>
      <x:c r="O204" s="191"/>
      <x:c r="P204" s="191"/>
      <x:c r="Q204" s="191"/>
      <x:c r="R204" s="191"/>
      <x:c r="S204" s="191"/>
      <x:c r="T204" s="191"/>
      <x:c r="U204" s="191"/>
      <x:c r="V204" s="191"/>
      <x:c r="W204" s="191"/>
      <x:c r="X204" s="191"/>
      <x:c r="Y204" s="191"/>
      <x:c r="Z204" s="191"/>
      <x:c r="AA204" s="191"/>
      <x:c r="AB204" s="191"/>
      <x:c r="AC204" s="191"/>
      <x:c r="AD204" s="191"/>
      <x:c r="AE204" s="191"/>
      <x:c r="AF204" s="191"/>
      <x:c r="AG204" s="191"/>
      <x:c r="AH204" s="191"/>
      <x:c r="AI204" s="191"/>
      <x:c r="AJ204" s="191"/>
      <x:c r="AK204" s="191"/>
    </x:row>
    <x:row r="205">
      <x:c r="A205" s="191"/>
      <x:c r="B205" s="191"/>
      <x:c r="C205" s="191"/>
      <x:c r="D205" s="191"/>
      <x:c r="E205" s="191"/>
      <x:c r="F205" s="191"/>
      <x:c r="G205" s="191"/>
      <x:c r="H205" s="191"/>
      <x:c r="I205" s="191"/>
      <x:c r="J205" s="191"/>
      <x:c r="K205" s="191"/>
      <x:c r="L205" s="191"/>
      <x:c r="M205" s="191"/>
      <x:c r="N205" s="191"/>
      <x:c r="O205" s="191"/>
      <x:c r="P205" s="191"/>
      <x:c r="Q205" s="191"/>
      <x:c r="R205" s="191"/>
      <x:c r="S205" s="191"/>
      <x:c r="T205" s="191"/>
      <x:c r="U205" s="191"/>
      <x:c r="V205" s="191"/>
      <x:c r="W205" s="191"/>
      <x:c r="X205" s="191"/>
      <x:c r="Y205" s="191"/>
      <x:c r="Z205" s="191"/>
      <x:c r="AA205" s="191"/>
      <x:c r="AB205" s="191"/>
      <x:c r="AC205" s="191"/>
      <x:c r="AD205" s="191"/>
      <x:c r="AE205" s="191"/>
      <x:c r="AF205" s="191"/>
      <x:c r="AG205" s="191"/>
      <x:c r="AH205" s="191"/>
      <x:c r="AI205" s="191"/>
      <x:c r="AJ205" s="191"/>
      <x:c r="AK205" s="191"/>
    </x:row>
    <x:row r="206">
      <x:c r="A206" s="191"/>
      <x:c r="B206" s="191"/>
      <x:c r="C206" s="191"/>
      <x:c r="D206" s="191"/>
      <x:c r="E206" s="191"/>
      <x:c r="F206" s="191"/>
      <x:c r="G206" s="191"/>
      <x:c r="H206" s="191"/>
      <x:c r="I206" s="191"/>
      <x:c r="J206" s="191"/>
      <x:c r="K206" s="191"/>
      <x:c r="L206" s="191"/>
      <x:c r="M206" s="191"/>
      <x:c r="N206" s="191"/>
      <x:c r="O206" s="191"/>
      <x:c r="P206" s="191"/>
      <x:c r="Q206" s="191"/>
      <x:c r="R206" s="191"/>
      <x:c r="S206" s="191"/>
      <x:c r="T206" s="191"/>
      <x:c r="U206" s="191"/>
      <x:c r="V206" s="191"/>
      <x:c r="W206" s="191"/>
      <x:c r="X206" s="191"/>
      <x:c r="Y206" s="191"/>
      <x:c r="Z206" s="191"/>
      <x:c r="AA206" s="191"/>
      <x:c r="AB206" s="191"/>
      <x:c r="AC206" s="191"/>
      <x:c r="AD206" s="191"/>
      <x:c r="AE206" s="191"/>
      <x:c r="AF206" s="191"/>
      <x:c r="AG206" s="191"/>
      <x:c r="AH206" s="191"/>
      <x:c r="AI206" s="191"/>
      <x:c r="AJ206" s="191"/>
      <x:c r="AK206" s="191"/>
    </x:row>
    <x:row r="207">
      <x:c r="A207" s="191"/>
      <x:c r="B207" s="191"/>
      <x:c r="C207" s="191"/>
      <x:c r="D207" s="191"/>
      <x:c r="E207" s="191"/>
      <x:c r="F207" s="191"/>
      <x:c r="G207" s="191"/>
      <x:c r="H207" s="191"/>
      <x:c r="I207" s="191"/>
      <x:c r="J207" s="191"/>
      <x:c r="K207" s="191"/>
      <x:c r="L207" s="191"/>
      <x:c r="M207" s="191"/>
      <x:c r="N207" s="191"/>
      <x:c r="O207" s="191"/>
      <x:c r="P207" s="191"/>
      <x:c r="Q207" s="191"/>
      <x:c r="R207" s="191"/>
      <x:c r="S207" s="191"/>
      <x:c r="T207" s="191"/>
      <x:c r="U207" s="191"/>
      <x:c r="V207" s="191"/>
      <x:c r="W207" s="191"/>
      <x:c r="X207" s="191"/>
      <x:c r="Y207" s="191"/>
      <x:c r="Z207" s="191"/>
      <x:c r="AA207" s="191"/>
      <x:c r="AB207" s="191"/>
      <x:c r="AC207" s="191"/>
      <x:c r="AD207" s="191"/>
      <x:c r="AE207" s="191"/>
      <x:c r="AF207" s="191"/>
      <x:c r="AG207" s="191"/>
      <x:c r="AH207" s="191"/>
      <x:c r="AI207" s="191"/>
      <x:c r="AJ207" s="191"/>
      <x:c r="AK207" s="191"/>
    </x:row>
    <x:row r="208">
      <x:c r="A208" s="191"/>
      <x:c r="B208" s="191"/>
      <x:c r="C208" s="191"/>
      <x:c r="D208" s="191"/>
      <x:c r="E208" s="191"/>
      <x:c r="F208" s="191"/>
      <x:c r="G208" s="191"/>
      <x:c r="H208" s="191"/>
      <x:c r="I208" s="191"/>
      <x:c r="J208" s="191"/>
      <x:c r="K208" s="191"/>
      <x:c r="L208" s="191"/>
      <x:c r="M208" s="191"/>
      <x:c r="N208" s="191"/>
      <x:c r="O208" s="191"/>
      <x:c r="P208" s="191"/>
      <x:c r="Q208" s="191"/>
      <x:c r="R208" s="191"/>
      <x:c r="S208" s="191"/>
      <x:c r="T208" s="191"/>
      <x:c r="U208" s="191"/>
      <x:c r="V208" s="191"/>
      <x:c r="W208" s="191"/>
      <x:c r="X208" s="191"/>
      <x:c r="Y208" s="191"/>
      <x:c r="Z208" s="191"/>
      <x:c r="AA208" s="191"/>
      <x:c r="AB208" s="191"/>
      <x:c r="AC208" s="191"/>
      <x:c r="AD208" s="191"/>
      <x:c r="AE208" s="191"/>
      <x:c r="AF208" s="191"/>
      <x:c r="AG208" s="191"/>
      <x:c r="AH208" s="191"/>
      <x:c r="AI208" s="191"/>
      <x:c r="AJ208" s="191"/>
      <x:c r="AK208" s="191"/>
    </x:row>
    <x:row r="209">
      <x:c r="A209" s="191"/>
      <x:c r="B209" s="191"/>
      <x:c r="C209" s="191"/>
      <x:c r="D209" s="191"/>
      <x:c r="E209" s="191"/>
      <x:c r="F209" s="191"/>
      <x:c r="G209" s="191"/>
      <x:c r="H209" s="191"/>
      <x:c r="I209" s="191"/>
      <x:c r="J209" s="191"/>
      <x:c r="K209" s="191"/>
      <x:c r="L209" s="191"/>
      <x:c r="M209" s="191"/>
      <x:c r="N209" s="191"/>
      <x:c r="O209" s="191"/>
      <x:c r="P209" s="191"/>
      <x:c r="Q209" s="191"/>
      <x:c r="R209" s="191"/>
      <x:c r="S209" s="191"/>
      <x:c r="T209" s="191"/>
      <x:c r="U209" s="191"/>
      <x:c r="V209" s="191"/>
      <x:c r="W209" s="191"/>
      <x:c r="X209" s="191"/>
      <x:c r="Y209" s="191"/>
      <x:c r="Z209" s="191"/>
      <x:c r="AA209" s="191"/>
      <x:c r="AB209" s="191"/>
      <x:c r="AC209" s="191"/>
      <x:c r="AD209" s="191"/>
      <x:c r="AE209" s="191"/>
      <x:c r="AF209" s="191"/>
      <x:c r="AG209" s="191"/>
      <x:c r="AH209" s="191"/>
      <x:c r="AI209" s="191"/>
      <x:c r="AJ209" s="191"/>
      <x:c r="AK209" s="191"/>
    </x:row>
    <x:row r="210">
      <x:c r="A210" s="191"/>
      <x:c r="B210" s="191"/>
      <x:c r="C210" s="191"/>
      <x:c r="D210" s="191"/>
      <x:c r="E210" s="191"/>
      <x:c r="F210" s="191"/>
      <x:c r="G210" s="191"/>
      <x:c r="H210" s="191"/>
      <x:c r="I210" s="191"/>
      <x:c r="J210" s="191"/>
      <x:c r="K210" s="191"/>
      <x:c r="L210" s="191"/>
      <x:c r="M210" s="191"/>
      <x:c r="N210" s="191"/>
      <x:c r="O210" s="191"/>
      <x:c r="P210" s="191"/>
      <x:c r="Q210" s="191"/>
      <x:c r="R210" s="191"/>
      <x:c r="S210" s="191"/>
      <x:c r="T210" s="191"/>
      <x:c r="U210" s="191"/>
      <x:c r="V210" s="191"/>
      <x:c r="W210" s="191"/>
      <x:c r="X210" s="191"/>
      <x:c r="Y210" s="191"/>
      <x:c r="Z210" s="191"/>
      <x:c r="AA210" s="191"/>
      <x:c r="AB210" s="191"/>
      <x:c r="AC210" s="191"/>
      <x:c r="AD210" s="191"/>
      <x:c r="AE210" s="191"/>
      <x:c r="AF210" s="191"/>
      <x:c r="AG210" s="191"/>
      <x:c r="AH210" s="191"/>
      <x:c r="AI210" s="191"/>
      <x:c r="AJ210" s="191"/>
      <x:c r="AK210" s="191"/>
    </x:row>
    <x:row r="211">
      <x:c r="A211" s="191"/>
      <x:c r="B211" s="191"/>
      <x:c r="C211" s="191"/>
      <x:c r="D211" s="191"/>
      <x:c r="E211" s="191"/>
      <x:c r="F211" s="191"/>
      <x:c r="G211" s="191"/>
      <x:c r="H211" s="191"/>
      <x:c r="I211" s="191"/>
      <x:c r="J211" s="191"/>
      <x:c r="K211" s="191"/>
      <x:c r="L211" s="191"/>
      <x:c r="M211" s="191"/>
      <x:c r="N211" s="191"/>
      <x:c r="O211" s="191"/>
      <x:c r="P211" s="191"/>
      <x:c r="Q211" s="191"/>
      <x:c r="R211" s="191"/>
      <x:c r="S211" s="191"/>
      <x:c r="T211" s="191"/>
      <x:c r="U211" s="191"/>
      <x:c r="V211" s="191"/>
      <x:c r="W211" s="191"/>
      <x:c r="X211" s="191"/>
      <x:c r="Y211" s="191"/>
      <x:c r="Z211" s="191"/>
      <x:c r="AA211" s="191"/>
      <x:c r="AB211" s="191"/>
      <x:c r="AC211" s="191"/>
      <x:c r="AD211" s="191"/>
      <x:c r="AE211" s="191"/>
      <x:c r="AF211" s="191"/>
      <x:c r="AG211" s="191"/>
      <x:c r="AH211" s="191"/>
      <x:c r="AI211" s="191"/>
      <x:c r="AJ211" s="191"/>
      <x:c r="AK211" s="191"/>
    </x:row>
    <x:row r="212">
      <x:c r="A212" s="191"/>
      <x:c r="B212" s="191"/>
      <x:c r="C212" s="191"/>
      <x:c r="D212" s="191"/>
      <x:c r="E212" s="191"/>
      <x:c r="F212" s="191"/>
      <x:c r="G212" s="191"/>
      <x:c r="H212" s="191"/>
      <x:c r="I212" s="191"/>
      <x:c r="J212" s="191"/>
      <x:c r="K212" s="191"/>
      <x:c r="L212" s="191"/>
      <x:c r="M212" s="191"/>
      <x:c r="N212" s="191"/>
      <x:c r="O212" s="191"/>
      <x:c r="P212" s="191"/>
      <x:c r="Q212" s="191"/>
      <x:c r="R212" s="191"/>
      <x:c r="S212" s="191"/>
      <x:c r="T212" s="191"/>
      <x:c r="U212" s="191"/>
      <x:c r="V212" s="191"/>
      <x:c r="W212" s="191"/>
      <x:c r="X212" s="191"/>
      <x:c r="Y212" s="191"/>
      <x:c r="Z212" s="191"/>
      <x:c r="AA212" s="191"/>
      <x:c r="AB212" s="191"/>
      <x:c r="AC212" s="191"/>
      <x:c r="AD212" s="191"/>
      <x:c r="AE212" s="191"/>
      <x:c r="AF212" s="191"/>
      <x:c r="AG212" s="191"/>
      <x:c r="AH212" s="191"/>
      <x:c r="AI212" s="191"/>
      <x:c r="AJ212" s="191"/>
      <x:c r="AK212" s="191"/>
    </x:row>
    <x:row r="213">
      <x:c r="A213" s="191"/>
      <x:c r="B213" s="191"/>
      <x:c r="C213" s="191"/>
      <x:c r="D213" s="191"/>
      <x:c r="E213" s="191"/>
      <x:c r="F213" s="191"/>
      <x:c r="G213" s="191"/>
      <x:c r="H213" s="191"/>
      <x:c r="I213" s="191"/>
      <x:c r="J213" s="191"/>
      <x:c r="K213" s="191"/>
      <x:c r="L213" s="191"/>
      <x:c r="M213" s="191"/>
      <x:c r="N213" s="191"/>
      <x:c r="O213" s="191"/>
      <x:c r="P213" s="191"/>
      <x:c r="Q213" s="191"/>
      <x:c r="R213" s="191"/>
      <x:c r="S213" s="191"/>
      <x:c r="T213" s="191"/>
      <x:c r="U213" s="191"/>
      <x:c r="V213" s="191"/>
      <x:c r="W213" s="191"/>
      <x:c r="X213" s="191"/>
      <x:c r="Y213" s="191"/>
      <x:c r="Z213" s="191"/>
      <x:c r="AA213" s="191"/>
      <x:c r="AB213" s="191"/>
      <x:c r="AC213" s="191"/>
      <x:c r="AD213" s="191"/>
      <x:c r="AE213" s="191"/>
      <x:c r="AF213" s="191"/>
      <x:c r="AG213" s="191"/>
      <x:c r="AH213" s="191"/>
      <x:c r="AI213" s="191"/>
      <x:c r="AJ213" s="191"/>
      <x:c r="AK213" s="191"/>
    </x:row>
    <x:row r="214">
      <x:c r="A214" s="191"/>
      <x:c r="B214" s="191"/>
      <x:c r="C214" s="191"/>
      <x:c r="D214" s="191"/>
      <x:c r="E214" s="191"/>
      <x:c r="F214" s="191"/>
      <x:c r="G214" s="191"/>
      <x:c r="H214" s="191"/>
      <x:c r="I214" s="191"/>
      <x:c r="J214" s="191"/>
      <x:c r="K214" s="191"/>
      <x:c r="L214" s="191"/>
      <x:c r="M214" s="191"/>
      <x:c r="N214" s="191"/>
      <x:c r="O214" s="191"/>
      <x:c r="P214" s="191"/>
      <x:c r="Q214" s="191"/>
      <x:c r="R214" s="191"/>
      <x:c r="S214" s="191"/>
      <x:c r="T214" s="191"/>
      <x:c r="U214" s="191"/>
      <x:c r="V214" s="191"/>
      <x:c r="W214" s="191"/>
      <x:c r="X214" s="191"/>
      <x:c r="Y214" s="191"/>
      <x:c r="Z214" s="191"/>
      <x:c r="AA214" s="191"/>
      <x:c r="AB214" s="191"/>
      <x:c r="AC214" s="191"/>
      <x:c r="AD214" s="191"/>
      <x:c r="AE214" s="191"/>
      <x:c r="AF214" s="191"/>
      <x:c r="AG214" s="191"/>
      <x:c r="AH214" s="191"/>
      <x:c r="AI214" s="191"/>
      <x:c r="AJ214" s="191"/>
      <x:c r="AK214" s="191"/>
    </x:row>
    <x:row r="215">
      <x:c r="A215" s="191"/>
      <x:c r="B215" s="191"/>
      <x:c r="C215" s="191"/>
      <x:c r="D215" s="191"/>
      <x:c r="E215" s="191"/>
      <x:c r="F215" s="191"/>
      <x:c r="G215" s="191"/>
      <x:c r="H215" s="191"/>
      <x:c r="I215" s="191"/>
      <x:c r="J215" s="191"/>
      <x:c r="K215" s="191"/>
      <x:c r="L215" s="191"/>
      <x:c r="M215" s="191"/>
      <x:c r="N215" s="191"/>
      <x:c r="O215" s="191"/>
      <x:c r="P215" s="191"/>
      <x:c r="Q215" s="191"/>
      <x:c r="R215" s="191"/>
      <x:c r="S215" s="191"/>
      <x:c r="T215" s="191"/>
      <x:c r="U215" s="191"/>
      <x:c r="V215" s="191"/>
      <x:c r="W215" s="191"/>
      <x:c r="X215" s="191"/>
      <x:c r="Y215" s="191"/>
      <x:c r="Z215" s="191"/>
      <x:c r="AA215" s="191"/>
      <x:c r="AB215" s="191"/>
      <x:c r="AC215" s="191"/>
      <x:c r="AD215" s="191"/>
      <x:c r="AE215" s="191"/>
      <x:c r="AF215" s="191"/>
      <x:c r="AG215" s="191"/>
      <x:c r="AH215" s="191"/>
      <x:c r="AI215" s="191"/>
      <x:c r="AJ215" s="191"/>
      <x:c r="AK215" s="191"/>
    </x:row>
    <x:row r="216">
      <x:c r="A216" s="191"/>
      <x:c r="B216" s="191"/>
      <x:c r="C216" s="191"/>
      <x:c r="D216" s="191"/>
      <x:c r="E216" s="191"/>
      <x:c r="F216" s="191"/>
      <x:c r="G216" s="191"/>
      <x:c r="H216" s="191"/>
      <x:c r="I216" s="191"/>
      <x:c r="J216" s="191"/>
      <x:c r="K216" s="191"/>
      <x:c r="L216" s="191"/>
      <x:c r="M216" s="191"/>
      <x:c r="N216" s="191"/>
      <x:c r="O216" s="191"/>
      <x:c r="P216" s="191"/>
      <x:c r="Q216" s="191"/>
      <x:c r="R216" s="191"/>
      <x:c r="S216" s="191"/>
      <x:c r="T216" s="191"/>
      <x:c r="U216" s="191"/>
      <x:c r="V216" s="191"/>
      <x:c r="W216" s="191"/>
      <x:c r="X216" s="191"/>
      <x:c r="Y216" s="191"/>
      <x:c r="Z216" s="191"/>
      <x:c r="AA216" s="191"/>
      <x:c r="AB216" s="191"/>
      <x:c r="AC216" s="191"/>
      <x:c r="AD216" s="191"/>
      <x:c r="AE216" s="191"/>
      <x:c r="AF216" s="191"/>
      <x:c r="AG216" s="191"/>
      <x:c r="AH216" s="191"/>
      <x:c r="AI216" s="191"/>
      <x:c r="AJ216" s="191"/>
      <x:c r="AK216" s="191"/>
    </x:row>
    <x:row r="217">
      <x:c r="A217" s="191"/>
      <x:c r="B217" s="191"/>
      <x:c r="C217" s="191"/>
      <x:c r="D217" s="191"/>
      <x:c r="E217" s="191"/>
      <x:c r="F217" s="191"/>
      <x:c r="G217" s="191"/>
      <x:c r="H217" s="191"/>
      <x:c r="I217" s="191"/>
      <x:c r="J217" s="191"/>
      <x:c r="K217" s="191"/>
      <x:c r="L217" s="191"/>
      <x:c r="M217" s="191"/>
      <x:c r="N217" s="191"/>
      <x:c r="O217" s="191"/>
      <x:c r="P217" s="191"/>
      <x:c r="Q217" s="191"/>
      <x:c r="R217" s="191"/>
      <x:c r="S217" s="191"/>
      <x:c r="T217" s="191"/>
      <x:c r="U217" s="191"/>
      <x:c r="V217" s="191"/>
      <x:c r="W217" s="191"/>
      <x:c r="X217" s="191"/>
      <x:c r="Y217" s="191"/>
      <x:c r="Z217" s="191"/>
      <x:c r="AA217" s="191"/>
      <x:c r="AB217" s="191"/>
      <x:c r="AC217" s="191"/>
      <x:c r="AD217" s="191"/>
      <x:c r="AE217" s="191"/>
      <x:c r="AF217" s="191"/>
      <x:c r="AG217" s="191"/>
      <x:c r="AH217" s="191"/>
      <x:c r="AI217" s="191"/>
      <x:c r="AJ217" s="191"/>
      <x:c r="AK217" s="191"/>
    </x:row>
    <x:row r="218">
      <x:c r="A218" s="191"/>
      <x:c r="B218" s="191"/>
      <x:c r="C218" s="191"/>
      <x:c r="D218" s="191"/>
      <x:c r="E218" s="191"/>
      <x:c r="F218" s="191"/>
      <x:c r="G218" s="191"/>
      <x:c r="H218" s="191"/>
      <x:c r="I218" s="191"/>
      <x:c r="J218" s="191"/>
      <x:c r="K218" s="191"/>
      <x:c r="L218" s="191"/>
      <x:c r="M218" s="191"/>
      <x:c r="N218" s="191"/>
      <x:c r="O218" s="191"/>
      <x:c r="P218" s="191"/>
      <x:c r="Q218" s="191"/>
      <x:c r="R218" s="191"/>
      <x:c r="S218" s="191"/>
      <x:c r="T218" s="191"/>
      <x:c r="U218" s="191"/>
      <x:c r="V218" s="191"/>
      <x:c r="W218" s="191"/>
      <x:c r="X218" s="191"/>
      <x:c r="Y218" s="191"/>
      <x:c r="Z218" s="191"/>
      <x:c r="AA218" s="191"/>
      <x:c r="AB218" s="191"/>
      <x:c r="AC218" s="191"/>
      <x:c r="AD218" s="191"/>
      <x:c r="AE218" s="191"/>
      <x:c r="AF218" s="191"/>
      <x:c r="AG218" s="191"/>
      <x:c r="AH218" s="191"/>
      <x:c r="AI218" s="191"/>
      <x:c r="AJ218" s="191"/>
      <x:c r="AK218" s="191"/>
    </x:row>
    <x:row r="219">
      <x:c r="A219" s="191"/>
      <x:c r="B219" s="191"/>
      <x:c r="C219" s="191"/>
      <x:c r="D219" s="191"/>
      <x:c r="E219" s="191"/>
      <x:c r="F219" s="191"/>
      <x:c r="G219" s="191"/>
      <x:c r="H219" s="191"/>
      <x:c r="I219" s="191"/>
      <x:c r="J219" s="191"/>
      <x:c r="K219" s="191"/>
      <x:c r="L219" s="191"/>
      <x:c r="M219" s="191"/>
      <x:c r="N219" s="191"/>
      <x:c r="O219" s="191"/>
      <x:c r="P219" s="191"/>
      <x:c r="Q219" s="191"/>
      <x:c r="R219" s="191"/>
      <x:c r="S219" s="191"/>
      <x:c r="T219" s="191"/>
      <x:c r="U219" s="191"/>
      <x:c r="V219" s="191"/>
      <x:c r="W219" s="191"/>
      <x:c r="X219" s="191"/>
      <x:c r="Y219" s="191"/>
      <x:c r="Z219" s="191"/>
      <x:c r="AA219" s="191"/>
      <x:c r="AB219" s="191"/>
      <x:c r="AC219" s="191"/>
      <x:c r="AD219" s="191"/>
      <x:c r="AE219" s="191"/>
      <x:c r="AF219" s="191"/>
      <x:c r="AG219" s="191"/>
      <x:c r="AH219" s="191"/>
      <x:c r="AI219" s="191"/>
      <x:c r="AJ219" s="191"/>
      <x:c r="AK219" s="191"/>
    </x:row>
    <x:row r="220">
      <x:c r="A220" s="191"/>
      <x:c r="B220" s="191"/>
      <x:c r="C220" s="191"/>
      <x:c r="D220" s="191"/>
      <x:c r="E220" s="191"/>
      <x:c r="F220" s="191"/>
      <x:c r="G220" s="191"/>
      <x:c r="H220" s="191"/>
      <x:c r="I220" s="191"/>
      <x:c r="J220" s="191"/>
      <x:c r="K220" s="191"/>
      <x:c r="L220" s="191"/>
      <x:c r="M220" s="191"/>
      <x:c r="N220" s="191"/>
      <x:c r="O220" s="191"/>
      <x:c r="P220" s="191"/>
      <x:c r="Q220" s="191"/>
      <x:c r="R220" s="191"/>
      <x:c r="S220" s="191"/>
      <x:c r="T220" s="191"/>
      <x:c r="U220" s="191"/>
      <x:c r="V220" s="191"/>
      <x:c r="W220" s="191"/>
      <x:c r="X220" s="191"/>
      <x:c r="Y220" s="191"/>
      <x:c r="Z220" s="191"/>
      <x:c r="AA220" s="191"/>
      <x:c r="AB220" s="191"/>
      <x:c r="AC220" s="191"/>
      <x:c r="AD220" s="191"/>
      <x:c r="AE220" s="191"/>
      <x:c r="AF220" s="191"/>
      <x:c r="AG220" s="191"/>
      <x:c r="AH220" s="191"/>
      <x:c r="AI220" s="191"/>
      <x:c r="AJ220" s="191"/>
      <x:c r="AK220" s="191"/>
    </x:row>
    <x:row r="221">
      <x:c r="A221" s="191"/>
      <x:c r="B221" s="191"/>
      <x:c r="C221" s="191"/>
      <x:c r="D221" s="191"/>
      <x:c r="E221" s="191"/>
      <x:c r="F221" s="191"/>
      <x:c r="G221" s="191"/>
      <x:c r="H221" s="191"/>
      <x:c r="I221" s="191"/>
      <x:c r="J221" s="191"/>
      <x:c r="K221" s="191"/>
      <x:c r="L221" s="191"/>
      <x:c r="M221" s="191"/>
      <x:c r="N221" s="191"/>
      <x:c r="O221" s="191"/>
      <x:c r="P221" s="191"/>
      <x:c r="Q221" s="191"/>
      <x:c r="R221" s="191"/>
      <x:c r="S221" s="191"/>
      <x:c r="T221" s="191"/>
      <x:c r="U221" s="191"/>
      <x:c r="V221" s="191"/>
      <x:c r="W221" s="191"/>
      <x:c r="X221" s="191"/>
      <x:c r="Y221" s="191"/>
      <x:c r="Z221" s="191"/>
      <x:c r="AA221" s="191"/>
      <x:c r="AB221" s="191"/>
      <x:c r="AC221" s="191"/>
      <x:c r="AD221" s="191"/>
      <x:c r="AE221" s="191"/>
      <x:c r="AF221" s="191"/>
      <x:c r="AG221" s="191"/>
      <x:c r="AH221" s="191"/>
      <x:c r="AI221" s="191"/>
      <x:c r="AJ221" s="191"/>
      <x:c r="AK221" s="191"/>
    </x:row>
    <x:row r="222">
      <x:c r="A222" s="191"/>
      <x:c r="B222" s="191"/>
      <x:c r="C222" s="191"/>
      <x:c r="D222" s="191"/>
      <x:c r="E222" s="191"/>
      <x:c r="F222" s="191"/>
      <x:c r="G222" s="191"/>
      <x:c r="H222" s="191"/>
      <x:c r="I222" s="191"/>
      <x:c r="J222" s="191"/>
      <x:c r="K222" s="191"/>
      <x:c r="L222" s="191"/>
      <x:c r="M222" s="191"/>
      <x:c r="N222" s="191"/>
      <x:c r="O222" s="191"/>
      <x:c r="P222" s="191"/>
      <x:c r="Q222" s="191"/>
      <x:c r="R222" s="191"/>
      <x:c r="S222" s="191"/>
      <x:c r="T222" s="191"/>
      <x:c r="U222" s="191"/>
      <x:c r="V222" s="191"/>
      <x:c r="W222" s="191"/>
      <x:c r="X222" s="191"/>
      <x:c r="Y222" s="191"/>
      <x:c r="Z222" s="191"/>
      <x:c r="AA222" s="191"/>
      <x:c r="AB222" s="191"/>
      <x:c r="AC222" s="191"/>
      <x:c r="AD222" s="191"/>
      <x:c r="AE222" s="191"/>
      <x:c r="AF222" s="191"/>
      <x:c r="AG222" s="191"/>
      <x:c r="AH222" s="191"/>
      <x:c r="AI222" s="191"/>
      <x:c r="AJ222" s="191"/>
      <x:c r="AK222" s="191"/>
    </x:row>
    <x:row r="223">
      <x:c r="A223" s="191"/>
      <x:c r="B223" s="191"/>
      <x:c r="C223" s="191"/>
      <x:c r="D223" s="191"/>
      <x:c r="E223" s="191"/>
      <x:c r="F223" s="191"/>
      <x:c r="G223" s="191"/>
      <x:c r="H223" s="191"/>
      <x:c r="I223" s="191"/>
      <x:c r="J223" s="191"/>
      <x:c r="K223" s="191"/>
      <x:c r="L223" s="191"/>
      <x:c r="M223" s="191"/>
      <x:c r="N223" s="191"/>
      <x:c r="O223" s="191"/>
      <x:c r="P223" s="191"/>
      <x:c r="Q223" s="191"/>
      <x:c r="R223" s="191"/>
      <x:c r="S223" s="191"/>
      <x:c r="T223" s="191"/>
      <x:c r="U223" s="191"/>
      <x:c r="V223" s="191"/>
      <x:c r="W223" s="191"/>
      <x:c r="X223" s="191"/>
      <x:c r="Y223" s="191"/>
      <x:c r="Z223" s="191"/>
      <x:c r="AA223" s="191"/>
      <x:c r="AB223" s="191"/>
      <x:c r="AC223" s="191"/>
      <x:c r="AD223" s="191"/>
      <x:c r="AE223" s="191"/>
      <x:c r="AF223" s="191"/>
      <x:c r="AG223" s="191"/>
      <x:c r="AH223" s="191"/>
      <x:c r="AI223" s="191"/>
      <x:c r="AJ223" s="191"/>
      <x:c r="AK223" s="191"/>
    </x:row>
    <x:row r="224">
      <x:c r="A224" s="191"/>
      <x:c r="B224" s="191"/>
      <x:c r="C224" s="191"/>
      <x:c r="D224" s="191"/>
      <x:c r="E224" s="191"/>
      <x:c r="F224" s="191"/>
      <x:c r="G224" s="191"/>
      <x:c r="H224" s="191"/>
      <x:c r="I224" s="191"/>
      <x:c r="J224" s="191"/>
      <x:c r="K224" s="191"/>
      <x:c r="L224" s="191"/>
      <x:c r="M224" s="191"/>
      <x:c r="N224" s="191"/>
      <x:c r="O224" s="191"/>
      <x:c r="P224" s="191"/>
      <x:c r="Q224" s="191"/>
      <x:c r="R224" s="191"/>
      <x:c r="S224" s="191"/>
      <x:c r="T224" s="191"/>
      <x:c r="U224" s="191"/>
      <x:c r="V224" s="191"/>
      <x:c r="W224" s="191"/>
      <x:c r="X224" s="191"/>
      <x:c r="Y224" s="191"/>
      <x:c r="Z224" s="191"/>
      <x:c r="AA224" s="191"/>
      <x:c r="AB224" s="191"/>
      <x:c r="AC224" s="191"/>
      <x:c r="AD224" s="191"/>
      <x:c r="AE224" s="191"/>
      <x:c r="AF224" s="191"/>
      <x:c r="AG224" s="191"/>
      <x:c r="AH224" s="191"/>
      <x:c r="AI224" s="191"/>
      <x:c r="AJ224" s="191"/>
      <x:c r="AK224" s="191"/>
    </x:row>
    <x:row r="225">
      <x:c r="A225" s="191"/>
      <x:c r="B225" s="191"/>
      <x:c r="C225" s="191"/>
      <x:c r="D225" s="191"/>
      <x:c r="E225" s="191"/>
      <x:c r="F225" s="191"/>
      <x:c r="G225" s="191"/>
      <x:c r="H225" s="191"/>
      <x:c r="I225" s="191"/>
      <x:c r="J225" s="191"/>
      <x:c r="K225" s="191"/>
      <x:c r="L225" s="191"/>
      <x:c r="M225" s="191"/>
      <x:c r="N225" s="191"/>
      <x:c r="O225" s="191"/>
      <x:c r="P225" s="191"/>
      <x:c r="Q225" s="191"/>
      <x:c r="R225" s="191"/>
      <x:c r="S225" s="191"/>
      <x:c r="T225" s="191"/>
      <x:c r="U225" s="191"/>
      <x:c r="V225" s="191"/>
      <x:c r="W225" s="191"/>
      <x:c r="X225" s="191"/>
      <x:c r="Y225" s="191"/>
      <x:c r="Z225" s="191"/>
      <x:c r="AA225" s="191"/>
      <x:c r="AB225" s="191"/>
      <x:c r="AC225" s="191"/>
      <x:c r="AD225" s="191"/>
      <x:c r="AE225" s="191"/>
      <x:c r="AF225" s="191"/>
      <x:c r="AG225" s="191"/>
      <x:c r="AH225" s="191"/>
      <x:c r="AI225" s="191"/>
      <x:c r="AJ225" s="191"/>
      <x:c r="AK225" s="191"/>
    </x:row>
    <x:row r="226">
      <x:c r="A226" s="191"/>
      <x:c r="B226" s="191"/>
      <x:c r="C226" s="191"/>
      <x:c r="D226" s="191"/>
      <x:c r="E226" s="191"/>
      <x:c r="F226" s="191"/>
      <x:c r="G226" s="191"/>
      <x:c r="H226" s="191"/>
      <x:c r="I226" s="191"/>
      <x:c r="J226" s="191"/>
      <x:c r="K226" s="191"/>
      <x:c r="L226" s="191"/>
      <x:c r="M226" s="191"/>
      <x:c r="N226" s="191"/>
      <x:c r="O226" s="191"/>
      <x:c r="P226" s="191"/>
      <x:c r="Q226" s="191"/>
      <x:c r="R226" s="191"/>
      <x:c r="S226" s="191"/>
      <x:c r="T226" s="191"/>
      <x:c r="U226" s="191"/>
      <x:c r="V226" s="191"/>
      <x:c r="W226" s="191"/>
      <x:c r="X226" s="191"/>
      <x:c r="Y226" s="191"/>
      <x:c r="Z226" s="191"/>
      <x:c r="AA226" s="191"/>
      <x:c r="AB226" s="191"/>
      <x:c r="AC226" s="191"/>
      <x:c r="AD226" s="191"/>
      <x:c r="AE226" s="191"/>
      <x:c r="AF226" s="191"/>
      <x:c r="AG226" s="191"/>
      <x:c r="AH226" s="191"/>
      <x:c r="AI226" s="191"/>
      <x:c r="AJ226" s="191"/>
      <x:c r="AK226" s="191"/>
    </x:row>
    <x:row r="227">
      <x:c r="A227" s="191"/>
      <x:c r="B227" s="191"/>
      <x:c r="C227" s="191"/>
      <x:c r="D227" s="191"/>
      <x:c r="E227" s="191"/>
      <x:c r="F227" s="191"/>
      <x:c r="G227" s="191"/>
      <x:c r="H227" s="191"/>
      <x:c r="I227" s="191"/>
      <x:c r="J227" s="191"/>
      <x:c r="K227" s="191"/>
      <x:c r="L227" s="191"/>
      <x:c r="M227" s="191"/>
      <x:c r="N227" s="191"/>
      <x:c r="O227" s="191"/>
      <x:c r="P227" s="191"/>
      <x:c r="Q227" s="191"/>
      <x:c r="R227" s="191"/>
      <x:c r="S227" s="191"/>
      <x:c r="T227" s="191"/>
      <x:c r="U227" s="191"/>
      <x:c r="V227" s="191"/>
      <x:c r="W227" s="191"/>
      <x:c r="X227" s="191"/>
      <x:c r="Y227" s="191"/>
      <x:c r="Z227" s="191"/>
      <x:c r="AA227" s="191"/>
      <x:c r="AB227" s="191"/>
      <x:c r="AC227" s="191"/>
      <x:c r="AD227" s="191"/>
      <x:c r="AE227" s="191"/>
      <x:c r="AF227" s="191"/>
      <x:c r="AG227" s="191"/>
      <x:c r="AH227" s="191"/>
      <x:c r="AI227" s="191"/>
      <x:c r="AJ227" s="191"/>
      <x:c r="AK227" s="191"/>
    </x:row>
    <x:row r="228">
      <x:c r="A228" s="191"/>
      <x:c r="B228" s="191"/>
      <x:c r="C228" s="191"/>
      <x:c r="D228" s="191"/>
      <x:c r="E228" s="191"/>
      <x:c r="F228" s="191"/>
      <x:c r="G228" s="191"/>
      <x:c r="H228" s="191"/>
      <x:c r="I228" s="191"/>
      <x:c r="J228" s="191"/>
      <x:c r="K228" s="191"/>
      <x:c r="L228" s="191"/>
      <x:c r="M228" s="191"/>
      <x:c r="N228" s="191"/>
      <x:c r="O228" s="191"/>
      <x:c r="P228" s="191"/>
      <x:c r="Q228" s="191"/>
      <x:c r="R228" s="191"/>
      <x:c r="S228" s="191"/>
      <x:c r="T228" s="191"/>
      <x:c r="U228" s="191"/>
      <x:c r="V228" s="191"/>
      <x:c r="W228" s="191"/>
      <x:c r="X228" s="191"/>
      <x:c r="Y228" s="191"/>
      <x:c r="Z228" s="191"/>
      <x:c r="AA228" s="191"/>
      <x:c r="AB228" s="191"/>
      <x:c r="AC228" s="191"/>
      <x:c r="AD228" s="191"/>
      <x:c r="AE228" s="191"/>
      <x:c r="AF228" s="191"/>
      <x:c r="AG228" s="191"/>
      <x:c r="AH228" s="191"/>
      <x:c r="AI228" s="191"/>
      <x:c r="AJ228" s="191"/>
      <x:c r="AK228" s="191"/>
    </x:row>
    <x:row r="229">
      <x:c r="A229" s="191"/>
      <x:c r="B229" s="191"/>
      <x:c r="C229" s="191"/>
      <x:c r="D229" s="191"/>
      <x:c r="E229" s="191"/>
      <x:c r="F229" s="191"/>
      <x:c r="G229" s="191"/>
      <x:c r="H229" s="191"/>
      <x:c r="I229" s="191"/>
      <x:c r="J229" s="191"/>
      <x:c r="K229" s="191"/>
      <x:c r="L229" s="191"/>
      <x:c r="M229" s="191"/>
      <x:c r="N229" s="191"/>
      <x:c r="O229" s="191"/>
      <x:c r="P229" s="191"/>
      <x:c r="Q229" s="191"/>
      <x:c r="R229" s="191"/>
      <x:c r="S229" s="191"/>
      <x:c r="T229" s="191"/>
      <x:c r="U229" s="191"/>
      <x:c r="V229" s="191"/>
      <x:c r="W229" s="191"/>
      <x:c r="X229" s="191"/>
      <x:c r="Y229" s="191"/>
      <x:c r="Z229" s="191"/>
      <x:c r="AA229" s="191"/>
      <x:c r="AB229" s="191"/>
      <x:c r="AC229" s="191"/>
      <x:c r="AD229" s="191"/>
      <x:c r="AE229" s="191"/>
      <x:c r="AF229" s="191"/>
      <x:c r="AG229" s="191"/>
      <x:c r="AH229" s="191"/>
      <x:c r="AI229" s="191"/>
      <x:c r="AJ229" s="191"/>
      <x:c r="AK229" s="191"/>
    </x:row>
    <x:row r="230">
      <x:c r="A230" s="191"/>
      <x:c r="B230" s="191"/>
      <x:c r="C230" s="191"/>
      <x:c r="D230" s="191"/>
      <x:c r="E230" s="191"/>
      <x:c r="F230" s="191"/>
      <x:c r="G230" s="191"/>
      <x:c r="H230" s="191"/>
      <x:c r="I230" s="191"/>
      <x:c r="J230" s="191"/>
      <x:c r="K230" s="191"/>
      <x:c r="L230" s="191"/>
      <x:c r="M230" s="191"/>
      <x:c r="N230" s="191"/>
      <x:c r="O230" s="191"/>
      <x:c r="P230" s="191"/>
      <x:c r="Q230" s="191"/>
      <x:c r="R230" s="191"/>
      <x:c r="S230" s="191"/>
      <x:c r="T230" s="191"/>
      <x:c r="U230" s="191"/>
      <x:c r="V230" s="191"/>
      <x:c r="W230" s="191"/>
      <x:c r="X230" s="191"/>
      <x:c r="Y230" s="191"/>
      <x:c r="Z230" s="191"/>
      <x:c r="AA230" s="191"/>
      <x:c r="AB230" s="191"/>
      <x:c r="AC230" s="191"/>
      <x:c r="AD230" s="191"/>
      <x:c r="AE230" s="191"/>
      <x:c r="AF230" s="191"/>
      <x:c r="AG230" s="191"/>
      <x:c r="AH230" s="191"/>
      <x:c r="AI230" s="191"/>
      <x:c r="AJ230" s="191"/>
      <x:c r="AK230" s="191"/>
    </x:row>
    <x:row r="231">
      <x:c r="A231" s="191"/>
      <x:c r="B231" s="191"/>
      <x:c r="C231" s="191"/>
      <x:c r="D231" s="191"/>
      <x:c r="E231" s="191"/>
      <x:c r="F231" s="191"/>
      <x:c r="G231" s="191"/>
      <x:c r="H231" s="191"/>
      <x:c r="I231" s="191"/>
      <x:c r="J231" s="191"/>
      <x:c r="K231" s="191"/>
      <x:c r="L231" s="191"/>
      <x:c r="M231" s="191"/>
      <x:c r="N231" s="191"/>
      <x:c r="O231" s="191"/>
      <x:c r="P231" s="191"/>
      <x:c r="Q231" s="191"/>
      <x:c r="R231" s="191"/>
      <x:c r="S231" s="191"/>
      <x:c r="T231" s="191"/>
      <x:c r="U231" s="191"/>
      <x:c r="V231" s="191"/>
      <x:c r="W231" s="191"/>
      <x:c r="X231" s="191"/>
      <x:c r="Y231" s="191"/>
      <x:c r="Z231" s="191"/>
      <x:c r="AA231" s="191"/>
      <x:c r="AB231" s="191"/>
      <x:c r="AC231" s="191"/>
      <x:c r="AD231" s="191"/>
      <x:c r="AE231" s="191"/>
      <x:c r="AF231" s="191"/>
      <x:c r="AG231" s="191"/>
      <x:c r="AH231" s="191"/>
      <x:c r="AI231" s="191"/>
      <x:c r="AJ231" s="191"/>
      <x:c r="AK231" s="191"/>
    </x:row>
    <x:row r="232">
      <x:c r="A232" s="191"/>
      <x:c r="B232" s="191"/>
      <x:c r="C232" s="191"/>
      <x:c r="D232" s="191"/>
      <x:c r="E232" s="191"/>
      <x:c r="F232" s="191"/>
      <x:c r="G232" s="191"/>
      <x:c r="H232" s="191"/>
      <x:c r="I232" s="191"/>
      <x:c r="J232" s="191"/>
      <x:c r="K232" s="191"/>
      <x:c r="L232" s="191"/>
      <x:c r="M232" s="191"/>
      <x:c r="N232" s="191"/>
      <x:c r="O232" s="191"/>
      <x:c r="P232" s="191"/>
      <x:c r="Q232" s="191"/>
      <x:c r="R232" s="191"/>
      <x:c r="S232" s="191"/>
      <x:c r="T232" s="191"/>
      <x:c r="U232" s="191"/>
      <x:c r="V232" s="191"/>
      <x:c r="W232" s="191"/>
      <x:c r="X232" s="191"/>
      <x:c r="Y232" s="191"/>
      <x:c r="Z232" s="191"/>
      <x:c r="AA232" s="191"/>
      <x:c r="AB232" s="191"/>
      <x:c r="AC232" s="191"/>
      <x:c r="AD232" s="191"/>
      <x:c r="AE232" s="191"/>
      <x:c r="AF232" s="191"/>
      <x:c r="AG232" s="191"/>
      <x:c r="AH232" s="191"/>
      <x:c r="AI232" s="191"/>
      <x:c r="AJ232" s="191"/>
      <x:c r="AK232" s="191"/>
    </x:row>
    <x:row r="233">
      <x:c r="A233" s="191"/>
      <x:c r="B233" s="191"/>
      <x:c r="C233" s="191"/>
      <x:c r="D233" s="191"/>
      <x:c r="E233" s="191"/>
      <x:c r="F233" s="191"/>
      <x:c r="G233" s="191"/>
      <x:c r="H233" s="191"/>
      <x:c r="I233" s="191"/>
      <x:c r="J233" s="191"/>
      <x:c r="K233" s="191"/>
      <x:c r="L233" s="191"/>
      <x:c r="M233" s="191"/>
      <x:c r="N233" s="191"/>
      <x:c r="O233" s="191"/>
      <x:c r="P233" s="191"/>
      <x:c r="Q233" s="191"/>
      <x:c r="R233" s="191"/>
      <x:c r="S233" s="191"/>
      <x:c r="T233" s="191"/>
      <x:c r="U233" s="191"/>
      <x:c r="V233" s="191"/>
      <x:c r="W233" s="191"/>
      <x:c r="X233" s="191"/>
      <x:c r="Y233" s="191"/>
      <x:c r="Z233" s="191"/>
      <x:c r="AA233" s="191"/>
      <x:c r="AB233" s="191"/>
      <x:c r="AC233" s="191"/>
      <x:c r="AD233" s="191"/>
      <x:c r="AE233" s="191"/>
      <x:c r="AF233" s="191"/>
      <x:c r="AG233" s="191"/>
      <x:c r="AH233" s="191"/>
      <x:c r="AI233" s="191"/>
      <x:c r="AJ233" s="191"/>
      <x:c r="AK233" s="191"/>
    </x:row>
    <x:row r="234">
      <x:c r="A234" s="191"/>
      <x:c r="B234" s="191"/>
      <x:c r="C234" s="191"/>
      <x:c r="D234" s="191"/>
      <x:c r="E234" s="191"/>
      <x:c r="F234" s="191"/>
      <x:c r="G234" s="191"/>
      <x:c r="H234" s="191"/>
      <x:c r="I234" s="191"/>
      <x:c r="J234" s="191"/>
      <x:c r="K234" s="191"/>
      <x:c r="L234" s="191"/>
      <x:c r="M234" s="191"/>
      <x:c r="N234" s="191"/>
      <x:c r="O234" s="191"/>
      <x:c r="P234" s="191"/>
      <x:c r="Q234" s="191"/>
      <x:c r="R234" s="191"/>
      <x:c r="S234" s="191"/>
      <x:c r="T234" s="191"/>
      <x:c r="U234" s="191"/>
      <x:c r="V234" s="191"/>
      <x:c r="W234" s="191"/>
      <x:c r="X234" s="191"/>
      <x:c r="Y234" s="191"/>
      <x:c r="Z234" s="191"/>
      <x:c r="AA234" s="191"/>
      <x:c r="AB234" s="191"/>
      <x:c r="AC234" s="191"/>
      <x:c r="AD234" s="191"/>
      <x:c r="AE234" s="191"/>
      <x:c r="AF234" s="191"/>
      <x:c r="AG234" s="191"/>
      <x:c r="AH234" s="191"/>
      <x:c r="AI234" s="191"/>
      <x:c r="AJ234" s="191"/>
      <x:c r="AK234" s="191"/>
    </x:row>
    <x:row r="235">
      <x:c r="A235" s="191"/>
      <x:c r="B235" s="191"/>
      <x:c r="C235" s="191"/>
      <x:c r="D235" s="191"/>
      <x:c r="E235" s="191"/>
      <x:c r="F235" s="191"/>
      <x:c r="G235" s="191"/>
      <x:c r="H235" s="191"/>
      <x:c r="I235" s="191"/>
      <x:c r="J235" s="191"/>
      <x:c r="K235" s="191"/>
      <x:c r="L235" s="191"/>
      <x:c r="M235" s="191"/>
      <x:c r="N235" s="191"/>
      <x:c r="O235" s="191"/>
      <x:c r="P235" s="191"/>
      <x:c r="Q235" s="191"/>
      <x:c r="R235" s="191"/>
      <x:c r="S235" s="191"/>
      <x:c r="T235" s="191"/>
      <x:c r="U235" s="191"/>
      <x:c r="V235" s="191"/>
      <x:c r="W235" s="191"/>
      <x:c r="X235" s="191"/>
      <x:c r="Y235" s="191"/>
      <x:c r="Z235" s="191"/>
      <x:c r="AA235" s="191"/>
      <x:c r="AB235" s="191"/>
      <x:c r="AC235" s="191"/>
      <x:c r="AD235" s="191"/>
      <x:c r="AE235" s="191"/>
      <x:c r="AF235" s="191"/>
      <x:c r="AG235" s="191"/>
      <x:c r="AH235" s="191"/>
      <x:c r="AI235" s="191"/>
      <x:c r="AJ235" s="191"/>
      <x:c r="AK235" s="191"/>
    </x:row>
    <x:row r="236">
      <x:c r="A236" s="191"/>
      <x:c r="B236" s="191"/>
      <x:c r="C236" s="191"/>
      <x:c r="D236" s="191"/>
      <x:c r="E236" s="191"/>
      <x:c r="F236" s="191"/>
      <x:c r="G236" s="191"/>
      <x:c r="H236" s="191"/>
      <x:c r="I236" s="191"/>
      <x:c r="J236" s="191"/>
      <x:c r="K236" s="191"/>
      <x:c r="L236" s="191"/>
      <x:c r="M236" s="191"/>
      <x:c r="N236" s="191"/>
      <x:c r="O236" s="191"/>
      <x:c r="P236" s="191"/>
      <x:c r="Q236" s="191"/>
      <x:c r="R236" s="191"/>
      <x:c r="S236" s="191"/>
      <x:c r="T236" s="191"/>
      <x:c r="U236" s="191"/>
      <x:c r="V236" s="191"/>
      <x:c r="W236" s="191"/>
      <x:c r="X236" s="191"/>
      <x:c r="Y236" s="191"/>
      <x:c r="Z236" s="191"/>
      <x:c r="AA236" s="191"/>
      <x:c r="AB236" s="191"/>
      <x:c r="AC236" s="191"/>
      <x:c r="AD236" s="191"/>
      <x:c r="AE236" s="191"/>
      <x:c r="AF236" s="191"/>
      <x:c r="AG236" s="191"/>
      <x:c r="AH236" s="191"/>
      <x:c r="AI236" s="191"/>
      <x:c r="AJ236" s="191"/>
      <x:c r="AK236" s="191"/>
    </x:row>
    <x:row r="237">
      <x:c r="A237" s="191"/>
      <x:c r="B237" s="191"/>
      <x:c r="C237" s="191"/>
      <x:c r="D237" s="191"/>
      <x:c r="E237" s="191"/>
      <x:c r="F237" s="191"/>
      <x:c r="G237" s="191"/>
      <x:c r="H237" s="191"/>
      <x:c r="I237" s="191"/>
      <x:c r="J237" s="191"/>
      <x:c r="K237" s="191"/>
      <x:c r="L237" s="191"/>
      <x:c r="M237" s="191"/>
      <x:c r="N237" s="191"/>
      <x:c r="O237" s="191"/>
      <x:c r="P237" s="191"/>
      <x:c r="Q237" s="191"/>
      <x:c r="R237" s="191"/>
      <x:c r="S237" s="191"/>
      <x:c r="T237" s="191"/>
      <x:c r="U237" s="191"/>
      <x:c r="V237" s="191"/>
      <x:c r="W237" s="191"/>
      <x:c r="X237" s="191"/>
      <x:c r="Y237" s="191"/>
      <x:c r="Z237" s="191"/>
      <x:c r="AA237" s="191"/>
      <x:c r="AB237" s="191"/>
      <x:c r="AC237" s="191"/>
      <x:c r="AD237" s="191"/>
      <x:c r="AE237" s="191"/>
      <x:c r="AF237" s="191"/>
      <x:c r="AG237" s="191"/>
      <x:c r="AH237" s="191"/>
      <x:c r="AI237" s="191"/>
      <x:c r="AJ237" s="191"/>
      <x:c r="AK237" s="191"/>
    </x:row>
    <x:row r="238">
      <x:c r="A238" s="191"/>
      <x:c r="B238" s="191"/>
      <x:c r="C238" s="191"/>
      <x:c r="D238" s="191"/>
      <x:c r="E238" s="191"/>
      <x:c r="F238" s="191"/>
      <x:c r="G238" s="191"/>
      <x:c r="H238" s="191"/>
      <x:c r="I238" s="191"/>
      <x:c r="J238" s="191"/>
      <x:c r="K238" s="191"/>
      <x:c r="L238" s="191"/>
      <x:c r="M238" s="191"/>
      <x:c r="N238" s="191"/>
      <x:c r="O238" s="191"/>
      <x:c r="P238" s="191"/>
      <x:c r="Q238" s="191"/>
      <x:c r="R238" s="191"/>
      <x:c r="S238" s="191"/>
      <x:c r="T238" s="191"/>
      <x:c r="U238" s="191"/>
      <x:c r="V238" s="191"/>
      <x:c r="W238" s="191"/>
      <x:c r="X238" s="191"/>
      <x:c r="Y238" s="191"/>
      <x:c r="Z238" s="191"/>
      <x:c r="AA238" s="191"/>
      <x:c r="AB238" s="191"/>
      <x:c r="AC238" s="191"/>
      <x:c r="AD238" s="191"/>
      <x:c r="AE238" s="191"/>
      <x:c r="AF238" s="191"/>
      <x:c r="AG238" s="191"/>
      <x:c r="AH238" s="191"/>
      <x:c r="AI238" s="191"/>
      <x:c r="AJ238" s="191"/>
      <x:c r="AK238" s="191"/>
    </x:row>
    <x:row r="239">
      <x:c r="A239" s="191"/>
      <x:c r="B239" s="191"/>
      <x:c r="C239" s="191"/>
      <x:c r="D239" s="191"/>
      <x:c r="E239" s="191"/>
      <x:c r="F239" s="191"/>
      <x:c r="G239" s="191"/>
      <x:c r="H239" s="191"/>
      <x:c r="I239" s="191"/>
      <x:c r="J239" s="191"/>
      <x:c r="K239" s="191"/>
      <x:c r="L239" s="191"/>
      <x:c r="M239" s="191"/>
      <x:c r="N239" s="191"/>
      <x:c r="O239" s="191"/>
      <x:c r="P239" s="191"/>
      <x:c r="Q239" s="191"/>
      <x:c r="R239" s="191"/>
      <x:c r="S239" s="191"/>
      <x:c r="T239" s="191"/>
      <x:c r="U239" s="191"/>
      <x:c r="V239" s="191"/>
      <x:c r="W239" s="191"/>
      <x:c r="X239" s="191"/>
      <x:c r="Y239" s="191"/>
      <x:c r="Z239" s="191"/>
      <x:c r="AA239" s="191"/>
      <x:c r="AB239" s="191"/>
      <x:c r="AC239" s="191"/>
      <x:c r="AD239" s="191"/>
      <x:c r="AE239" s="191"/>
      <x:c r="AF239" s="191"/>
      <x:c r="AG239" s="191"/>
      <x:c r="AH239" s="191"/>
      <x:c r="AI239" s="191"/>
      <x:c r="AJ239" s="191"/>
      <x:c r="AK239" s="191"/>
    </x:row>
    <x:row r="240">
      <x:c r="A240" s="191"/>
      <x:c r="B240" s="191"/>
      <x:c r="C240" s="191"/>
      <x:c r="D240" s="191"/>
      <x:c r="E240" s="191"/>
      <x:c r="F240" s="191"/>
      <x:c r="G240" s="191"/>
      <x:c r="H240" s="191"/>
      <x:c r="I240" s="191"/>
      <x:c r="J240" s="191"/>
      <x:c r="K240" s="191"/>
      <x:c r="L240" s="191"/>
      <x:c r="M240" s="191"/>
      <x:c r="N240" s="191"/>
      <x:c r="O240" s="191"/>
      <x:c r="P240" s="191"/>
      <x:c r="Q240" s="191"/>
      <x:c r="R240" s="191"/>
      <x:c r="S240" s="191"/>
      <x:c r="T240" s="191"/>
      <x:c r="U240" s="191"/>
      <x:c r="V240" s="191"/>
      <x:c r="W240" s="191"/>
      <x:c r="X240" s="191"/>
      <x:c r="Y240" s="191"/>
      <x:c r="Z240" s="191"/>
      <x:c r="AA240" s="191"/>
      <x:c r="AB240" s="191"/>
      <x:c r="AC240" s="191"/>
      <x:c r="AD240" s="191"/>
      <x:c r="AE240" s="191"/>
      <x:c r="AF240" s="191"/>
      <x:c r="AG240" s="191"/>
      <x:c r="AH240" s="191"/>
      <x:c r="AI240" s="191"/>
      <x:c r="AJ240" s="191"/>
      <x:c r="AK240" s="191"/>
    </x:row>
    <x:row r="241">
      <x:c r="A241" s="191"/>
      <x:c r="B241" s="191"/>
      <x:c r="C241" s="191"/>
      <x:c r="D241" s="191"/>
      <x:c r="E241" s="191"/>
      <x:c r="F241" s="191"/>
      <x:c r="G241" s="191"/>
      <x:c r="H241" s="191"/>
      <x:c r="I241" s="191"/>
      <x:c r="J241" s="191"/>
      <x:c r="K241" s="191"/>
      <x:c r="L241" s="191"/>
      <x:c r="M241" s="191"/>
      <x:c r="N241" s="191"/>
      <x:c r="O241" s="191"/>
      <x:c r="P241" s="191"/>
      <x:c r="Q241" s="191"/>
      <x:c r="R241" s="191"/>
      <x:c r="S241" s="191"/>
      <x:c r="T241" s="191"/>
      <x:c r="U241" s="191"/>
      <x:c r="V241" s="191"/>
      <x:c r="W241" s="191"/>
      <x:c r="X241" s="191"/>
      <x:c r="Y241" s="191"/>
      <x:c r="Z241" s="191"/>
      <x:c r="AA241" s="191"/>
      <x:c r="AB241" s="191"/>
      <x:c r="AC241" s="191"/>
      <x:c r="AD241" s="191"/>
      <x:c r="AE241" s="191"/>
      <x:c r="AF241" s="191"/>
      <x:c r="AG241" s="191"/>
      <x:c r="AH241" s="191"/>
      <x:c r="AI241" s="191"/>
      <x:c r="AJ241" s="191"/>
      <x:c r="AK241" s="191"/>
    </x:row>
    <x:row r="242">
      <x:c r="A242" s="191"/>
      <x:c r="B242" s="191"/>
      <x:c r="C242" s="191"/>
      <x:c r="D242" s="191"/>
      <x:c r="E242" s="191"/>
      <x:c r="F242" s="191"/>
      <x:c r="G242" s="191"/>
      <x:c r="H242" s="191"/>
      <x:c r="I242" s="191"/>
      <x:c r="J242" s="191"/>
      <x:c r="K242" s="191"/>
      <x:c r="L242" s="191"/>
      <x:c r="M242" s="191"/>
      <x:c r="N242" s="191"/>
      <x:c r="O242" s="191"/>
      <x:c r="P242" s="191"/>
      <x:c r="Q242" s="191"/>
      <x:c r="R242" s="191"/>
      <x:c r="S242" s="191"/>
      <x:c r="T242" s="191"/>
      <x:c r="U242" s="191"/>
      <x:c r="V242" s="191"/>
      <x:c r="W242" s="191"/>
      <x:c r="X242" s="191"/>
      <x:c r="Y242" s="191"/>
      <x:c r="Z242" s="191"/>
      <x:c r="AA242" s="191"/>
      <x:c r="AB242" s="191"/>
      <x:c r="AC242" s="191"/>
      <x:c r="AD242" s="191"/>
      <x:c r="AE242" s="191"/>
      <x:c r="AF242" s="191"/>
      <x:c r="AG242" s="191"/>
      <x:c r="AH242" s="191"/>
      <x:c r="AI242" s="191"/>
      <x:c r="AJ242" s="191"/>
      <x:c r="AK242" s="191"/>
    </x:row>
    <x:row r="243">
      <x:c r="A243" s="191"/>
      <x:c r="B243" s="191"/>
      <x:c r="C243" s="191"/>
      <x:c r="D243" s="191"/>
      <x:c r="E243" s="191"/>
      <x:c r="F243" s="191"/>
      <x:c r="G243" s="191"/>
      <x:c r="H243" s="191"/>
      <x:c r="I243" s="191"/>
      <x:c r="J243" s="191"/>
      <x:c r="K243" s="191"/>
      <x:c r="L243" s="191"/>
      <x:c r="M243" s="191"/>
      <x:c r="N243" s="191"/>
      <x:c r="O243" s="191"/>
      <x:c r="P243" s="191"/>
      <x:c r="Q243" s="191"/>
      <x:c r="R243" s="191"/>
      <x:c r="S243" s="191"/>
      <x:c r="T243" s="191"/>
      <x:c r="U243" s="191"/>
      <x:c r="V243" s="191"/>
      <x:c r="W243" s="191"/>
      <x:c r="X243" s="191"/>
      <x:c r="Y243" s="191"/>
      <x:c r="Z243" s="191"/>
      <x:c r="AA243" s="191"/>
      <x:c r="AB243" s="191"/>
      <x:c r="AC243" s="191"/>
      <x:c r="AD243" s="191"/>
      <x:c r="AE243" s="191"/>
      <x:c r="AF243" s="191"/>
      <x:c r="AG243" s="191"/>
      <x:c r="AH243" s="191"/>
      <x:c r="AI243" s="191"/>
      <x:c r="AJ243" s="191"/>
      <x:c r="AK243" s="191"/>
    </x:row>
    <x:row r="244">
      <x:c r="A244" s="191"/>
      <x:c r="B244" s="191"/>
      <x:c r="C244" s="191"/>
      <x:c r="D244" s="191"/>
      <x:c r="E244" s="191"/>
      <x:c r="F244" s="191"/>
      <x:c r="G244" s="191"/>
      <x:c r="H244" s="191"/>
      <x:c r="I244" s="191"/>
      <x:c r="J244" s="191"/>
      <x:c r="K244" s="191"/>
      <x:c r="L244" s="191"/>
      <x:c r="M244" s="191"/>
      <x:c r="N244" s="191"/>
      <x:c r="O244" s="191"/>
      <x:c r="P244" s="191"/>
      <x:c r="Q244" s="191"/>
      <x:c r="R244" s="191"/>
      <x:c r="S244" s="191"/>
      <x:c r="T244" s="191"/>
      <x:c r="U244" s="191"/>
      <x:c r="V244" s="191"/>
      <x:c r="W244" s="191"/>
      <x:c r="X244" s="191"/>
      <x:c r="Y244" s="191"/>
      <x:c r="Z244" s="191"/>
      <x:c r="AA244" s="191"/>
      <x:c r="AB244" s="191"/>
      <x:c r="AC244" s="191"/>
      <x:c r="AD244" s="191"/>
      <x:c r="AE244" s="191"/>
      <x:c r="AF244" s="191"/>
      <x:c r="AG244" s="191"/>
      <x:c r="AH244" s="191"/>
      <x:c r="AI244" s="191"/>
      <x:c r="AJ244" s="191"/>
      <x:c r="AK244" s="191"/>
    </x:row>
    <x:row r="245">
      <x:c r="A245" s="191"/>
      <x:c r="B245" s="191"/>
      <x:c r="C245" s="191"/>
      <x:c r="D245" s="191"/>
      <x:c r="E245" s="191"/>
      <x:c r="F245" s="191"/>
      <x:c r="G245" s="191"/>
      <x:c r="H245" s="191"/>
      <x:c r="I245" s="191"/>
      <x:c r="J245" s="191"/>
      <x:c r="K245" s="191"/>
      <x:c r="L245" s="191"/>
      <x:c r="M245" s="191"/>
      <x:c r="N245" s="191"/>
      <x:c r="O245" s="191"/>
      <x:c r="P245" s="191"/>
      <x:c r="Q245" s="191"/>
      <x:c r="R245" s="191"/>
      <x:c r="S245" s="191"/>
      <x:c r="T245" s="191"/>
      <x:c r="U245" s="191"/>
      <x:c r="V245" s="191"/>
      <x:c r="W245" s="191"/>
      <x:c r="X245" s="191"/>
      <x:c r="Y245" s="191"/>
      <x:c r="Z245" s="191"/>
      <x:c r="AA245" s="191"/>
      <x:c r="AB245" s="191"/>
      <x:c r="AC245" s="191"/>
      <x:c r="AD245" s="191"/>
      <x:c r="AE245" s="191"/>
      <x:c r="AF245" s="191"/>
      <x:c r="AG245" s="191"/>
      <x:c r="AH245" s="191"/>
      <x:c r="AI245" s="191"/>
      <x:c r="AJ245" s="191"/>
      <x:c r="AK245" s="191"/>
    </x:row>
    <x:row r="246">
      <x:c r="A246" s="191"/>
      <x:c r="B246" s="191"/>
      <x:c r="C246" s="191"/>
      <x:c r="D246" s="191"/>
      <x:c r="E246" s="191"/>
      <x:c r="F246" s="191"/>
      <x:c r="G246" s="191"/>
      <x:c r="H246" s="191"/>
      <x:c r="I246" s="191"/>
      <x:c r="J246" s="191"/>
      <x:c r="K246" s="191"/>
      <x:c r="L246" s="191"/>
      <x:c r="M246" s="191"/>
      <x:c r="N246" s="191"/>
      <x:c r="O246" s="191"/>
      <x:c r="P246" s="191"/>
      <x:c r="Q246" s="191"/>
      <x:c r="R246" s="191"/>
      <x:c r="S246" s="191"/>
      <x:c r="T246" s="191"/>
      <x:c r="U246" s="191"/>
      <x:c r="V246" s="191"/>
      <x:c r="W246" s="191"/>
      <x:c r="X246" s="191"/>
      <x:c r="Y246" s="191"/>
      <x:c r="Z246" s="191"/>
      <x:c r="AA246" s="191"/>
      <x:c r="AB246" s="191"/>
      <x:c r="AC246" s="191"/>
      <x:c r="AD246" s="191"/>
      <x:c r="AE246" s="191"/>
      <x:c r="AF246" s="191"/>
      <x:c r="AG246" s="191"/>
      <x:c r="AH246" s="191"/>
      <x:c r="AI246" s="191"/>
      <x:c r="AJ246" s="191"/>
      <x:c r="AK246" s="191"/>
    </x:row>
    <x:row r="247">
      <x:c r="A247" s="191"/>
      <x:c r="B247" s="191"/>
      <x:c r="C247" s="191"/>
      <x:c r="D247" s="191"/>
      <x:c r="E247" s="191"/>
      <x:c r="F247" s="191"/>
      <x:c r="G247" s="191"/>
      <x:c r="H247" s="191"/>
      <x:c r="I247" s="191"/>
      <x:c r="J247" s="191"/>
      <x:c r="K247" s="191"/>
      <x:c r="L247" s="191"/>
      <x:c r="M247" s="191"/>
      <x:c r="N247" s="191"/>
      <x:c r="O247" s="191"/>
      <x:c r="P247" s="191"/>
      <x:c r="Q247" s="191"/>
      <x:c r="R247" s="191"/>
      <x:c r="S247" s="191"/>
      <x:c r="T247" s="191"/>
      <x:c r="U247" s="191"/>
      <x:c r="V247" s="191"/>
      <x:c r="W247" s="191"/>
      <x:c r="X247" s="191"/>
      <x:c r="Y247" s="191"/>
      <x:c r="Z247" s="191"/>
      <x:c r="AA247" s="191"/>
      <x:c r="AB247" s="191"/>
      <x:c r="AC247" s="191"/>
      <x:c r="AD247" s="191"/>
      <x:c r="AE247" s="191"/>
      <x:c r="AF247" s="191"/>
      <x:c r="AG247" s="191"/>
      <x:c r="AH247" s="191"/>
      <x:c r="AI247" s="191"/>
      <x:c r="AJ247" s="191"/>
      <x:c r="AK247" s="191"/>
    </x:row>
    <x:row r="248">
      <x:c r="A248" s="191"/>
      <x:c r="B248" s="191"/>
      <x:c r="C248" s="191"/>
      <x:c r="D248" s="191"/>
      <x:c r="E248" s="191"/>
      <x:c r="F248" s="191"/>
      <x:c r="G248" s="191"/>
      <x:c r="H248" s="191"/>
      <x:c r="I248" s="191"/>
      <x:c r="J248" s="191"/>
      <x:c r="K248" s="191"/>
      <x:c r="L248" s="191"/>
      <x:c r="M248" s="191"/>
      <x:c r="N248" s="191"/>
      <x:c r="O248" s="191"/>
      <x:c r="P248" s="191"/>
      <x:c r="Q248" s="191"/>
      <x:c r="R248" s="191"/>
      <x:c r="S248" s="191"/>
      <x:c r="T248" s="191"/>
      <x:c r="U248" s="191"/>
      <x:c r="V248" s="191"/>
      <x:c r="W248" s="191"/>
      <x:c r="X248" s="191"/>
      <x:c r="Y248" s="191"/>
      <x:c r="Z248" s="191"/>
      <x:c r="AA248" s="191"/>
      <x:c r="AB248" s="191"/>
      <x:c r="AC248" s="191"/>
      <x:c r="AD248" s="191"/>
      <x:c r="AE248" s="191"/>
      <x:c r="AF248" s="191"/>
      <x:c r="AG248" s="191"/>
      <x:c r="AH248" s="191"/>
      <x:c r="AI248" s="191"/>
      <x:c r="AJ248" s="191"/>
      <x:c r="AK248" s="191"/>
    </x:row>
    <x:row r="249">
      <x:c r="A249" s="191"/>
      <x:c r="B249" s="191"/>
      <x:c r="C249" s="191"/>
      <x:c r="D249" s="191"/>
      <x:c r="E249" s="191"/>
      <x:c r="F249" s="191"/>
      <x:c r="G249" s="191"/>
      <x:c r="H249" s="191"/>
      <x:c r="I249" s="191"/>
      <x:c r="J249" s="191"/>
      <x:c r="K249" s="191"/>
      <x:c r="L249" s="191"/>
      <x:c r="M249" s="191"/>
      <x:c r="N249" s="191"/>
      <x:c r="O249" s="191"/>
      <x:c r="P249" s="191"/>
      <x:c r="Q249" s="191"/>
      <x:c r="R249" s="191"/>
      <x:c r="S249" s="191"/>
      <x:c r="T249" s="191"/>
      <x:c r="U249" s="191"/>
      <x:c r="V249" s="191"/>
      <x:c r="W249" s="191"/>
      <x:c r="X249" s="191"/>
      <x:c r="Y249" s="191"/>
      <x:c r="Z249" s="191"/>
      <x:c r="AA249" s="191"/>
      <x:c r="AB249" s="191"/>
      <x:c r="AC249" s="191"/>
      <x:c r="AD249" s="191"/>
      <x:c r="AE249" s="191"/>
      <x:c r="AF249" s="191"/>
      <x:c r="AG249" s="191"/>
      <x:c r="AH249" s="191"/>
      <x:c r="AI249" s="191"/>
      <x:c r="AJ249" s="191"/>
      <x:c r="AK249" s="191"/>
    </x:row>
    <x:row r="250">
      <x:c r="A250" s="191"/>
      <x:c r="B250" s="191"/>
      <x:c r="C250" s="191"/>
      <x:c r="D250" s="191"/>
      <x:c r="E250" s="191"/>
      <x:c r="F250" s="191"/>
      <x:c r="G250" s="191"/>
      <x:c r="H250" s="191"/>
      <x:c r="I250" s="191"/>
      <x:c r="J250" s="191"/>
      <x:c r="K250" s="191"/>
      <x:c r="L250" s="191"/>
      <x:c r="M250" s="191"/>
      <x:c r="N250" s="191"/>
      <x:c r="O250" s="191"/>
      <x:c r="P250" s="191"/>
      <x:c r="Q250" s="191"/>
      <x:c r="R250" s="191"/>
      <x:c r="S250" s="191"/>
      <x:c r="T250" s="191"/>
      <x:c r="U250" s="191"/>
      <x:c r="V250" s="191"/>
      <x:c r="W250" s="191"/>
      <x:c r="X250" s="191"/>
      <x:c r="Y250" s="191"/>
      <x:c r="Z250" s="191"/>
      <x:c r="AA250" s="191"/>
      <x:c r="AB250" s="191"/>
      <x:c r="AC250" s="191"/>
      <x:c r="AD250" s="191"/>
      <x:c r="AE250" s="191"/>
      <x:c r="AF250" s="191"/>
      <x:c r="AG250" s="191"/>
      <x:c r="AH250" s="191"/>
      <x:c r="AI250" s="191"/>
      <x:c r="AJ250" s="191"/>
      <x:c r="AK250" s="191"/>
    </x:row>
    <x:row r="251">
      <x:c r="A251" s="191"/>
      <x:c r="B251" s="191"/>
      <x:c r="C251" s="191"/>
      <x:c r="D251" s="191"/>
      <x:c r="E251" s="191"/>
      <x:c r="F251" s="191"/>
      <x:c r="G251" s="191"/>
      <x:c r="H251" s="191"/>
      <x:c r="I251" s="191"/>
      <x:c r="J251" s="191"/>
      <x:c r="K251" s="191"/>
      <x:c r="L251" s="191"/>
      <x:c r="M251" s="191"/>
      <x:c r="N251" s="191"/>
      <x:c r="O251" s="191"/>
      <x:c r="P251" s="191"/>
      <x:c r="Q251" s="191"/>
      <x:c r="R251" s="191"/>
      <x:c r="S251" s="191"/>
      <x:c r="T251" s="191"/>
      <x:c r="U251" s="191"/>
      <x:c r="V251" s="191"/>
      <x:c r="W251" s="191"/>
      <x:c r="X251" s="191"/>
      <x:c r="Y251" s="191"/>
      <x:c r="Z251" s="191"/>
      <x:c r="AA251" s="191"/>
      <x:c r="AB251" s="191"/>
      <x:c r="AC251" s="191"/>
      <x:c r="AD251" s="191"/>
      <x:c r="AE251" s="191"/>
      <x:c r="AF251" s="191"/>
      <x:c r="AG251" s="191"/>
      <x:c r="AH251" s="191"/>
      <x:c r="AI251" s="191"/>
      <x:c r="AJ251" s="191"/>
      <x:c r="AK251" s="191"/>
    </x:row>
    <x:row r="252">
      <x:c r="A252" s="191"/>
      <x:c r="B252" s="191"/>
      <x:c r="C252" s="191"/>
      <x:c r="D252" s="191"/>
      <x:c r="E252" s="191"/>
      <x:c r="F252" s="191"/>
      <x:c r="G252" s="191"/>
      <x:c r="H252" s="191"/>
      <x:c r="I252" s="191"/>
      <x:c r="J252" s="191"/>
      <x:c r="K252" s="191"/>
      <x:c r="L252" s="191"/>
      <x:c r="M252" s="191"/>
      <x:c r="N252" s="191"/>
      <x:c r="O252" s="191"/>
      <x:c r="P252" s="191"/>
      <x:c r="Q252" s="191"/>
      <x:c r="R252" s="191"/>
      <x:c r="S252" s="191"/>
      <x:c r="T252" s="191"/>
      <x:c r="U252" s="191"/>
      <x:c r="V252" s="191"/>
      <x:c r="W252" s="191"/>
      <x:c r="X252" s="191"/>
      <x:c r="Y252" s="191"/>
      <x:c r="Z252" s="191"/>
      <x:c r="AA252" s="191"/>
      <x:c r="AB252" s="191"/>
      <x:c r="AC252" s="191"/>
      <x:c r="AD252" s="191"/>
      <x:c r="AE252" s="191"/>
      <x:c r="AF252" s="191"/>
      <x:c r="AG252" s="191"/>
      <x:c r="AH252" s="191"/>
      <x:c r="AI252" s="191"/>
      <x:c r="AJ252" s="191"/>
      <x:c r="AK252" s="191"/>
    </x:row>
    <x:row r="253">
      <x:c r="A253" s="191"/>
      <x:c r="B253" s="191"/>
      <x:c r="C253" s="191"/>
      <x:c r="D253" s="191"/>
      <x:c r="E253" s="191"/>
      <x:c r="F253" s="191"/>
      <x:c r="G253" s="191"/>
      <x:c r="H253" s="191"/>
      <x:c r="I253" s="191"/>
      <x:c r="J253" s="191"/>
      <x:c r="K253" s="191"/>
      <x:c r="L253" s="191"/>
      <x:c r="M253" s="191"/>
      <x:c r="N253" s="191"/>
      <x:c r="O253" s="191"/>
      <x:c r="P253" s="191"/>
      <x:c r="Q253" s="191"/>
      <x:c r="R253" s="191"/>
      <x:c r="S253" s="191"/>
      <x:c r="T253" s="191"/>
      <x:c r="U253" s="191"/>
      <x:c r="V253" s="191"/>
      <x:c r="W253" s="191"/>
      <x:c r="X253" s="191"/>
      <x:c r="Y253" s="191"/>
      <x:c r="Z253" s="191"/>
      <x:c r="AA253" s="191"/>
      <x:c r="AB253" s="191"/>
      <x:c r="AC253" s="191"/>
      <x:c r="AD253" s="191"/>
      <x:c r="AE253" s="191"/>
      <x:c r="AF253" s="191"/>
      <x:c r="AG253" s="191"/>
      <x:c r="AH253" s="191"/>
      <x:c r="AI253" s="191"/>
      <x:c r="AJ253" s="191"/>
      <x:c r="AK253" s="191"/>
    </x:row>
    <x:row r="254">
      <x:c r="A254" s="191"/>
      <x:c r="B254" s="191"/>
      <x:c r="C254" s="191"/>
      <x:c r="D254" s="191"/>
      <x:c r="E254" s="191"/>
      <x:c r="F254" s="191"/>
      <x:c r="G254" s="191"/>
      <x:c r="H254" s="191"/>
      <x:c r="I254" s="191"/>
      <x:c r="J254" s="191"/>
      <x:c r="K254" s="191"/>
      <x:c r="L254" s="191"/>
      <x:c r="M254" s="191"/>
      <x:c r="N254" s="191"/>
      <x:c r="O254" s="191"/>
      <x:c r="P254" s="191"/>
      <x:c r="Q254" s="191"/>
      <x:c r="R254" s="191"/>
      <x:c r="S254" s="191"/>
      <x:c r="T254" s="191"/>
      <x:c r="U254" s="191"/>
      <x:c r="V254" s="191"/>
      <x:c r="W254" s="191"/>
      <x:c r="X254" s="191"/>
      <x:c r="Y254" s="191"/>
      <x:c r="Z254" s="191"/>
      <x:c r="AA254" s="191"/>
      <x:c r="AB254" s="191"/>
      <x:c r="AC254" s="191"/>
      <x:c r="AD254" s="191"/>
      <x:c r="AE254" s="191"/>
      <x:c r="AF254" s="191"/>
      <x:c r="AG254" s="191"/>
      <x:c r="AH254" s="191"/>
      <x:c r="AI254" s="191"/>
      <x:c r="AJ254" s="191"/>
      <x:c r="AK254" s="191"/>
    </x:row>
    <x:row r="255">
      <x:c r="A255" s="191"/>
      <x:c r="B255" s="191"/>
      <x:c r="C255" s="191"/>
      <x:c r="D255" s="191"/>
      <x:c r="E255" s="191"/>
      <x:c r="F255" s="191"/>
      <x:c r="G255" s="191"/>
      <x:c r="H255" s="191"/>
      <x:c r="I255" s="191"/>
      <x:c r="J255" s="191"/>
      <x:c r="K255" s="191"/>
      <x:c r="L255" s="191"/>
      <x:c r="M255" s="191"/>
      <x:c r="N255" s="191"/>
      <x:c r="O255" s="191"/>
      <x:c r="P255" s="191"/>
      <x:c r="Q255" s="191"/>
      <x:c r="R255" s="191"/>
      <x:c r="S255" s="191"/>
      <x:c r="T255" s="191"/>
      <x:c r="U255" s="191"/>
      <x:c r="V255" s="191"/>
      <x:c r="W255" s="191"/>
      <x:c r="X255" s="191"/>
      <x:c r="Y255" s="191"/>
      <x:c r="Z255" s="191"/>
      <x:c r="AA255" s="191"/>
      <x:c r="AB255" s="191"/>
      <x:c r="AC255" s="191"/>
      <x:c r="AD255" s="191"/>
      <x:c r="AE255" s="191"/>
      <x:c r="AF255" s="191"/>
      <x:c r="AG255" s="191"/>
      <x:c r="AH255" s="191"/>
      <x:c r="AI255" s="191"/>
      <x:c r="AJ255" s="191"/>
      <x:c r="AK255" s="191"/>
    </x:row>
    <x:row r="256">
      <x:c r="A256" s="191"/>
      <x:c r="B256" s="191"/>
      <x:c r="C256" s="191"/>
      <x:c r="D256" s="191"/>
      <x:c r="E256" s="191"/>
      <x:c r="F256" s="191"/>
      <x:c r="G256" s="191"/>
      <x:c r="H256" s="191"/>
      <x:c r="I256" s="191"/>
      <x:c r="J256" s="191"/>
      <x:c r="K256" s="191"/>
      <x:c r="L256" s="191"/>
      <x:c r="M256" s="191"/>
      <x:c r="N256" s="191"/>
      <x:c r="O256" s="191"/>
      <x:c r="P256" s="191"/>
      <x:c r="Q256" s="191"/>
      <x:c r="R256" s="191"/>
      <x:c r="S256" s="191"/>
      <x:c r="T256" s="191"/>
      <x:c r="U256" s="191"/>
      <x:c r="V256" s="191"/>
      <x:c r="W256" s="191"/>
      <x:c r="X256" s="191"/>
      <x:c r="Y256" s="191"/>
      <x:c r="Z256" s="191"/>
      <x:c r="AA256" s="191"/>
      <x:c r="AB256" s="191"/>
      <x:c r="AC256" s="191"/>
      <x:c r="AD256" s="191"/>
      <x:c r="AE256" s="191"/>
      <x:c r="AF256" s="191"/>
      <x:c r="AG256" s="191"/>
      <x:c r="AH256" s="191"/>
      <x:c r="AI256" s="191"/>
      <x:c r="AJ256" s="191"/>
      <x:c r="AK256" s="191"/>
    </x:row>
    <x:row r="257">
      <x:c r="A257" s="191"/>
      <x:c r="B257" s="191"/>
      <x:c r="C257" s="191"/>
      <x:c r="D257" s="191"/>
      <x:c r="E257" s="191"/>
      <x:c r="F257" s="191"/>
      <x:c r="G257" s="191"/>
      <x:c r="H257" s="191"/>
      <x:c r="I257" s="191"/>
      <x:c r="J257" s="191"/>
      <x:c r="K257" s="191"/>
      <x:c r="L257" s="191"/>
      <x:c r="M257" s="191"/>
      <x:c r="N257" s="191"/>
      <x:c r="O257" s="191"/>
      <x:c r="P257" s="191"/>
      <x:c r="Q257" s="191"/>
      <x:c r="R257" s="191"/>
      <x:c r="S257" s="191"/>
      <x:c r="T257" s="191"/>
      <x:c r="U257" s="191"/>
      <x:c r="V257" s="191"/>
      <x:c r="W257" s="191"/>
      <x:c r="X257" s="191"/>
      <x:c r="Y257" s="191"/>
      <x:c r="Z257" s="191"/>
      <x:c r="AA257" s="191"/>
      <x:c r="AB257" s="191"/>
      <x:c r="AC257" s="191"/>
      <x:c r="AD257" s="191"/>
      <x:c r="AE257" s="191"/>
      <x:c r="AF257" s="191"/>
      <x:c r="AG257" s="191"/>
      <x:c r="AH257" s="191"/>
      <x:c r="AI257" s="191"/>
      <x:c r="AJ257" s="191"/>
      <x:c r="AK257" s="191"/>
    </x:row>
    <x:row r="258">
      <x:c r="A258" s="191"/>
      <x:c r="B258" s="191"/>
      <x:c r="C258" s="191"/>
      <x:c r="D258" s="191"/>
      <x:c r="E258" s="191"/>
      <x:c r="F258" s="191"/>
      <x:c r="G258" s="191"/>
      <x:c r="H258" s="191"/>
      <x:c r="I258" s="191"/>
      <x:c r="J258" s="191"/>
      <x:c r="K258" s="191"/>
      <x:c r="L258" s="191"/>
      <x:c r="M258" s="191"/>
      <x:c r="N258" s="191"/>
      <x:c r="O258" s="191"/>
      <x:c r="P258" s="191"/>
      <x:c r="Q258" s="191"/>
      <x:c r="R258" s="191"/>
      <x:c r="S258" s="191"/>
      <x:c r="T258" s="191"/>
      <x:c r="U258" s="191"/>
      <x:c r="V258" s="191"/>
      <x:c r="W258" s="191"/>
      <x:c r="X258" s="191"/>
      <x:c r="Y258" s="191"/>
      <x:c r="Z258" s="191"/>
      <x:c r="AA258" s="191"/>
      <x:c r="AB258" s="191"/>
      <x:c r="AC258" s="191"/>
      <x:c r="AD258" s="191"/>
      <x:c r="AE258" s="191"/>
      <x:c r="AF258" s="191"/>
      <x:c r="AG258" s="191"/>
      <x:c r="AH258" s="191"/>
      <x:c r="AI258" s="191"/>
      <x:c r="AJ258" s="191"/>
      <x:c r="AK258" s="191"/>
    </x:row>
    <x:row r="259">
      <x:c r="A259" s="191"/>
      <x:c r="B259" s="191"/>
      <x:c r="C259" s="191"/>
      <x:c r="D259" s="191"/>
      <x:c r="E259" s="191"/>
      <x:c r="F259" s="191"/>
      <x:c r="G259" s="191"/>
      <x:c r="H259" s="191"/>
      <x:c r="I259" s="191"/>
      <x:c r="J259" s="191"/>
      <x:c r="K259" s="191"/>
      <x:c r="L259" s="191"/>
      <x:c r="M259" s="191"/>
      <x:c r="N259" s="191"/>
      <x:c r="O259" s="191"/>
      <x:c r="P259" s="191"/>
      <x:c r="Q259" s="191"/>
      <x:c r="R259" s="191"/>
      <x:c r="S259" s="191"/>
      <x:c r="T259" s="191"/>
      <x:c r="U259" s="191"/>
      <x:c r="V259" s="191"/>
      <x:c r="W259" s="191"/>
      <x:c r="X259" s="191"/>
      <x:c r="Y259" s="191"/>
      <x:c r="Z259" s="191"/>
      <x:c r="AA259" s="191"/>
      <x:c r="AB259" s="191"/>
      <x:c r="AC259" s="191"/>
      <x:c r="AD259" s="191"/>
      <x:c r="AE259" s="191"/>
      <x:c r="AF259" s="191"/>
      <x:c r="AG259" s="191"/>
      <x:c r="AH259" s="191"/>
      <x:c r="AI259" s="191"/>
      <x:c r="AJ259" s="191"/>
      <x:c r="AK259" s="191"/>
    </x:row>
    <x:row r="260">
      <x:c r="A260" s="191"/>
      <x:c r="B260" s="191"/>
      <x:c r="C260" s="191"/>
      <x:c r="D260" s="191"/>
      <x:c r="E260" s="191"/>
      <x:c r="F260" s="191"/>
      <x:c r="G260" s="191"/>
      <x:c r="H260" s="191"/>
      <x:c r="I260" s="191"/>
      <x:c r="J260" s="191"/>
      <x:c r="K260" s="191"/>
      <x:c r="L260" s="191"/>
      <x:c r="M260" s="191"/>
      <x:c r="N260" s="191"/>
      <x:c r="O260" s="191"/>
      <x:c r="P260" s="191"/>
      <x:c r="Q260" s="191"/>
      <x:c r="R260" s="191"/>
      <x:c r="S260" s="191"/>
      <x:c r="T260" s="191"/>
      <x:c r="U260" s="191"/>
      <x:c r="V260" s="191"/>
      <x:c r="W260" s="191"/>
      <x:c r="X260" s="191"/>
      <x:c r="Y260" s="191"/>
      <x:c r="Z260" s="191"/>
      <x:c r="AA260" s="191"/>
      <x:c r="AB260" s="191"/>
      <x:c r="AC260" s="191"/>
      <x:c r="AD260" s="191"/>
      <x:c r="AE260" s="191"/>
      <x:c r="AF260" s="191"/>
      <x:c r="AG260" s="191"/>
      <x:c r="AH260" s="191"/>
      <x:c r="AI260" s="191"/>
      <x:c r="AJ260" s="191"/>
      <x:c r="AK260" s="191"/>
    </x:row>
    <x:row r="261">
      <x:c r="A261" s="191"/>
      <x:c r="B261" s="191"/>
      <x:c r="C261" s="191"/>
      <x:c r="D261" s="191"/>
      <x:c r="E261" s="191"/>
      <x:c r="F261" s="191"/>
      <x:c r="G261" s="191"/>
      <x:c r="H261" s="191"/>
      <x:c r="I261" s="191"/>
      <x:c r="J261" s="191"/>
      <x:c r="K261" s="191"/>
      <x:c r="L261" s="191"/>
      <x:c r="M261" s="191"/>
      <x:c r="N261" s="191"/>
      <x:c r="O261" s="191"/>
      <x:c r="P261" s="191"/>
      <x:c r="Q261" s="191"/>
      <x:c r="R261" s="191"/>
      <x:c r="S261" s="191"/>
      <x:c r="T261" s="191"/>
      <x:c r="U261" s="191"/>
      <x:c r="V261" s="191"/>
      <x:c r="W261" s="191"/>
      <x:c r="X261" s="191"/>
      <x:c r="Y261" s="191"/>
      <x:c r="Z261" s="191"/>
      <x:c r="AA261" s="191"/>
      <x:c r="AB261" s="191"/>
      <x:c r="AC261" s="191"/>
      <x:c r="AD261" s="191"/>
      <x:c r="AE261" s="191"/>
      <x:c r="AF261" s="191"/>
      <x:c r="AG261" s="191"/>
      <x:c r="AH261" s="191"/>
      <x:c r="AI261" s="191"/>
      <x:c r="AJ261" s="191"/>
      <x:c r="AK261" s="191"/>
    </x:row>
    <x:row r="262">
      <x:c r="A262" s="191"/>
      <x:c r="B262" s="191"/>
      <x:c r="C262" s="191"/>
      <x:c r="D262" s="191"/>
      <x:c r="E262" s="191"/>
      <x:c r="F262" s="191"/>
      <x:c r="G262" s="191"/>
      <x:c r="H262" s="191"/>
      <x:c r="I262" s="191"/>
      <x:c r="J262" s="191"/>
      <x:c r="K262" s="191"/>
      <x:c r="L262" s="191"/>
      <x:c r="M262" s="191"/>
      <x:c r="N262" s="191"/>
      <x:c r="O262" s="191"/>
      <x:c r="P262" s="191"/>
      <x:c r="Q262" s="191"/>
      <x:c r="R262" s="191"/>
      <x:c r="S262" s="191"/>
      <x:c r="T262" s="191"/>
      <x:c r="U262" s="191"/>
      <x:c r="V262" s="191"/>
      <x:c r="W262" s="191"/>
      <x:c r="X262" s="191"/>
      <x:c r="Y262" s="191"/>
      <x:c r="Z262" s="191"/>
      <x:c r="AA262" s="191"/>
      <x:c r="AB262" s="191"/>
      <x:c r="AC262" s="191"/>
      <x:c r="AD262" s="191"/>
      <x:c r="AE262" s="191"/>
      <x:c r="AF262" s="191"/>
      <x:c r="AG262" s="191"/>
      <x:c r="AH262" s="191"/>
      <x:c r="AI262" s="191"/>
      <x:c r="AJ262" s="191"/>
      <x:c r="AK262" s="191"/>
    </x:row>
    <x:row r="263">
      <x:c r="A263" s="191"/>
      <x:c r="B263" s="191"/>
      <x:c r="C263" s="191"/>
      <x:c r="D263" s="191"/>
      <x:c r="E263" s="191"/>
      <x:c r="F263" s="191"/>
      <x:c r="G263" s="191"/>
      <x:c r="H263" s="191"/>
      <x:c r="I263" s="191"/>
      <x:c r="J263" s="191"/>
      <x:c r="K263" s="191"/>
      <x:c r="L263" s="191"/>
      <x:c r="M263" s="191"/>
      <x:c r="N263" s="191"/>
      <x:c r="O263" s="191"/>
      <x:c r="P263" s="191"/>
      <x:c r="Q263" s="191"/>
      <x:c r="R263" s="191"/>
      <x:c r="S263" s="191"/>
      <x:c r="T263" s="191"/>
      <x:c r="U263" s="191"/>
      <x:c r="V263" s="191"/>
      <x:c r="W263" s="191"/>
      <x:c r="X263" s="191"/>
      <x:c r="Y263" s="191"/>
      <x:c r="Z263" s="191"/>
      <x:c r="AA263" s="191"/>
      <x:c r="AB263" s="191"/>
      <x:c r="AC263" s="191"/>
      <x:c r="AD263" s="191"/>
      <x:c r="AE263" s="191"/>
      <x:c r="AF263" s="191"/>
      <x:c r="AG263" s="191"/>
      <x:c r="AH263" s="191"/>
      <x:c r="AI263" s="191"/>
      <x:c r="AJ263" s="191"/>
      <x:c r="AK263" s="191"/>
    </x:row>
    <x:row r="264">
      <x:c r="A264" s="191"/>
      <x:c r="B264" s="191"/>
      <x:c r="C264" s="191"/>
      <x:c r="D264" s="191"/>
      <x:c r="E264" s="191"/>
      <x:c r="F264" s="191"/>
      <x:c r="G264" s="191"/>
      <x:c r="H264" s="191"/>
      <x:c r="I264" s="191"/>
      <x:c r="J264" s="191"/>
      <x:c r="K264" s="191"/>
      <x:c r="L264" s="191"/>
      <x:c r="M264" s="191"/>
      <x:c r="N264" s="191"/>
      <x:c r="O264" s="191"/>
      <x:c r="P264" s="191"/>
      <x:c r="Q264" s="191"/>
      <x:c r="R264" s="191"/>
      <x:c r="S264" s="191"/>
      <x:c r="T264" s="191"/>
      <x:c r="U264" s="191"/>
      <x:c r="V264" s="191"/>
      <x:c r="W264" s="191"/>
      <x:c r="X264" s="191"/>
      <x:c r="Y264" s="191"/>
      <x:c r="Z264" s="191"/>
      <x:c r="AA264" s="191"/>
      <x:c r="AB264" s="191"/>
      <x:c r="AC264" s="191"/>
      <x:c r="AD264" s="191"/>
      <x:c r="AE264" s="191"/>
      <x:c r="AF264" s="191"/>
      <x:c r="AG264" s="191"/>
      <x:c r="AH264" s="191"/>
      <x:c r="AI264" s="191"/>
      <x:c r="AJ264" s="191"/>
      <x:c r="AK264" s="191"/>
    </x:row>
    <x:row r="265">
      <x:c r="A265" s="191"/>
      <x:c r="B265" s="191"/>
      <x:c r="C265" s="191"/>
      <x:c r="D265" s="191"/>
      <x:c r="E265" s="191"/>
      <x:c r="F265" s="191"/>
      <x:c r="G265" s="191"/>
      <x:c r="H265" s="191"/>
      <x:c r="I265" s="191"/>
      <x:c r="J265" s="191"/>
      <x:c r="K265" s="191"/>
      <x:c r="L265" s="191"/>
      <x:c r="M265" s="191"/>
      <x:c r="N265" s="191"/>
      <x:c r="O265" s="191"/>
      <x:c r="P265" s="191"/>
      <x:c r="Q265" s="191"/>
      <x:c r="R265" s="191"/>
      <x:c r="S265" s="191"/>
      <x:c r="T265" s="191"/>
      <x:c r="U265" s="191"/>
      <x:c r="V265" s="191"/>
      <x:c r="W265" s="191"/>
      <x:c r="X265" s="191"/>
      <x:c r="Y265" s="191"/>
      <x:c r="Z265" s="191"/>
      <x:c r="AA265" s="191"/>
      <x:c r="AB265" s="191"/>
      <x:c r="AC265" s="191"/>
      <x:c r="AD265" s="191"/>
      <x:c r="AE265" s="191"/>
      <x:c r="AF265" s="191"/>
      <x:c r="AG265" s="191"/>
      <x:c r="AH265" s="191"/>
      <x:c r="AI265" s="191"/>
      <x:c r="AJ265" s="191"/>
      <x:c r="AK265" s="191"/>
    </x:row>
    <x:row r="266">
      <x:c r="A266" s="191"/>
      <x:c r="B266" s="191"/>
      <x:c r="C266" s="191"/>
      <x:c r="D266" s="191"/>
      <x:c r="E266" s="191"/>
      <x:c r="F266" s="191"/>
      <x:c r="G266" s="191"/>
      <x:c r="H266" s="191"/>
      <x:c r="I266" s="191"/>
      <x:c r="J266" s="191"/>
      <x:c r="K266" s="191"/>
      <x:c r="L266" s="191"/>
      <x:c r="M266" s="191"/>
      <x:c r="N266" s="191"/>
      <x:c r="O266" s="191"/>
      <x:c r="P266" s="191"/>
      <x:c r="Q266" s="191"/>
      <x:c r="R266" s="191"/>
      <x:c r="S266" s="191"/>
      <x:c r="T266" s="191"/>
      <x:c r="U266" s="191"/>
      <x:c r="V266" s="191"/>
      <x:c r="W266" s="191"/>
      <x:c r="X266" s="191"/>
      <x:c r="Y266" s="191"/>
      <x:c r="Z266" s="191"/>
      <x:c r="AA266" s="191"/>
      <x:c r="AB266" s="191"/>
      <x:c r="AC266" s="191"/>
      <x:c r="AD266" s="191"/>
      <x:c r="AE266" s="191"/>
      <x:c r="AF266" s="191"/>
      <x:c r="AG266" s="191"/>
      <x:c r="AH266" s="191"/>
      <x:c r="AI266" s="191"/>
      <x:c r="AJ266" s="191"/>
      <x:c r="AK266" s="191"/>
    </x:row>
    <x:row r="267">
      <x:c r="A267" s="191"/>
      <x:c r="B267" s="191"/>
      <x:c r="C267" s="191"/>
      <x:c r="D267" s="191"/>
      <x:c r="E267" s="191"/>
      <x:c r="F267" s="191"/>
      <x:c r="G267" s="191"/>
      <x:c r="H267" s="191"/>
      <x:c r="I267" s="191"/>
      <x:c r="J267" s="191"/>
      <x:c r="K267" s="191"/>
      <x:c r="L267" s="191"/>
      <x:c r="M267" s="191"/>
      <x:c r="N267" s="191"/>
      <x:c r="O267" s="191"/>
      <x:c r="P267" s="191"/>
      <x:c r="Q267" s="191"/>
      <x:c r="R267" s="191"/>
      <x:c r="S267" s="191"/>
      <x:c r="T267" s="191"/>
      <x:c r="U267" s="191"/>
      <x:c r="V267" s="191"/>
      <x:c r="W267" s="191"/>
      <x:c r="X267" s="191"/>
      <x:c r="Y267" s="191"/>
      <x:c r="Z267" s="191"/>
      <x:c r="AA267" s="191"/>
      <x:c r="AB267" s="191"/>
      <x:c r="AC267" s="191"/>
      <x:c r="AD267" s="191"/>
      <x:c r="AE267" s="191"/>
      <x:c r="AF267" s="191"/>
      <x:c r="AG267" s="191"/>
      <x:c r="AH267" s="191"/>
      <x:c r="AI267" s="191"/>
      <x:c r="AJ267" s="191"/>
      <x:c r="AK267" s="191"/>
    </x:row>
    <x:row r="268">
      <x:c r="A268" s="191"/>
      <x:c r="B268" s="191"/>
      <x:c r="C268" s="191"/>
      <x:c r="D268" s="191"/>
      <x:c r="E268" s="191"/>
      <x:c r="F268" s="191"/>
      <x:c r="G268" s="191"/>
      <x:c r="H268" s="191"/>
      <x:c r="I268" s="191"/>
      <x:c r="J268" s="191"/>
      <x:c r="K268" s="191"/>
      <x:c r="L268" s="191"/>
      <x:c r="M268" s="191"/>
      <x:c r="N268" s="191"/>
      <x:c r="O268" s="191"/>
      <x:c r="P268" s="191"/>
      <x:c r="Q268" s="191"/>
      <x:c r="R268" s="191"/>
      <x:c r="S268" s="191"/>
      <x:c r="T268" s="191"/>
      <x:c r="U268" s="191"/>
      <x:c r="V268" s="191"/>
      <x:c r="W268" s="191"/>
      <x:c r="X268" s="191"/>
      <x:c r="Y268" s="191"/>
      <x:c r="Z268" s="191"/>
      <x:c r="AA268" s="191"/>
      <x:c r="AB268" s="191"/>
      <x:c r="AC268" s="191"/>
      <x:c r="AD268" s="191"/>
      <x:c r="AE268" s="191"/>
      <x:c r="AF268" s="191"/>
      <x:c r="AG268" s="191"/>
      <x:c r="AH268" s="191"/>
      <x:c r="AI268" s="191"/>
      <x:c r="AJ268" s="191"/>
      <x:c r="AK268" s="191"/>
    </x:row>
    <x:row r="269">
      <x:c r="A269" s="191"/>
      <x:c r="B269" s="191"/>
      <x:c r="C269" s="191"/>
      <x:c r="D269" s="191"/>
      <x:c r="E269" s="191"/>
      <x:c r="F269" s="191"/>
      <x:c r="G269" s="191"/>
      <x:c r="H269" s="191"/>
      <x:c r="I269" s="191"/>
      <x:c r="J269" s="191"/>
      <x:c r="K269" s="191"/>
      <x:c r="L269" s="191"/>
      <x:c r="M269" s="191"/>
      <x:c r="N269" s="191"/>
      <x:c r="O269" s="191"/>
      <x:c r="P269" s="191"/>
      <x:c r="Q269" s="191"/>
      <x:c r="R269" s="191"/>
      <x:c r="S269" s="191"/>
      <x:c r="T269" s="191"/>
      <x:c r="U269" s="191"/>
      <x:c r="V269" s="191"/>
      <x:c r="W269" s="191"/>
      <x:c r="X269" s="191"/>
      <x:c r="Y269" s="191"/>
      <x:c r="Z269" s="191"/>
      <x:c r="AA269" s="191"/>
      <x:c r="AB269" s="191"/>
      <x:c r="AC269" s="191"/>
      <x:c r="AD269" s="191"/>
      <x:c r="AE269" s="191"/>
      <x:c r="AF269" s="191"/>
      <x:c r="AG269" s="191"/>
      <x:c r="AH269" s="191"/>
      <x:c r="AI269" s="191"/>
      <x:c r="AJ269" s="191"/>
      <x:c r="AK269" s="191"/>
    </x:row>
    <x:row r="270">
      <x:c r="A270" s="191"/>
      <x:c r="B270" s="191"/>
      <x:c r="C270" s="191"/>
      <x:c r="D270" s="191"/>
      <x:c r="E270" s="191"/>
      <x:c r="F270" s="191"/>
      <x:c r="G270" s="191"/>
      <x:c r="H270" s="191"/>
      <x:c r="I270" s="191"/>
      <x:c r="J270" s="191"/>
      <x:c r="K270" s="191"/>
      <x:c r="L270" s="191"/>
      <x:c r="M270" s="191"/>
      <x:c r="N270" s="191"/>
      <x:c r="O270" s="191"/>
      <x:c r="P270" s="191"/>
      <x:c r="Q270" s="191"/>
      <x:c r="R270" s="191"/>
      <x:c r="S270" s="191"/>
      <x:c r="T270" s="191"/>
      <x:c r="U270" s="191"/>
      <x:c r="V270" s="191"/>
      <x:c r="W270" s="191"/>
      <x:c r="X270" s="191"/>
      <x:c r="Y270" s="191"/>
      <x:c r="Z270" s="191"/>
      <x:c r="AA270" s="191"/>
      <x:c r="AB270" s="191"/>
      <x:c r="AC270" s="191"/>
      <x:c r="AD270" s="191"/>
      <x:c r="AE270" s="191"/>
      <x:c r="AF270" s="191"/>
      <x:c r="AG270" s="191"/>
      <x:c r="AH270" s="191"/>
      <x:c r="AI270" s="191"/>
      <x:c r="AJ270" s="191"/>
      <x:c r="AK270" s="191"/>
    </x:row>
    <x:row r="271">
      <x:c r="A271" s="191"/>
      <x:c r="B271" s="191"/>
      <x:c r="C271" s="191"/>
      <x:c r="D271" s="191"/>
      <x:c r="E271" s="191"/>
      <x:c r="F271" s="191"/>
      <x:c r="G271" s="191"/>
      <x:c r="H271" s="191"/>
      <x:c r="I271" s="191"/>
      <x:c r="J271" s="191"/>
      <x:c r="K271" s="191"/>
      <x:c r="L271" s="191"/>
      <x:c r="M271" s="191"/>
      <x:c r="N271" s="191"/>
      <x:c r="O271" s="191"/>
      <x:c r="P271" s="191"/>
      <x:c r="Q271" s="191"/>
      <x:c r="R271" s="191"/>
      <x:c r="S271" s="191"/>
      <x:c r="T271" s="191"/>
      <x:c r="U271" s="191"/>
      <x:c r="V271" s="191"/>
      <x:c r="W271" s="191"/>
      <x:c r="X271" s="191"/>
      <x:c r="Y271" s="191"/>
      <x:c r="Z271" s="191"/>
      <x:c r="AA271" s="191"/>
      <x:c r="AB271" s="191"/>
      <x:c r="AC271" s="191"/>
      <x:c r="AD271" s="191"/>
      <x:c r="AE271" s="191"/>
      <x:c r="AF271" s="191"/>
      <x:c r="AG271" s="191"/>
      <x:c r="AH271" s="191"/>
      <x:c r="AI271" s="191"/>
      <x:c r="AJ271" s="191"/>
      <x:c r="AK271" s="191"/>
    </x:row>
    <x:row r="272">
      <x:c r="A272" s="191"/>
      <x:c r="B272" s="191"/>
      <x:c r="C272" s="191"/>
      <x:c r="D272" s="191"/>
      <x:c r="E272" s="191"/>
      <x:c r="F272" s="191"/>
      <x:c r="G272" s="191"/>
      <x:c r="H272" s="191"/>
      <x:c r="I272" s="191"/>
      <x:c r="J272" s="191"/>
      <x:c r="K272" s="191"/>
      <x:c r="L272" s="191"/>
      <x:c r="M272" s="191"/>
      <x:c r="N272" s="191"/>
      <x:c r="O272" s="191"/>
      <x:c r="P272" s="191"/>
      <x:c r="Q272" s="191"/>
      <x:c r="R272" s="191"/>
      <x:c r="S272" s="191"/>
      <x:c r="T272" s="191"/>
      <x:c r="U272" s="191"/>
      <x:c r="V272" s="191"/>
      <x:c r="W272" s="191"/>
      <x:c r="X272" s="191"/>
      <x:c r="Y272" s="191"/>
      <x:c r="Z272" s="191"/>
      <x:c r="AA272" s="191"/>
      <x:c r="AB272" s="191"/>
      <x:c r="AC272" s="191"/>
      <x:c r="AD272" s="191"/>
      <x:c r="AE272" s="191"/>
      <x:c r="AF272" s="191"/>
      <x:c r="AG272" s="191"/>
      <x:c r="AH272" s="191"/>
      <x:c r="AI272" s="191"/>
      <x:c r="AJ272" s="191"/>
      <x:c r="AK272" s="191"/>
    </x:row>
    <x:row r="273">
      <x:c r="A273" s="191"/>
      <x:c r="B273" s="191"/>
      <x:c r="C273" s="191"/>
      <x:c r="D273" s="191"/>
      <x:c r="E273" s="191"/>
      <x:c r="F273" s="191"/>
      <x:c r="G273" s="191"/>
      <x:c r="H273" s="191"/>
      <x:c r="I273" s="191"/>
      <x:c r="J273" s="191"/>
      <x:c r="K273" s="191"/>
      <x:c r="L273" s="191"/>
      <x:c r="M273" s="191"/>
      <x:c r="N273" s="191"/>
      <x:c r="O273" s="191"/>
      <x:c r="P273" s="191"/>
      <x:c r="Q273" s="191"/>
      <x:c r="R273" s="191"/>
      <x:c r="S273" s="191"/>
      <x:c r="T273" s="191"/>
      <x:c r="U273" s="191"/>
      <x:c r="V273" s="191"/>
      <x:c r="W273" s="191"/>
      <x:c r="X273" s="191"/>
      <x:c r="Y273" s="191"/>
      <x:c r="Z273" s="191"/>
      <x:c r="AA273" s="191"/>
      <x:c r="AB273" s="191"/>
      <x:c r="AC273" s="191"/>
      <x:c r="AD273" s="191"/>
      <x:c r="AE273" s="191"/>
      <x:c r="AF273" s="191"/>
      <x:c r="AG273" s="191"/>
      <x:c r="AH273" s="191"/>
      <x:c r="AI273" s="191"/>
      <x:c r="AJ273" s="191"/>
      <x:c r="AK273" s="191"/>
    </x:row>
    <x:row r="274">
      <x:c r="A274" s="191"/>
      <x:c r="B274" s="191"/>
      <x:c r="C274" s="191"/>
      <x:c r="D274" s="191"/>
      <x:c r="E274" s="191"/>
      <x:c r="F274" s="191"/>
      <x:c r="G274" s="191"/>
      <x:c r="H274" s="191"/>
      <x:c r="I274" s="191"/>
      <x:c r="J274" s="191"/>
      <x:c r="K274" s="191"/>
      <x:c r="L274" s="191"/>
      <x:c r="M274" s="191"/>
      <x:c r="N274" s="191"/>
      <x:c r="O274" s="191"/>
      <x:c r="P274" s="191"/>
      <x:c r="Q274" s="191"/>
      <x:c r="R274" s="191"/>
      <x:c r="S274" s="191"/>
      <x:c r="T274" s="191"/>
      <x:c r="U274" s="191"/>
      <x:c r="V274" s="191"/>
      <x:c r="W274" s="191"/>
      <x:c r="X274" s="191"/>
      <x:c r="Y274" s="191"/>
      <x:c r="Z274" s="191"/>
      <x:c r="AA274" s="191"/>
      <x:c r="AB274" s="191"/>
      <x:c r="AC274" s="191"/>
      <x:c r="AD274" s="191"/>
      <x:c r="AE274" s="191"/>
      <x:c r="AF274" s="191"/>
      <x:c r="AG274" s="191"/>
      <x:c r="AH274" s="191"/>
      <x:c r="AI274" s="191"/>
      <x:c r="AJ274" s="191"/>
      <x:c r="AK274" s="191"/>
    </x:row>
    <x:row r="275">
      <x:c r="A275" s="191"/>
      <x:c r="B275" s="191"/>
      <x:c r="C275" s="191"/>
      <x:c r="D275" s="191"/>
      <x:c r="E275" s="191"/>
      <x:c r="F275" s="191"/>
      <x:c r="G275" s="191"/>
      <x:c r="H275" s="191"/>
      <x:c r="I275" s="191"/>
      <x:c r="J275" s="191"/>
      <x:c r="K275" s="191"/>
      <x:c r="L275" s="191"/>
      <x:c r="M275" s="191"/>
      <x:c r="N275" s="191"/>
      <x:c r="O275" s="191"/>
      <x:c r="P275" s="191"/>
      <x:c r="Q275" s="191"/>
      <x:c r="R275" s="191"/>
      <x:c r="S275" s="191"/>
      <x:c r="T275" s="191"/>
      <x:c r="U275" s="191"/>
      <x:c r="V275" s="191"/>
      <x:c r="W275" s="191"/>
      <x:c r="X275" s="191"/>
      <x:c r="Y275" s="191"/>
      <x:c r="Z275" s="191"/>
      <x:c r="AA275" s="191"/>
      <x:c r="AB275" s="191"/>
      <x:c r="AC275" s="191"/>
      <x:c r="AD275" s="191"/>
      <x:c r="AE275" s="191"/>
      <x:c r="AF275" s="191"/>
      <x:c r="AG275" s="191"/>
      <x:c r="AH275" s="191"/>
      <x:c r="AI275" s="191"/>
      <x:c r="AJ275" s="191"/>
      <x:c r="AK275" s="191"/>
    </x:row>
    <x:row r="276">
      <x:c r="A276" s="191"/>
      <x:c r="B276" s="191"/>
      <x:c r="C276" s="191"/>
      <x:c r="D276" s="191"/>
      <x:c r="E276" s="191"/>
      <x:c r="F276" s="191"/>
      <x:c r="G276" s="191"/>
      <x:c r="H276" s="191"/>
      <x:c r="I276" s="191"/>
      <x:c r="J276" s="191"/>
      <x:c r="K276" s="191"/>
      <x:c r="L276" s="191"/>
      <x:c r="M276" s="191"/>
      <x:c r="N276" s="191"/>
      <x:c r="O276" s="191"/>
      <x:c r="P276" s="191"/>
      <x:c r="Q276" s="191"/>
      <x:c r="R276" s="191"/>
      <x:c r="S276" s="191"/>
      <x:c r="T276" s="191"/>
      <x:c r="U276" s="191"/>
      <x:c r="V276" s="191"/>
      <x:c r="W276" s="191"/>
      <x:c r="X276" s="191"/>
      <x:c r="Y276" s="191"/>
      <x:c r="Z276" s="191"/>
      <x:c r="AA276" s="191"/>
      <x:c r="AB276" s="191"/>
      <x:c r="AC276" s="191"/>
      <x:c r="AD276" s="191"/>
      <x:c r="AE276" s="191"/>
      <x:c r="AF276" s="191"/>
      <x:c r="AG276" s="191"/>
      <x:c r="AH276" s="191"/>
      <x:c r="AI276" s="191"/>
      <x:c r="AJ276" s="191"/>
      <x:c r="AK276" s="191"/>
    </x:row>
    <x:row r="277">
      <x:c r="A277" s="191"/>
      <x:c r="B277" s="191"/>
      <x:c r="C277" s="191"/>
      <x:c r="D277" s="191"/>
      <x:c r="E277" s="191"/>
      <x:c r="F277" s="191"/>
      <x:c r="G277" s="191"/>
      <x:c r="H277" s="191"/>
      <x:c r="I277" s="191"/>
      <x:c r="J277" s="191"/>
      <x:c r="K277" s="191"/>
      <x:c r="L277" s="191"/>
      <x:c r="M277" s="191"/>
      <x:c r="N277" s="191"/>
      <x:c r="O277" s="191"/>
      <x:c r="P277" s="191"/>
      <x:c r="Q277" s="191"/>
      <x:c r="R277" s="191"/>
      <x:c r="S277" s="191"/>
      <x:c r="T277" s="191"/>
      <x:c r="U277" s="191"/>
      <x:c r="V277" s="191"/>
      <x:c r="W277" s="191"/>
      <x:c r="X277" s="191"/>
      <x:c r="Y277" s="191"/>
      <x:c r="Z277" s="191"/>
      <x:c r="AA277" s="191"/>
      <x:c r="AB277" s="191"/>
      <x:c r="AC277" s="191"/>
      <x:c r="AD277" s="191"/>
      <x:c r="AE277" s="191"/>
      <x:c r="AF277" s="191"/>
      <x:c r="AG277" s="191"/>
      <x:c r="AH277" s="191"/>
      <x:c r="AI277" s="191"/>
      <x:c r="AJ277" s="191"/>
      <x:c r="AK277" s="191"/>
    </x:row>
    <x:row r="278">
      <x:c r="A278" s="191"/>
      <x:c r="B278" s="191"/>
      <x:c r="C278" s="191"/>
      <x:c r="D278" s="191"/>
      <x:c r="E278" s="191"/>
      <x:c r="F278" s="191"/>
      <x:c r="G278" s="191"/>
      <x:c r="H278" s="191"/>
      <x:c r="I278" s="191"/>
      <x:c r="J278" s="191"/>
      <x:c r="K278" s="191"/>
      <x:c r="L278" s="191"/>
      <x:c r="M278" s="191"/>
      <x:c r="N278" s="191"/>
      <x:c r="O278" s="191"/>
      <x:c r="P278" s="191"/>
      <x:c r="Q278" s="191"/>
      <x:c r="R278" s="191"/>
      <x:c r="S278" s="191"/>
      <x:c r="T278" s="191"/>
      <x:c r="U278" s="191"/>
      <x:c r="V278" s="191"/>
      <x:c r="W278" s="191"/>
      <x:c r="X278" s="191"/>
      <x:c r="Y278" s="191"/>
      <x:c r="Z278" s="191"/>
      <x:c r="AA278" s="191"/>
      <x:c r="AB278" s="191"/>
      <x:c r="AC278" s="191"/>
      <x:c r="AD278" s="191"/>
      <x:c r="AE278" s="191"/>
      <x:c r="AF278" s="191"/>
      <x:c r="AG278" s="191"/>
      <x:c r="AH278" s="191"/>
      <x:c r="AI278" s="191"/>
      <x:c r="AJ278" s="191"/>
      <x:c r="AK278" s="191"/>
    </x:row>
    <x:row r="279">
      <x:c r="A279" s="191"/>
      <x:c r="B279" s="191"/>
      <x:c r="C279" s="191"/>
      <x:c r="D279" s="191"/>
      <x:c r="E279" s="191"/>
      <x:c r="F279" s="191"/>
      <x:c r="G279" s="191"/>
      <x:c r="H279" s="191"/>
      <x:c r="I279" s="191"/>
      <x:c r="J279" s="191"/>
      <x:c r="K279" s="191"/>
      <x:c r="L279" s="191"/>
      <x:c r="M279" s="191"/>
      <x:c r="N279" s="191"/>
      <x:c r="O279" s="191"/>
      <x:c r="P279" s="191"/>
      <x:c r="Q279" s="191"/>
      <x:c r="R279" s="191"/>
      <x:c r="S279" s="191"/>
      <x:c r="T279" s="191"/>
      <x:c r="U279" s="191"/>
      <x:c r="V279" s="191"/>
      <x:c r="W279" s="191"/>
      <x:c r="X279" s="191"/>
      <x:c r="Y279" s="191"/>
      <x:c r="Z279" s="191"/>
      <x:c r="AA279" s="191"/>
      <x:c r="AB279" s="191"/>
      <x:c r="AC279" s="191"/>
      <x:c r="AD279" s="191"/>
      <x:c r="AE279" s="191"/>
      <x:c r="AF279" s="191"/>
      <x:c r="AG279" s="191"/>
      <x:c r="AH279" s="191"/>
      <x:c r="AI279" s="191"/>
      <x:c r="AJ279" s="191"/>
      <x:c r="AK279" s="191"/>
    </x:row>
    <x:row r="280">
      <x:c r="A280" s="191"/>
      <x:c r="B280" s="191"/>
      <x:c r="C280" s="191"/>
      <x:c r="D280" s="191"/>
      <x:c r="E280" s="191"/>
      <x:c r="F280" s="191"/>
      <x:c r="G280" s="191"/>
      <x:c r="H280" s="191"/>
      <x:c r="I280" s="191"/>
      <x:c r="J280" s="191"/>
      <x:c r="K280" s="191"/>
      <x:c r="L280" s="191"/>
      <x:c r="M280" s="191"/>
      <x:c r="N280" s="191"/>
      <x:c r="O280" s="191"/>
      <x:c r="P280" s="191"/>
      <x:c r="Q280" s="191"/>
      <x:c r="R280" s="191"/>
      <x:c r="S280" s="191"/>
      <x:c r="T280" s="191"/>
      <x:c r="U280" s="191"/>
      <x:c r="V280" s="191"/>
      <x:c r="W280" s="191"/>
      <x:c r="X280" s="191"/>
      <x:c r="Y280" s="191"/>
      <x:c r="Z280" s="191"/>
      <x:c r="AA280" s="191"/>
      <x:c r="AB280" s="191"/>
      <x:c r="AC280" s="191"/>
      <x:c r="AD280" s="191"/>
      <x:c r="AE280" s="191"/>
      <x:c r="AF280" s="191"/>
      <x:c r="AG280" s="191"/>
      <x:c r="AH280" s="191"/>
      <x:c r="AI280" s="191"/>
      <x:c r="AJ280" s="191"/>
      <x:c r="AK280" s="191"/>
    </x:row>
    <x:row r="281">
      <x:c r="A281" s="191"/>
      <x:c r="B281" s="191"/>
      <x:c r="C281" s="191"/>
      <x:c r="D281" s="191"/>
      <x:c r="E281" s="191"/>
      <x:c r="F281" s="191"/>
      <x:c r="G281" s="191"/>
      <x:c r="H281" s="191"/>
      <x:c r="I281" s="191"/>
      <x:c r="J281" s="191"/>
      <x:c r="K281" s="191"/>
      <x:c r="L281" s="191"/>
      <x:c r="M281" s="191"/>
      <x:c r="N281" s="191"/>
      <x:c r="O281" s="191"/>
      <x:c r="P281" s="191"/>
      <x:c r="Q281" s="191"/>
      <x:c r="R281" s="191"/>
      <x:c r="S281" s="191"/>
      <x:c r="T281" s="191"/>
      <x:c r="U281" s="191"/>
      <x:c r="V281" s="191"/>
      <x:c r="W281" s="191"/>
      <x:c r="X281" s="191"/>
      <x:c r="Y281" s="191"/>
      <x:c r="Z281" s="191"/>
      <x:c r="AA281" s="191"/>
      <x:c r="AB281" s="191"/>
      <x:c r="AC281" s="191"/>
      <x:c r="AD281" s="191"/>
      <x:c r="AE281" s="191"/>
      <x:c r="AF281" s="191"/>
      <x:c r="AG281" s="191"/>
      <x:c r="AH281" s="191"/>
      <x:c r="AI281" s="191"/>
      <x:c r="AJ281" s="191"/>
      <x:c r="AK281" s="191"/>
    </x:row>
    <x:row r="282">
      <x:c r="A282" s="191"/>
      <x:c r="B282" s="191"/>
      <x:c r="C282" s="191"/>
      <x:c r="D282" s="191"/>
      <x:c r="E282" s="191"/>
      <x:c r="F282" s="191"/>
      <x:c r="G282" s="191"/>
      <x:c r="H282" s="191"/>
      <x:c r="I282" s="191"/>
      <x:c r="J282" s="191"/>
      <x:c r="K282" s="191"/>
      <x:c r="L282" s="191"/>
      <x:c r="M282" s="191"/>
      <x:c r="N282" s="191"/>
      <x:c r="O282" s="191"/>
      <x:c r="P282" s="191"/>
      <x:c r="Q282" s="191"/>
      <x:c r="R282" s="191"/>
      <x:c r="S282" s="191"/>
      <x:c r="T282" s="191"/>
      <x:c r="U282" s="191"/>
      <x:c r="V282" s="191"/>
      <x:c r="W282" s="191"/>
      <x:c r="X282" s="191"/>
      <x:c r="Y282" s="191"/>
      <x:c r="Z282" s="191"/>
      <x:c r="AA282" s="191"/>
      <x:c r="AB282" s="191"/>
      <x:c r="AC282" s="191"/>
      <x:c r="AD282" s="191"/>
      <x:c r="AE282" s="191"/>
      <x:c r="AF282" s="191"/>
      <x:c r="AG282" s="191"/>
      <x:c r="AH282" s="191"/>
      <x:c r="AI282" s="191"/>
      <x:c r="AJ282" s="191"/>
      <x:c r="AK282" s="191"/>
    </x:row>
    <x:row r="283">
      <x:c r="A283" s="191"/>
      <x:c r="B283" s="191"/>
      <x:c r="C283" s="191"/>
      <x:c r="D283" s="191"/>
      <x:c r="E283" s="191"/>
      <x:c r="F283" s="191"/>
      <x:c r="G283" s="191"/>
      <x:c r="H283" s="191"/>
      <x:c r="I283" s="191"/>
      <x:c r="J283" s="191"/>
      <x:c r="K283" s="191"/>
      <x:c r="L283" s="191"/>
      <x:c r="M283" s="191"/>
      <x:c r="N283" s="191"/>
      <x:c r="O283" s="191"/>
      <x:c r="P283" s="191"/>
      <x:c r="Q283" s="191"/>
      <x:c r="R283" s="191"/>
      <x:c r="S283" s="191"/>
      <x:c r="T283" s="191"/>
      <x:c r="U283" s="191"/>
      <x:c r="V283" s="191"/>
      <x:c r="W283" s="191"/>
      <x:c r="X283" s="191"/>
      <x:c r="Y283" s="191"/>
      <x:c r="Z283" s="191"/>
      <x:c r="AA283" s="191"/>
      <x:c r="AB283" s="191"/>
      <x:c r="AC283" s="191"/>
      <x:c r="AD283" s="191"/>
      <x:c r="AE283" s="191"/>
      <x:c r="AF283" s="191"/>
      <x:c r="AG283" s="191"/>
      <x:c r="AH283" s="191"/>
      <x:c r="AI283" s="191"/>
      <x:c r="AJ283" s="191"/>
      <x:c r="AK283" s="191"/>
    </x:row>
    <x:row r="284">
      <x:c r="A284" s="191"/>
      <x:c r="B284" s="191"/>
      <x:c r="C284" s="191"/>
      <x:c r="D284" s="191"/>
      <x:c r="E284" s="191"/>
      <x:c r="F284" s="191"/>
      <x:c r="G284" s="191"/>
      <x:c r="H284" s="191"/>
      <x:c r="I284" s="191"/>
      <x:c r="J284" s="191"/>
      <x:c r="K284" s="191"/>
      <x:c r="L284" s="191"/>
      <x:c r="M284" s="191"/>
      <x:c r="N284" s="191"/>
      <x:c r="O284" s="191"/>
      <x:c r="P284" s="191"/>
      <x:c r="Q284" s="191"/>
      <x:c r="R284" s="191"/>
      <x:c r="S284" s="191"/>
      <x:c r="T284" s="191"/>
      <x:c r="U284" s="191"/>
      <x:c r="V284" s="191"/>
      <x:c r="W284" s="191"/>
      <x:c r="X284" s="191"/>
      <x:c r="Y284" s="191"/>
      <x:c r="Z284" s="191"/>
      <x:c r="AA284" s="191"/>
      <x:c r="AB284" s="191"/>
      <x:c r="AC284" s="191"/>
      <x:c r="AD284" s="191"/>
      <x:c r="AE284" s="191"/>
      <x:c r="AF284" s="191"/>
      <x:c r="AG284" s="191"/>
      <x:c r="AH284" s="191"/>
      <x:c r="AI284" s="191"/>
      <x:c r="AJ284" s="191"/>
      <x:c r="AK284" s="191"/>
    </x:row>
    <x:row r="285">
      <x:c r="A285" s="191"/>
      <x:c r="B285" s="191"/>
      <x:c r="C285" s="191"/>
      <x:c r="D285" s="191"/>
      <x:c r="E285" s="191"/>
      <x:c r="F285" s="191"/>
      <x:c r="G285" s="191"/>
      <x:c r="H285" s="191"/>
      <x:c r="I285" s="191"/>
      <x:c r="J285" s="191"/>
      <x:c r="K285" s="191"/>
      <x:c r="L285" s="191"/>
      <x:c r="M285" s="191"/>
      <x:c r="N285" s="191"/>
      <x:c r="O285" s="191"/>
      <x:c r="P285" s="191"/>
      <x:c r="Q285" s="191"/>
      <x:c r="R285" s="191"/>
      <x:c r="S285" s="191"/>
      <x:c r="T285" s="191"/>
      <x:c r="U285" s="191"/>
      <x:c r="V285" s="191"/>
      <x:c r="W285" s="191"/>
      <x:c r="X285" s="191"/>
      <x:c r="Y285" s="191"/>
      <x:c r="Z285" s="191"/>
      <x:c r="AA285" s="191"/>
      <x:c r="AB285" s="191"/>
      <x:c r="AC285" s="191"/>
      <x:c r="AD285" s="191"/>
      <x:c r="AE285" s="191"/>
      <x:c r="AF285" s="191"/>
      <x:c r="AG285" s="191"/>
      <x:c r="AH285" s="191"/>
      <x:c r="AI285" s="191"/>
      <x:c r="AJ285" s="191"/>
      <x:c r="AK285" s="191"/>
    </x:row>
    <x:row r="286">
      <x:c r="A286" s="191"/>
      <x:c r="B286" s="191"/>
      <x:c r="C286" s="191"/>
      <x:c r="D286" s="191"/>
      <x:c r="E286" s="191"/>
      <x:c r="F286" s="191"/>
      <x:c r="G286" s="191"/>
      <x:c r="H286" s="191"/>
      <x:c r="I286" s="191"/>
      <x:c r="J286" s="191"/>
      <x:c r="K286" s="191"/>
      <x:c r="L286" s="191"/>
      <x:c r="M286" s="191"/>
      <x:c r="N286" s="191"/>
      <x:c r="O286" s="191"/>
      <x:c r="P286" s="191"/>
      <x:c r="Q286" s="191"/>
      <x:c r="R286" s="191"/>
      <x:c r="S286" s="191"/>
      <x:c r="T286" s="191"/>
      <x:c r="U286" s="191"/>
      <x:c r="V286" s="191"/>
      <x:c r="W286" s="191"/>
      <x:c r="X286" s="191"/>
      <x:c r="Y286" s="191"/>
      <x:c r="Z286" s="191"/>
      <x:c r="AA286" s="191"/>
      <x:c r="AB286" s="191"/>
      <x:c r="AC286" s="191"/>
      <x:c r="AD286" s="191"/>
      <x:c r="AE286" s="191"/>
      <x:c r="AF286" s="191"/>
      <x:c r="AG286" s="191"/>
      <x:c r="AH286" s="191"/>
      <x:c r="AI286" s="191"/>
      <x:c r="AJ286" s="191"/>
      <x:c r="AK286" s="191"/>
    </x:row>
    <x:row r="287">
      <x:c r="A287" s="191"/>
      <x:c r="B287" s="191"/>
      <x:c r="C287" s="191"/>
      <x:c r="D287" s="191"/>
      <x:c r="E287" s="191"/>
      <x:c r="F287" s="191"/>
      <x:c r="G287" s="191"/>
      <x:c r="H287" s="191"/>
      <x:c r="I287" s="191"/>
      <x:c r="J287" s="191"/>
      <x:c r="K287" s="191"/>
      <x:c r="L287" s="191"/>
      <x:c r="M287" s="191"/>
      <x:c r="N287" s="191"/>
      <x:c r="O287" s="191"/>
      <x:c r="P287" s="191"/>
      <x:c r="Q287" s="191"/>
      <x:c r="R287" s="191"/>
      <x:c r="S287" s="191"/>
      <x:c r="T287" s="191"/>
      <x:c r="U287" s="191"/>
      <x:c r="V287" s="191"/>
      <x:c r="W287" s="191"/>
      <x:c r="X287" s="191"/>
      <x:c r="Y287" s="191"/>
      <x:c r="Z287" s="191"/>
      <x:c r="AA287" s="191"/>
      <x:c r="AB287" s="191"/>
      <x:c r="AC287" s="191"/>
      <x:c r="AD287" s="191"/>
      <x:c r="AE287" s="191"/>
      <x:c r="AF287" s="191"/>
      <x:c r="AG287" s="191"/>
      <x:c r="AH287" s="191"/>
      <x:c r="AI287" s="191"/>
      <x:c r="AJ287" s="191"/>
      <x:c r="AK287" s="191"/>
    </x:row>
    <x:row r="288">
      <x:c r="A288" s="191"/>
      <x:c r="B288" s="191"/>
      <x:c r="C288" s="191"/>
      <x:c r="D288" s="191"/>
      <x:c r="E288" s="191"/>
      <x:c r="F288" s="191"/>
      <x:c r="G288" s="191"/>
      <x:c r="H288" s="191"/>
      <x:c r="I288" s="191"/>
      <x:c r="J288" s="191"/>
      <x:c r="K288" s="191"/>
      <x:c r="L288" s="191"/>
      <x:c r="M288" s="191"/>
      <x:c r="N288" s="191"/>
      <x:c r="O288" s="191"/>
      <x:c r="P288" s="191"/>
      <x:c r="Q288" s="191"/>
      <x:c r="R288" s="191"/>
      <x:c r="S288" s="191"/>
      <x:c r="T288" s="191"/>
      <x:c r="U288" s="191"/>
      <x:c r="V288" s="191"/>
      <x:c r="W288" s="191"/>
      <x:c r="X288" s="191"/>
      <x:c r="Y288" s="191"/>
      <x:c r="Z288" s="191"/>
      <x:c r="AA288" s="191"/>
      <x:c r="AB288" s="191"/>
      <x:c r="AC288" s="191"/>
      <x:c r="AD288" s="191"/>
      <x:c r="AE288" s="191"/>
      <x:c r="AF288" s="191"/>
      <x:c r="AG288" s="191"/>
      <x:c r="AH288" s="191"/>
      <x:c r="AI288" s="191"/>
      <x:c r="AJ288" s="191"/>
      <x:c r="AK288" s="191"/>
    </x:row>
    <x:row r="289">
      <x:c r="A289" s="191"/>
      <x:c r="B289" s="191"/>
      <x:c r="C289" s="191"/>
      <x:c r="D289" s="191"/>
      <x:c r="E289" s="191"/>
      <x:c r="F289" s="191"/>
      <x:c r="G289" s="191"/>
      <x:c r="H289" s="191"/>
      <x:c r="I289" s="191"/>
      <x:c r="J289" s="191"/>
      <x:c r="K289" s="191"/>
      <x:c r="L289" s="191"/>
      <x:c r="M289" s="191"/>
      <x:c r="N289" s="191"/>
      <x:c r="O289" s="191"/>
      <x:c r="P289" s="191"/>
      <x:c r="Q289" s="191"/>
      <x:c r="R289" s="191"/>
      <x:c r="S289" s="191"/>
      <x:c r="T289" s="191"/>
      <x:c r="U289" s="191"/>
      <x:c r="V289" s="191"/>
      <x:c r="W289" s="191"/>
      <x:c r="X289" s="191"/>
      <x:c r="Y289" s="191"/>
      <x:c r="Z289" s="191"/>
      <x:c r="AA289" s="191"/>
      <x:c r="AB289" s="191"/>
      <x:c r="AC289" s="191"/>
      <x:c r="AD289" s="191"/>
      <x:c r="AE289" s="191"/>
      <x:c r="AF289" s="191"/>
      <x:c r="AG289" s="191"/>
      <x:c r="AH289" s="191"/>
      <x:c r="AI289" s="191"/>
      <x:c r="AJ289" s="191"/>
      <x:c r="AK289" s="191"/>
    </x:row>
    <x:row r="290">
      <x:c r="A290" s="191"/>
      <x:c r="B290" s="191"/>
      <x:c r="C290" s="191"/>
      <x:c r="D290" s="191"/>
      <x:c r="E290" s="191"/>
      <x:c r="F290" s="191"/>
      <x:c r="G290" s="191"/>
      <x:c r="H290" s="191"/>
      <x:c r="I290" s="191"/>
      <x:c r="J290" s="191"/>
      <x:c r="K290" s="191"/>
      <x:c r="L290" s="191"/>
      <x:c r="M290" s="191"/>
      <x:c r="N290" s="191"/>
      <x:c r="O290" s="191"/>
      <x:c r="P290" s="191"/>
      <x:c r="Q290" s="191"/>
      <x:c r="R290" s="191"/>
      <x:c r="S290" s="191"/>
      <x:c r="T290" s="191"/>
      <x:c r="U290" s="191"/>
      <x:c r="V290" s="191"/>
      <x:c r="W290" s="191"/>
      <x:c r="X290" s="191"/>
      <x:c r="Y290" s="191"/>
      <x:c r="Z290" s="191"/>
      <x:c r="AA290" s="191"/>
      <x:c r="AB290" s="191"/>
      <x:c r="AC290" s="191"/>
      <x:c r="AD290" s="191"/>
      <x:c r="AE290" s="191"/>
      <x:c r="AF290" s="191"/>
      <x:c r="AG290" s="191"/>
      <x:c r="AH290" s="191"/>
      <x:c r="AI290" s="191"/>
      <x:c r="AJ290" s="191"/>
      <x:c r="AK290" s="191"/>
    </x:row>
    <x:row r="291">
      <x:c r="A291" s="191"/>
      <x:c r="B291" s="191"/>
      <x:c r="C291" s="191"/>
      <x:c r="D291" s="191"/>
      <x:c r="E291" s="191"/>
      <x:c r="F291" s="191"/>
      <x:c r="G291" s="191"/>
      <x:c r="H291" s="191"/>
      <x:c r="I291" s="191"/>
      <x:c r="J291" s="191"/>
      <x:c r="K291" s="191"/>
      <x:c r="L291" s="191"/>
      <x:c r="M291" s="191"/>
      <x:c r="N291" s="191"/>
      <x:c r="O291" s="191"/>
      <x:c r="P291" s="191"/>
      <x:c r="Q291" s="191"/>
      <x:c r="R291" s="191"/>
      <x:c r="S291" s="191"/>
      <x:c r="T291" s="191"/>
      <x:c r="U291" s="191"/>
      <x:c r="V291" s="191"/>
      <x:c r="W291" s="191"/>
      <x:c r="X291" s="191"/>
      <x:c r="Y291" s="191"/>
      <x:c r="Z291" s="191"/>
      <x:c r="AA291" s="191"/>
      <x:c r="AB291" s="191"/>
      <x:c r="AC291" s="191"/>
      <x:c r="AD291" s="191"/>
      <x:c r="AE291" s="191"/>
      <x:c r="AF291" s="191"/>
      <x:c r="AG291" s="191"/>
      <x:c r="AH291" s="191"/>
      <x:c r="AI291" s="191"/>
      <x:c r="AJ291" s="191"/>
      <x:c r="AK291" s="191"/>
    </x:row>
    <x:row r="292">
      <x:c r="A292" s="191"/>
      <x:c r="B292" s="191"/>
      <x:c r="C292" s="191"/>
      <x:c r="D292" s="191"/>
      <x:c r="E292" s="191"/>
      <x:c r="F292" s="191"/>
      <x:c r="G292" s="191"/>
      <x:c r="H292" s="191"/>
      <x:c r="I292" s="191"/>
      <x:c r="J292" s="191"/>
      <x:c r="K292" s="191"/>
      <x:c r="L292" s="191"/>
      <x:c r="M292" s="191"/>
      <x:c r="N292" s="191"/>
      <x:c r="O292" s="191"/>
      <x:c r="P292" s="191"/>
      <x:c r="Q292" s="191"/>
      <x:c r="R292" s="191"/>
      <x:c r="S292" s="191"/>
      <x:c r="T292" s="191"/>
      <x:c r="U292" s="191"/>
      <x:c r="V292" s="191"/>
      <x:c r="W292" s="191"/>
      <x:c r="X292" s="191"/>
      <x:c r="Y292" s="191"/>
      <x:c r="Z292" s="191"/>
      <x:c r="AA292" s="191"/>
      <x:c r="AB292" s="191"/>
      <x:c r="AC292" s="191"/>
      <x:c r="AD292" s="191"/>
      <x:c r="AE292" s="191"/>
      <x:c r="AF292" s="191"/>
      <x:c r="AG292" s="191"/>
      <x:c r="AH292" s="191"/>
      <x:c r="AI292" s="191"/>
      <x:c r="AJ292" s="191"/>
      <x:c r="AK292" s="191"/>
    </x:row>
    <x:row r="293">
      <x:c r="A293" s="191"/>
      <x:c r="B293" s="191"/>
      <x:c r="C293" s="191"/>
      <x:c r="D293" s="191"/>
      <x:c r="E293" s="191"/>
      <x:c r="F293" s="191"/>
      <x:c r="G293" s="191"/>
      <x:c r="H293" s="191"/>
      <x:c r="I293" s="191"/>
      <x:c r="J293" s="191"/>
      <x:c r="K293" s="191"/>
      <x:c r="L293" s="191"/>
      <x:c r="M293" s="191"/>
      <x:c r="N293" s="191"/>
      <x:c r="O293" s="191"/>
      <x:c r="P293" s="191"/>
      <x:c r="Q293" s="191"/>
      <x:c r="R293" s="191"/>
      <x:c r="S293" s="191"/>
      <x:c r="T293" s="191"/>
      <x:c r="U293" s="191"/>
      <x:c r="V293" s="191"/>
      <x:c r="W293" s="191"/>
      <x:c r="X293" s="191"/>
      <x:c r="Y293" s="191"/>
      <x:c r="Z293" s="191"/>
      <x:c r="AA293" s="191"/>
      <x:c r="AB293" s="191"/>
      <x:c r="AC293" s="191"/>
      <x:c r="AD293" s="191"/>
      <x:c r="AE293" s="191"/>
      <x:c r="AF293" s="191"/>
      <x:c r="AG293" s="191"/>
      <x:c r="AH293" s="191"/>
      <x:c r="AI293" s="191"/>
      <x:c r="AJ293" s="191"/>
      <x:c r="AK293" s="191"/>
    </x:row>
    <x:row r="294">
      <x:c r="A294" s="191"/>
      <x:c r="B294" s="191"/>
      <x:c r="C294" s="191"/>
      <x:c r="D294" s="191"/>
      <x:c r="E294" s="191"/>
      <x:c r="F294" s="191"/>
      <x:c r="G294" s="191"/>
      <x:c r="H294" s="191"/>
      <x:c r="I294" s="191"/>
      <x:c r="J294" s="191"/>
      <x:c r="K294" s="191"/>
      <x:c r="L294" s="191"/>
      <x:c r="M294" s="191"/>
      <x:c r="N294" s="191"/>
      <x:c r="O294" s="191"/>
      <x:c r="P294" s="191"/>
      <x:c r="Q294" s="191"/>
      <x:c r="R294" s="191"/>
      <x:c r="S294" s="191"/>
      <x:c r="T294" s="191"/>
      <x:c r="U294" s="191"/>
      <x:c r="V294" s="191"/>
      <x:c r="W294" s="191"/>
      <x:c r="X294" s="191"/>
      <x:c r="Y294" s="191"/>
      <x:c r="Z294" s="191"/>
      <x:c r="AA294" s="191"/>
      <x:c r="AB294" s="191"/>
      <x:c r="AC294" s="191"/>
      <x:c r="AD294" s="191"/>
      <x:c r="AE294" s="191"/>
      <x:c r="AF294" s="191"/>
      <x:c r="AG294" s="191"/>
      <x:c r="AH294" s="191"/>
      <x:c r="AI294" s="191"/>
      <x:c r="AJ294" s="191"/>
      <x:c r="AK294" s="191"/>
    </x:row>
    <x:row r="295">
      <x:c r="A295" s="191"/>
      <x:c r="B295" s="191"/>
      <x:c r="C295" s="191"/>
      <x:c r="D295" s="191"/>
      <x:c r="E295" s="191"/>
      <x:c r="F295" s="191"/>
      <x:c r="G295" s="191"/>
      <x:c r="H295" s="191"/>
      <x:c r="I295" s="191"/>
      <x:c r="J295" s="191"/>
      <x:c r="K295" s="191"/>
      <x:c r="L295" s="191"/>
      <x:c r="M295" s="191"/>
      <x:c r="N295" s="191"/>
      <x:c r="O295" s="191"/>
      <x:c r="P295" s="191"/>
      <x:c r="Q295" s="191"/>
      <x:c r="R295" s="191"/>
      <x:c r="S295" s="191"/>
      <x:c r="T295" s="191"/>
      <x:c r="U295" s="191"/>
      <x:c r="V295" s="191"/>
      <x:c r="W295" s="191"/>
      <x:c r="X295" s="191"/>
      <x:c r="Y295" s="191"/>
      <x:c r="Z295" s="191"/>
      <x:c r="AA295" s="191"/>
      <x:c r="AB295" s="191"/>
      <x:c r="AC295" s="191"/>
      <x:c r="AD295" s="191"/>
      <x:c r="AE295" s="191"/>
      <x:c r="AF295" s="191"/>
      <x:c r="AG295" s="191"/>
      <x:c r="AH295" s="191"/>
      <x:c r="AI295" s="191"/>
      <x:c r="AJ295" s="191"/>
      <x:c r="AK295" s="191"/>
    </x:row>
    <x:row r="296">
      <x:c r="A296" s="191"/>
      <x:c r="B296" s="191"/>
      <x:c r="C296" s="191"/>
      <x:c r="D296" s="191"/>
      <x:c r="E296" s="191"/>
      <x:c r="F296" s="191"/>
      <x:c r="G296" s="191"/>
      <x:c r="H296" s="191"/>
      <x:c r="I296" s="191"/>
      <x:c r="J296" s="191"/>
      <x:c r="K296" s="191"/>
      <x:c r="L296" s="191"/>
      <x:c r="M296" s="191"/>
      <x:c r="N296" s="191"/>
      <x:c r="O296" s="191"/>
      <x:c r="P296" s="191"/>
      <x:c r="Q296" s="191"/>
      <x:c r="R296" s="191"/>
      <x:c r="S296" s="191"/>
      <x:c r="T296" s="191"/>
      <x:c r="U296" s="191"/>
      <x:c r="V296" s="191"/>
      <x:c r="W296" s="191"/>
      <x:c r="X296" s="191"/>
      <x:c r="Y296" s="191"/>
      <x:c r="Z296" s="191"/>
      <x:c r="AA296" s="191"/>
      <x:c r="AB296" s="191"/>
      <x:c r="AC296" s="191"/>
      <x:c r="AD296" s="191"/>
      <x:c r="AE296" s="191"/>
      <x:c r="AF296" s="191"/>
      <x:c r="AG296" s="191"/>
      <x:c r="AH296" s="191"/>
      <x:c r="AI296" s="191"/>
      <x:c r="AJ296" s="191"/>
      <x:c r="AK296" s="191"/>
    </x:row>
    <x:row r="297">
      <x:c r="A297" s="191"/>
      <x:c r="B297" s="191"/>
      <x:c r="C297" s="191"/>
      <x:c r="D297" s="191"/>
      <x:c r="E297" s="191"/>
      <x:c r="F297" s="191"/>
      <x:c r="G297" s="191"/>
      <x:c r="H297" s="191"/>
      <x:c r="I297" s="191"/>
      <x:c r="J297" s="191"/>
      <x:c r="K297" s="191"/>
      <x:c r="L297" s="191"/>
      <x:c r="M297" s="191"/>
      <x:c r="N297" s="191"/>
      <x:c r="O297" s="191"/>
      <x:c r="P297" s="191"/>
      <x:c r="Q297" s="191"/>
      <x:c r="R297" s="191"/>
      <x:c r="S297" s="191"/>
      <x:c r="T297" s="191"/>
      <x:c r="U297" s="191"/>
      <x:c r="V297" s="191"/>
      <x:c r="W297" s="191"/>
      <x:c r="X297" s="191"/>
      <x:c r="Y297" s="191"/>
      <x:c r="Z297" s="191"/>
      <x:c r="AA297" s="191"/>
      <x:c r="AB297" s="191"/>
      <x:c r="AC297" s="191"/>
      <x:c r="AD297" s="191"/>
      <x:c r="AE297" s="191"/>
      <x:c r="AF297" s="191"/>
      <x:c r="AG297" s="191"/>
      <x:c r="AH297" s="191"/>
      <x:c r="AI297" s="191"/>
      <x:c r="AJ297" s="191"/>
      <x:c r="AK297" s="191"/>
    </x:row>
    <x:row r="298">
      <x:c r="A298" s="191"/>
      <x:c r="B298" s="191"/>
      <x:c r="C298" s="191"/>
      <x:c r="D298" s="191"/>
      <x:c r="E298" s="191"/>
      <x:c r="F298" s="191"/>
      <x:c r="G298" s="191"/>
      <x:c r="H298" s="191"/>
      <x:c r="I298" s="191"/>
      <x:c r="J298" s="191"/>
      <x:c r="K298" s="191"/>
      <x:c r="L298" s="191"/>
      <x:c r="M298" s="191"/>
      <x:c r="N298" s="191"/>
      <x:c r="O298" s="191"/>
      <x:c r="P298" s="191"/>
      <x:c r="Q298" s="191"/>
      <x:c r="R298" s="191"/>
      <x:c r="S298" s="191"/>
      <x:c r="T298" s="191"/>
      <x:c r="U298" s="191"/>
      <x:c r="V298" s="191"/>
      <x:c r="W298" s="191"/>
      <x:c r="X298" s="191"/>
      <x:c r="Y298" s="191"/>
      <x:c r="Z298" s="191"/>
      <x:c r="AA298" s="191"/>
      <x:c r="AB298" s="191"/>
      <x:c r="AC298" s="191"/>
      <x:c r="AD298" s="191"/>
      <x:c r="AE298" s="191"/>
      <x:c r="AF298" s="191"/>
      <x:c r="AG298" s="191"/>
      <x:c r="AH298" s="191"/>
      <x:c r="AI298" s="191"/>
      <x:c r="AJ298" s="191"/>
      <x:c r="AK298" s="191"/>
    </x:row>
    <x:row r="299">
      <x:c r="A299" s="191"/>
      <x:c r="B299" s="191"/>
      <x:c r="C299" s="191"/>
      <x:c r="D299" s="191"/>
      <x:c r="E299" s="191"/>
      <x:c r="F299" s="191"/>
      <x:c r="G299" s="191"/>
      <x:c r="H299" s="191"/>
      <x:c r="I299" s="191"/>
      <x:c r="J299" s="191"/>
      <x:c r="K299" s="191"/>
      <x:c r="L299" s="191"/>
      <x:c r="M299" s="191"/>
      <x:c r="N299" s="191"/>
      <x:c r="O299" s="191"/>
      <x:c r="P299" s="191"/>
      <x:c r="Q299" s="191"/>
      <x:c r="R299" s="191"/>
      <x:c r="S299" s="191"/>
      <x:c r="T299" s="191"/>
      <x:c r="U299" s="191"/>
      <x:c r="V299" s="191"/>
      <x:c r="W299" s="191"/>
      <x:c r="X299" s="191"/>
      <x:c r="Y299" s="191"/>
      <x:c r="Z299" s="191"/>
      <x:c r="AA299" s="191"/>
      <x:c r="AB299" s="191"/>
      <x:c r="AC299" s="191"/>
      <x:c r="AD299" s="191"/>
      <x:c r="AE299" s="191"/>
      <x:c r="AF299" s="191"/>
      <x:c r="AG299" s="191"/>
      <x:c r="AH299" s="191"/>
      <x:c r="AI299" s="191"/>
      <x:c r="AJ299" s="191"/>
      <x:c r="AK299" s="191"/>
    </x:row>
    <x:row r="300">
      <x:c r="A300" s="191"/>
      <x:c r="B300" s="191"/>
      <x:c r="C300" s="191"/>
      <x:c r="D300" s="191"/>
      <x:c r="E300" s="191"/>
      <x:c r="F300" s="191"/>
      <x:c r="G300" s="191"/>
      <x:c r="H300" s="191"/>
      <x:c r="I300" s="191"/>
      <x:c r="J300" s="191"/>
      <x:c r="K300" s="191"/>
      <x:c r="L300" s="191"/>
      <x:c r="M300" s="191"/>
      <x:c r="N300" s="191"/>
      <x:c r="O300" s="191"/>
      <x:c r="P300" s="191"/>
      <x:c r="Q300" s="191"/>
      <x:c r="R300" s="191"/>
      <x:c r="S300" s="191"/>
      <x:c r="T300" s="191"/>
      <x:c r="U300" s="191"/>
      <x:c r="V300" s="191"/>
      <x:c r="W300" s="191"/>
      <x:c r="X300" s="191"/>
      <x:c r="Y300" s="191"/>
      <x:c r="Z300" s="191"/>
      <x:c r="AA300" s="191"/>
      <x:c r="AB300" s="191"/>
      <x:c r="AC300" s="191"/>
      <x:c r="AD300" s="191"/>
      <x:c r="AE300" s="191"/>
      <x:c r="AF300" s="191"/>
      <x:c r="AG300" s="191"/>
      <x:c r="AH300" s="191"/>
      <x:c r="AI300" s="191"/>
      <x:c r="AJ300" s="191"/>
      <x:c r="AK300" s="191"/>
    </x:row>
  </x:sheetData>
  <x:mergeCells>
    <x:mergeCell ref="A1:Q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8" hidden="0" customWidth="1"/>
    <x:col min="4" max="4" width="12" hidden="0" customWidth="1"/>
    <x:col min="5" max="5" width="23" hidden="0" customWidth="1"/>
    <x:col min="6" max="6" width="11" hidden="0" customWidth="1"/>
    <x:col min="7" max="7" width="52" hidden="0" customWidth="1"/>
    <x:col min="8" max="8" width="23" hidden="0" customWidth="1"/>
    <x:col min="9" max="9" width="25" hidden="0" customWidth="1"/>
    <x:col min="10" max="10" width="10" hidden="0" customWidth="1"/>
  </x:cols>
  <x:sheetData>
    <x:row r="1" ht="28" customHeight="1">
      <x:c r="A1" s="5" t="str">
        <x:v>Sequential Curve Object Construction Using gxlCurveDiscShift</x:v>
      </x:c>
      <x:c r="B1" s="5"/>
      <x:c r="C1" s="5"/>
      <x:c r="D1" s="5"/>
      <x:c r="E1" s="5"/>
      <x:c r="F1" s="5"/>
      <x:c r="G1" s="5"/>
      <x:c r="H1" s="5"/>
      <x:c r="I1" s="5"/>
      <x:c r="J1" s="5"/>
      <x:c r="K1" s="191"/>
      <x:c r="L1" s="191"/>
      <x:c r="M1" s="191"/>
      <x:c r="N1" s="191"/>
      <x:c r="O1" s="191"/>
      <x:c r="P1" s="191"/>
      <x:c r="Q1" s="191"/>
      <x:c r="R1" s="191"/>
      <x:c r="S1" s="191"/>
      <x:c r="T1" s="191"/>
      <x:c r="U1" s="191"/>
      <x:c r="V1" s="191"/>
      <x:c r="W1" s="191"/>
      <x:c r="X1" s="191"/>
      <x:c r="Y1" s="191"/>
      <x:c r="Z1" s="191"/>
      <x:c r="AA1" s="191"/>
      <x:c r="AB1" s="191"/>
      <x:c r="AC1" s="191"/>
      <x:c r="AD1" s="191"/>
      <x:c r="AE1" s="191"/>
      <x:c r="AF1" s="191"/>
      <x:c r="AG1" s="191"/>
      <x:c r="AH1" s="191"/>
      <x:c r="AI1" s="191"/>
      <x:c r="AJ1" s="191"/>
      <x:c r="AK1" s="191"/>
    </x:row>
    <x:row r="2">
      <x:c r="A2" s="191"/>
      <x:c r="B2" s="191"/>
      <x:c r="C2" s="191"/>
      <x:c r="D2" s="191"/>
      <x:c r="E2" s="191"/>
      <x:c r="F2" s="191"/>
      <x:c r="G2" s="191"/>
      <x:c r="H2" s="191"/>
      <x:c r="I2" s="191"/>
      <x:c r="J2" s="191"/>
      <x:c r="K2" s="191"/>
      <x:c r="L2" s="191"/>
      <x:c r="M2" s="191"/>
      <x:c r="N2" s="191"/>
      <x:c r="O2" s="191"/>
      <x:c r="P2" s="191"/>
      <x:c r="Q2" s="191"/>
      <x:c r="R2" s="191"/>
      <x:c r="S2" s="191"/>
      <x:c r="T2" s="191"/>
      <x:c r="U2" s="191"/>
      <x:c r="V2" s="191"/>
      <x:c r="W2" s="191"/>
      <x:c r="X2" s="191"/>
      <x:c r="Y2" s="191"/>
      <x:c r="Z2" s="191"/>
      <x:c r="AA2" s="191"/>
      <x:c r="AB2" s="191"/>
      <x:c r="AC2" s="191"/>
      <x:c r="AD2" s="191"/>
      <x:c r="AE2" s="191"/>
      <x:c r="AF2" s="191"/>
      <x:c r="AG2" s="191"/>
      <x:c r="AH2" s="191"/>
      <x:c r="AI2" s="191"/>
      <x:c r="AJ2" s="191"/>
      <x:c r="AK2" s="191"/>
    </x:row>
    <x:row r="3">
      <x:c r="A3" s="45" t="str">
        <x:v>Curve</x:v>
      </x:c>
      <x:c r="B3" s="45" t="str">
        <x:v>Risk Class</x:v>
      </x:c>
      <x:c r="C3" s="45" t="str">
        <x:v>Step</x:v>
      </x:c>
      <x:c r="D3" s="45" t="str">
        <x:v>Node Added</x:v>
      </x:c>
      <x:c r="E3" s="45" t="str">
        <x:v>Prior Curve Object</x:v>
      </x:c>
      <x:c r="F3" s="45" t="str">
        <x:v>Shock (bp)</x:v>
      </x:c>
      <x:c r="G3" s="45" t="str">
        <x:v>UDF Call (Illustrative Text)</x:v>
      </x:c>
      <x:c r="H3" s="45" t="str">
        <x:v>Output Curve Object</x:v>
      </x:c>
      <x:c r="I3" s="45" t="str">
        <x:v>Curve State Used in Reval</x:v>
      </x:c>
      <x:c r="J3" s="45" t="str">
        <x:v>Final?</x:v>
      </x:c>
      <x:c r="K3" s="191"/>
      <x:c r="L3" s="191"/>
      <x:c r="M3" s="191"/>
      <x:c r="N3" s="191"/>
      <x:c r="O3" s="191"/>
      <x:c r="P3" s="191"/>
      <x:c r="Q3" s="191"/>
      <x:c r="R3" s="191"/>
      <x:c r="S3" s="191"/>
      <x:c r="T3" s="191"/>
      <x:c r="U3" s="191"/>
      <x:c r="V3" s="191"/>
      <x:c r="W3" s="191"/>
      <x:c r="X3" s="191"/>
      <x:c r="Y3" s="191"/>
      <x:c r="Z3" s="191"/>
      <x:c r="AA3" s="191"/>
      <x:c r="AB3" s="191"/>
      <x:c r="AC3" s="191"/>
      <x:c r="AD3" s="191"/>
      <x:c r="AE3" s="191"/>
      <x:c r="AF3" s="191"/>
      <x:c r="AG3" s="191"/>
      <x:c r="AH3" s="191"/>
      <x:c r="AI3" s="191"/>
      <x:c r="AJ3" s="191"/>
      <x:c r="AK3" s="191"/>
    </x:row>
    <x:row r="4">
      <x:c r="A4" s="219" t="str">
        <x:v>Agency_FNMA</x:v>
      </x:c>
      <x:c r="B4" s="219" t="str">
        <x:v>Credit</x:v>
      </x:c>
      <x:c r="C4" s="219" t="n">
        <x:v>0</x:v>
      </x:c>
      <x:c r="D4" s="219" t="str">
        <x:v>Base</x:v>
      </x:c>
      <x:c r="E4" s="219" t="str">
        <x:v>—</x:v>
      </x:c>
      <x:c r="F4" s="220" t="n">
        <x:v>0</x:v>
      </x:c>
      <x:c r="G4" s="219" t="str">
        <x:v>Base curve object pulled for valuation date</x:v>
      </x:c>
      <x:c r="H4" s="219" t="str">
        <x:v>Base_Agency_FNMA</x:v>
      </x:c>
      <x:c r="I4" s="219" t="str">
        <x:v>Base_Agency_FNMA</x:v>
      </x:c>
      <x:c r="J4" s="219" t="str">
        <x:v>No</x:v>
      </x:c>
      <x:c r="K4" s="191"/>
      <x:c r="L4" s="191"/>
      <x:c r="M4" s="191"/>
      <x:c r="N4" s="191"/>
      <x:c r="O4" s="191"/>
      <x:c r="P4" s="191"/>
      <x:c r="Q4" s="191"/>
      <x:c r="R4" s="191"/>
      <x:c r="S4" s="191"/>
      <x:c r="T4" s="191"/>
      <x:c r="U4" s="191"/>
      <x:c r="V4" s="191"/>
      <x:c r="W4" s="191"/>
      <x:c r="X4" s="191"/>
      <x:c r="Y4" s="191"/>
      <x:c r="Z4" s="191"/>
      <x:c r="AA4" s="191"/>
      <x:c r="AB4" s="191"/>
      <x:c r="AC4" s="191"/>
      <x:c r="AD4" s="191"/>
      <x:c r="AE4" s="191"/>
      <x:c r="AF4" s="191"/>
      <x:c r="AG4" s="191"/>
      <x:c r="AH4" s="191"/>
      <x:c r="AI4" s="191"/>
      <x:c r="AJ4" s="191"/>
      <x:c r="AK4" s="191"/>
    </x:row>
    <x:row r="5">
      <x:c r="A5" s="221" t="str">
        <x:v>Agency_FNMA</x:v>
      </x:c>
      <x:c r="B5" s="221" t="str">
        <x:v>Credit</x:v>
      </x:c>
      <x:c r="C5" s="221" t="n">
        <x:v>1</x:v>
      </x:c>
      <x:c r="D5" s="221" t="str">
        <x:v>3M</x:v>
      </x:c>
      <x:c r="E5" s="221" t="str">
        <x:v>Base_Agency_FNMA</x:v>
      </x:c>
      <x:c r="F5" s="222" t="n">
        <x:v>40</x:v>
      </x:c>
      <x:c r="G5" s="223" t="str">
        <x:v>=gxlCurveDiscShift(Base_Agency_FNMA, "3M", 40)</x:v>
      </x:c>
      <x:c r="H5" s="224" t="str">
        <x:v>Agency_FNMA_Step01</x:v>
      </x:c>
      <x:c r="I5" s="224" t="str">
        <x:v>Agency_FNMA_Step01</x:v>
      </x:c>
      <x:c r="J5" s="192" t="str">
        <x:v>No</x:v>
      </x:c>
      <x:c r="K5" s="191"/>
      <x:c r="L5" s="191"/>
      <x:c r="M5" s="191"/>
      <x:c r="N5" s="191"/>
      <x:c r="O5" s="191"/>
      <x:c r="P5" s="191"/>
      <x:c r="Q5" s="191"/>
      <x:c r="R5" s="191"/>
      <x:c r="S5" s="191"/>
      <x:c r="T5" s="191"/>
      <x:c r="U5" s="191"/>
      <x:c r="V5" s="191"/>
      <x:c r="W5" s="191"/>
      <x:c r="X5" s="191"/>
      <x:c r="Y5" s="191"/>
      <x:c r="Z5" s="191"/>
      <x:c r="AA5" s="191"/>
      <x:c r="AB5" s="191"/>
      <x:c r="AC5" s="191"/>
      <x:c r="AD5" s="191"/>
      <x:c r="AE5" s="191"/>
      <x:c r="AF5" s="191"/>
      <x:c r="AG5" s="191"/>
      <x:c r="AH5" s="191"/>
      <x:c r="AI5" s="191"/>
      <x:c r="AJ5" s="191"/>
      <x:c r="AK5" s="191"/>
    </x:row>
    <x:row r="6">
      <x:c r="A6" s="221" t="str">
        <x:v>Agency_FNMA</x:v>
      </x:c>
      <x:c r="B6" s="221" t="str">
        <x:v>Credit</x:v>
      </x:c>
      <x:c r="C6" s="221" t="n">
        <x:v>2</x:v>
      </x:c>
      <x:c r="D6" s="221" t="str">
        <x:v>6M</x:v>
      </x:c>
      <x:c r="E6" s="221" t="str">
        <x:v>Agency_FNMA_Step01</x:v>
      </x:c>
      <x:c r="F6" s="222" t="n">
        <x:v>65</x:v>
      </x:c>
      <x:c r="G6" s="223" t="str">
        <x:v>=gxlCurveDiscShift(Agency_FNMA_Step01, "6M", 65)</x:v>
      </x:c>
      <x:c r="H6" s="224" t="str">
        <x:v>Agency_FNMA_Step02</x:v>
      </x:c>
      <x:c r="I6" s="224" t="str">
        <x:v>Agency_FNMA_Step02</x:v>
      </x:c>
      <x:c r="J6" s="192" t="str">
        <x:v>No</x:v>
      </x:c>
      <x:c r="K6" s="191"/>
      <x:c r="L6" s="191"/>
      <x:c r="M6" s="191"/>
      <x:c r="N6" s="191"/>
      <x:c r="O6" s="191"/>
      <x:c r="P6" s="191"/>
      <x:c r="Q6" s="191"/>
      <x:c r="R6" s="191"/>
      <x:c r="S6" s="191"/>
      <x:c r="T6" s="191"/>
      <x:c r="U6" s="191"/>
      <x:c r="V6" s="191"/>
      <x:c r="W6" s="191"/>
      <x:c r="X6" s="191"/>
      <x:c r="Y6" s="191"/>
      <x:c r="Z6" s="191"/>
      <x:c r="AA6" s="191"/>
      <x:c r="AB6" s="191"/>
      <x:c r="AC6" s="191"/>
      <x:c r="AD6" s="191"/>
      <x:c r="AE6" s="191"/>
      <x:c r="AF6" s="191"/>
      <x:c r="AG6" s="191"/>
      <x:c r="AH6" s="191"/>
      <x:c r="AI6" s="191"/>
      <x:c r="AJ6" s="191"/>
      <x:c r="AK6" s="191"/>
    </x:row>
    <x:row r="7">
      <x:c r="A7" s="221" t="str">
        <x:v>Agency_FNMA</x:v>
      </x:c>
      <x:c r="B7" s="221" t="str">
        <x:v>Credit</x:v>
      </x:c>
      <x:c r="C7" s="221" t="n">
        <x:v>3</x:v>
      </x:c>
      <x:c r="D7" s="221" t="str">
        <x:v>1Y</x:v>
      </x:c>
      <x:c r="E7" s="221" t="str">
        <x:v>Agency_FNMA_Step02</x:v>
      </x:c>
      <x:c r="F7" s="222" t="n">
        <x:v>90</x:v>
      </x:c>
      <x:c r="G7" s="223" t="str">
        <x:v>=gxlCurveDiscShift(Agency_FNMA_Step02, "1Y", 90)</x:v>
      </x:c>
      <x:c r="H7" s="224" t="str">
        <x:v>Agency_FNMA_Step03</x:v>
      </x:c>
      <x:c r="I7" s="224" t="str">
        <x:v>Agency_FNMA_Step03</x:v>
      </x:c>
      <x:c r="J7" s="192" t="str">
        <x:v>No</x:v>
      </x:c>
      <x:c r="K7" s="191"/>
      <x:c r="L7" s="191"/>
      <x:c r="M7" s="191"/>
      <x:c r="N7" s="191"/>
      <x:c r="O7" s="191"/>
      <x:c r="P7" s="191"/>
      <x:c r="Q7" s="191"/>
      <x:c r="R7" s="191"/>
      <x:c r="S7" s="191"/>
      <x:c r="T7" s="191"/>
      <x:c r="U7" s="191"/>
      <x:c r="V7" s="191"/>
      <x:c r="W7" s="191"/>
      <x:c r="X7" s="191"/>
      <x:c r="Y7" s="191"/>
      <x:c r="Z7" s="191"/>
      <x:c r="AA7" s="191"/>
      <x:c r="AB7" s="191"/>
      <x:c r="AC7" s="191"/>
      <x:c r="AD7" s="191"/>
      <x:c r="AE7" s="191"/>
      <x:c r="AF7" s="191"/>
      <x:c r="AG7" s="191"/>
      <x:c r="AH7" s="191"/>
      <x:c r="AI7" s="191"/>
      <x:c r="AJ7" s="191"/>
      <x:c r="AK7" s="191"/>
    </x:row>
    <x:row r="8">
      <x:c r="A8" s="221" t="str">
        <x:v>Agency_FNMA</x:v>
      </x:c>
      <x:c r="B8" s="221" t="str">
        <x:v>Credit</x:v>
      </x:c>
      <x:c r="C8" s="221" t="n">
        <x:v>4</x:v>
      </x:c>
      <x:c r="D8" s="221" t="str">
        <x:v>2Y</x:v>
      </x:c>
      <x:c r="E8" s="221" t="str">
        <x:v>Agency_FNMA_Step03</x:v>
      </x:c>
      <x:c r="F8" s="222" t="n">
        <x:v>130</x:v>
      </x:c>
      <x:c r="G8" s="223" t="str">
        <x:v>=gxlCurveDiscShift(Agency_FNMA_Step03, "2Y", 130)</x:v>
      </x:c>
      <x:c r="H8" s="224" t="str">
        <x:v>Agency_FNMA_Step04</x:v>
      </x:c>
      <x:c r="I8" s="224" t="str">
        <x:v>Agency_FNMA_Step04</x:v>
      </x:c>
      <x:c r="J8" s="192" t="str">
        <x:v>No</x:v>
      </x:c>
      <x:c r="K8" s="191"/>
      <x:c r="L8" s="191"/>
      <x:c r="M8" s="191"/>
      <x:c r="N8" s="191"/>
      <x:c r="O8" s="191"/>
      <x:c r="P8" s="191"/>
      <x:c r="Q8" s="191"/>
      <x:c r="R8" s="191"/>
      <x:c r="S8" s="191"/>
      <x:c r="T8" s="191"/>
      <x:c r="U8" s="191"/>
      <x:c r="V8" s="191"/>
      <x:c r="W8" s="191"/>
      <x:c r="X8" s="191"/>
      <x:c r="Y8" s="191"/>
      <x:c r="Z8" s="191"/>
      <x:c r="AA8" s="191"/>
      <x:c r="AB8" s="191"/>
      <x:c r="AC8" s="191"/>
      <x:c r="AD8" s="191"/>
      <x:c r="AE8" s="191"/>
      <x:c r="AF8" s="191"/>
      <x:c r="AG8" s="191"/>
      <x:c r="AH8" s="191"/>
      <x:c r="AI8" s="191"/>
      <x:c r="AJ8" s="191"/>
      <x:c r="AK8" s="191"/>
    </x:row>
    <x:row r="9">
      <x:c r="A9" s="221" t="str">
        <x:v>Agency_FNMA</x:v>
      </x:c>
      <x:c r="B9" s="221" t="str">
        <x:v>Credit</x:v>
      </x:c>
      <x:c r="C9" s="221" t="n">
        <x:v>5</x:v>
      </x:c>
      <x:c r="D9" s="221" t="str">
        <x:v>3Y</x:v>
      </x:c>
      <x:c r="E9" s="221" t="str">
        <x:v>Agency_FNMA_Step04</x:v>
      </x:c>
      <x:c r="F9" s="222" t="n">
        <x:v>160</x:v>
      </x:c>
      <x:c r="G9" s="223" t="str">
        <x:v>=gxlCurveDiscShift(Agency_FNMA_Step04, "3Y", 160)</x:v>
      </x:c>
      <x:c r="H9" s="224" t="str">
        <x:v>Agency_FNMA_Step05</x:v>
      </x:c>
      <x:c r="I9" s="224" t="str">
        <x:v>Agency_FNMA_Step05</x:v>
      </x:c>
      <x:c r="J9" s="192" t="str">
        <x:v>No</x:v>
      </x:c>
      <x:c r="K9" s="191"/>
      <x:c r="L9" s="191"/>
      <x:c r="M9" s="191"/>
      <x:c r="N9" s="191"/>
      <x:c r="O9" s="191"/>
      <x:c r="P9" s="191"/>
      <x:c r="Q9" s="191"/>
      <x:c r="R9" s="191"/>
      <x:c r="S9" s="191"/>
      <x:c r="T9" s="191"/>
      <x:c r="U9" s="191"/>
      <x:c r="V9" s="191"/>
      <x:c r="W9" s="191"/>
      <x:c r="X9" s="191"/>
      <x:c r="Y9" s="191"/>
      <x:c r="Z9" s="191"/>
      <x:c r="AA9" s="191"/>
      <x:c r="AB9" s="191"/>
      <x:c r="AC9" s="191"/>
      <x:c r="AD9" s="191"/>
      <x:c r="AE9" s="191"/>
      <x:c r="AF9" s="191"/>
      <x:c r="AG9" s="191"/>
      <x:c r="AH9" s="191"/>
      <x:c r="AI9" s="191"/>
      <x:c r="AJ9" s="191"/>
      <x:c r="AK9" s="191"/>
    </x:row>
    <x:row r="10">
      <x:c r="A10" s="221" t="str">
        <x:v>Agency_FNMA</x:v>
      </x:c>
      <x:c r="B10" s="221" t="str">
        <x:v>Credit</x:v>
      </x:c>
      <x:c r="C10" s="221" t="n">
        <x:v>6</x:v>
      </x:c>
      <x:c r="D10" s="221" t="str">
        <x:v>5Y</x:v>
      </x:c>
      <x:c r="E10" s="221" t="str">
        <x:v>Agency_FNMA_Step05</x:v>
      </x:c>
      <x:c r="F10" s="222" t="n">
        <x:v>190</x:v>
      </x:c>
      <x:c r="G10" s="223" t="str">
        <x:v>=gxlCurveDiscShift(Agency_FNMA_Step05, "5Y", 190)</x:v>
      </x:c>
      <x:c r="H10" s="224" t="str">
        <x:v>Agency_FNMA_Step06</x:v>
      </x:c>
      <x:c r="I10" s="224" t="str">
        <x:v>Agency_FNMA_Step06</x:v>
      </x:c>
      <x:c r="J10" s="192" t="str">
        <x:v>No</x:v>
      </x:c>
      <x:c r="K10" s="191"/>
      <x:c r="L10" s="191"/>
      <x:c r="M10" s="191"/>
      <x:c r="N10" s="191"/>
      <x:c r="O10" s="191"/>
      <x:c r="P10" s="191"/>
      <x:c r="Q10" s="191"/>
      <x:c r="R10" s="191"/>
      <x:c r="S10" s="191"/>
      <x:c r="T10" s="191"/>
      <x:c r="U10" s="191"/>
      <x:c r="V10" s="191"/>
      <x:c r="W10" s="191"/>
      <x:c r="X10" s="191"/>
      <x:c r="Y10" s="191"/>
      <x:c r="Z10" s="191"/>
      <x:c r="AA10" s="191"/>
      <x:c r="AB10" s="191"/>
      <x:c r="AC10" s="191"/>
      <x:c r="AD10" s="191"/>
      <x:c r="AE10" s="191"/>
      <x:c r="AF10" s="191"/>
      <x:c r="AG10" s="191"/>
      <x:c r="AH10" s="191"/>
      <x:c r="AI10" s="191"/>
      <x:c r="AJ10" s="191"/>
      <x:c r="AK10" s="191"/>
    </x:row>
    <x:row r="11">
      <x:c r="A11" s="221" t="str">
        <x:v>Agency_FNMA</x:v>
      </x:c>
      <x:c r="B11" s="221" t="str">
        <x:v>Credit</x:v>
      </x:c>
      <x:c r="C11" s="221" t="n">
        <x:v>7</x:v>
      </x:c>
      <x:c r="D11" s="221" t="str">
        <x:v>10Y</x:v>
      </x:c>
      <x:c r="E11" s="221" t="str">
        <x:v>Agency_FNMA_Step06</x:v>
      </x:c>
      <x:c r="F11" s="222" t="n">
        <x:v>210</x:v>
      </x:c>
      <x:c r="G11" s="223" t="str">
        <x:v>=gxlCurveDiscShift(Agency_FNMA_Step06, "10Y", 210)</x:v>
      </x:c>
      <x:c r="H11" s="224" t="str">
        <x:v>Agency_FNMA_Step07</x:v>
      </x:c>
      <x:c r="I11" s="224" t="str">
        <x:v>Agency_FNMA_Step07</x:v>
      </x:c>
      <x:c r="J11" s="192" t="str">
        <x:v>No</x:v>
      </x:c>
      <x:c r="K11" s="191"/>
      <x:c r="L11" s="191"/>
      <x:c r="M11" s="191"/>
      <x:c r="N11" s="191"/>
      <x:c r="O11" s="191"/>
      <x:c r="P11" s="191"/>
      <x:c r="Q11" s="191"/>
      <x:c r="R11" s="191"/>
      <x:c r="S11" s="191"/>
      <x:c r="T11" s="191"/>
      <x:c r="U11" s="191"/>
      <x:c r="V11" s="191"/>
      <x:c r="W11" s="191"/>
      <x:c r="X11" s="191"/>
      <x:c r="Y11" s="191"/>
      <x:c r="Z11" s="191"/>
      <x:c r="AA11" s="191"/>
      <x:c r="AB11" s="191"/>
      <x:c r="AC11" s="191"/>
      <x:c r="AD11" s="191"/>
      <x:c r="AE11" s="191"/>
      <x:c r="AF11" s="191"/>
      <x:c r="AG11" s="191"/>
      <x:c r="AH11" s="191"/>
      <x:c r="AI11" s="191"/>
      <x:c r="AJ11" s="191"/>
      <x:c r="AK11" s="191"/>
    </x:row>
    <x:row r="12">
      <x:c r="A12" s="221" t="str">
        <x:v>Agency_FNMA</x:v>
      </x:c>
      <x:c r="B12" s="221" t="str">
        <x:v>Credit</x:v>
      </x:c>
      <x:c r="C12" s="221" t="n">
        <x:v>8</x:v>
      </x:c>
      <x:c r="D12" s="221" t="str">
        <x:v>20Y</x:v>
      </x:c>
      <x:c r="E12" s="221" t="str">
        <x:v>Agency_FNMA_Step07</x:v>
      </x:c>
      <x:c r="F12" s="222" t="n">
        <x:v>225</x:v>
      </x:c>
      <x:c r="G12" s="223" t="str">
        <x:v>=gxlCurveDiscShift(Agency_FNMA_Step07, "20Y", 225)</x:v>
      </x:c>
      <x:c r="H12" s="224" t="str">
        <x:v>Agency_FNMA_Step08</x:v>
      </x:c>
      <x:c r="I12" s="224" t="str">
        <x:v>Agency_FNMA_Step08</x:v>
      </x:c>
      <x:c r="J12" s="192" t="str">
        <x:v>No</x:v>
      </x:c>
      <x:c r="K12" s="191"/>
      <x:c r="L12" s="191"/>
      <x:c r="M12" s="191"/>
      <x:c r="N12" s="191"/>
      <x:c r="O12" s="191"/>
      <x:c r="P12" s="191"/>
      <x:c r="Q12" s="191"/>
      <x:c r="R12" s="191"/>
      <x:c r="S12" s="191"/>
      <x:c r="T12" s="191"/>
      <x:c r="U12" s="191"/>
      <x:c r="V12" s="191"/>
      <x:c r="W12" s="191"/>
      <x:c r="X12" s="191"/>
      <x:c r="Y12" s="191"/>
      <x:c r="Z12" s="191"/>
      <x:c r="AA12" s="191"/>
      <x:c r="AB12" s="191"/>
      <x:c r="AC12" s="191"/>
      <x:c r="AD12" s="191"/>
      <x:c r="AE12" s="191"/>
      <x:c r="AF12" s="191"/>
      <x:c r="AG12" s="191"/>
      <x:c r="AH12" s="191"/>
      <x:c r="AI12" s="191"/>
      <x:c r="AJ12" s="191"/>
      <x:c r="AK12" s="191"/>
    </x:row>
    <x:row r="13">
      <x:c r="A13" s="225" t="str">
        <x:v>Agency_FNMA</x:v>
      </x:c>
      <x:c r="B13" s="225" t="str">
        <x:v>Credit</x:v>
      </x:c>
      <x:c r="C13" s="225" t="n">
        <x:v>9</x:v>
      </x:c>
      <x:c r="D13" s="225" t="str">
        <x:v>30Y</x:v>
      </x:c>
      <x:c r="E13" s="225" t="str">
        <x:v>Agency_FNMA_Step08</x:v>
      </x:c>
      <x:c r="F13" s="226" t="n">
        <x:v>235</x:v>
      </x:c>
      <x:c r="G13" s="227" t="str">
        <x:v>=gxlCurveDiscShift(Agency_FNMA_Step08, "30Y", 235)</x:v>
      </x:c>
      <x:c r="H13" s="228" t="str">
        <x:v>Agency_FNMA_Step09</x:v>
      </x:c>
      <x:c r="I13" s="228" t="str">
        <x:v>Agency_FNMA_Step09</x:v>
      </x:c>
      <x:c r="J13" s="229" t="str">
        <x:v>Yes</x:v>
      </x:c>
      <x:c r="K13" s="191"/>
      <x:c r="L13" s="191"/>
      <x:c r="M13" s="191"/>
      <x:c r="N13" s="191"/>
      <x:c r="O13" s="191"/>
      <x:c r="P13" s="191"/>
      <x:c r="Q13" s="191"/>
      <x:c r="R13" s="191"/>
      <x:c r="S13" s="191"/>
      <x:c r="T13" s="191"/>
      <x:c r="U13" s="191"/>
      <x:c r="V13" s="191"/>
      <x:c r="W13" s="191"/>
      <x:c r="X13" s="191"/>
      <x:c r="Y13" s="191"/>
      <x:c r="Z13" s="191"/>
      <x:c r="AA13" s="191"/>
      <x:c r="AB13" s="191"/>
      <x:c r="AC13" s="191"/>
      <x:c r="AD13" s="191"/>
      <x:c r="AE13" s="191"/>
      <x:c r="AF13" s="191"/>
      <x:c r="AG13" s="191"/>
      <x:c r="AH13" s="191"/>
      <x:c r="AI13" s="191"/>
      <x:c r="AJ13" s="191"/>
      <x:c r="AK13" s="191"/>
    </x:row>
    <x:row r="14">
      <x:c r="A14" s="225" t="str">
        <x:v>Agency_FNMA</x:v>
      </x:c>
      <x:c r="B14" s="225" t="str">
        <x:v>Credit</x:v>
      </x:c>
      <x:c r="C14" s="225" t="n">
        <x:v>10</x:v>
      </x:c>
      <x:c r="D14" s="225" t="str">
        <x:v>Hold final</x:v>
      </x:c>
      <x:c r="E14" s="225" t="str">
        <x:v>Agency_FNMA_Step09</x:v>
      </x:c>
      <x:c r="F14" s="226" t="n">
        <x:v>0</x:v>
      </x:c>
      <x:c r="G14" s="227" t="str">
        <x:v>No additional non-vol node; reuse Step09 object</x:v>
      </x:c>
      <x:c r="H14" s="228" t="str">
        <x:v>Agency_FNMA_Step09</x:v>
      </x:c>
      <x:c r="I14" s="228" t="str">
        <x:v>Agency_FNMA_Step09</x:v>
      </x:c>
      <x:c r="J14" s="229" t="str">
        <x:v>Yes</x:v>
      </x:c>
      <x:c r="K14" s="191"/>
      <x:c r="L14" s="191"/>
      <x:c r="M14" s="191"/>
      <x:c r="N14" s="191"/>
      <x:c r="O14" s="191"/>
      <x:c r="P14" s="191"/>
      <x:c r="Q14" s="191"/>
      <x:c r="R14" s="191"/>
      <x:c r="S14" s="191"/>
      <x:c r="T14" s="191"/>
      <x:c r="U14" s="191"/>
      <x:c r="V14" s="191"/>
      <x:c r="W14" s="191"/>
      <x:c r="X14" s="191"/>
      <x:c r="Y14" s="191"/>
      <x:c r="Z14" s="191"/>
      <x:c r="AA14" s="191"/>
      <x:c r="AB14" s="191"/>
      <x:c r="AC14" s="191"/>
      <x:c r="AD14" s="191"/>
      <x:c r="AE14" s="191"/>
      <x:c r="AF14" s="191"/>
      <x:c r="AG14" s="191"/>
      <x:c r="AH14" s="191"/>
      <x:c r="AI14" s="191"/>
      <x:c r="AJ14" s="191"/>
      <x:c r="AK14" s="191"/>
    </x:row>
    <x:row r="15">
      <x:c r="A15" s="219" t="str">
        <x:v>Eur_Govt</x:v>
      </x:c>
      <x:c r="B15" s="219" t="str">
        <x:v>Credit</x:v>
      </x:c>
      <x:c r="C15" s="219" t="n">
        <x:v>0</x:v>
      </x:c>
      <x:c r="D15" s="219" t="str">
        <x:v>Base</x:v>
      </x:c>
      <x:c r="E15" s="219" t="str">
        <x:v>—</x:v>
      </x:c>
      <x:c r="F15" s="220" t="n">
        <x:v>0</x:v>
      </x:c>
      <x:c r="G15" s="219" t="str">
        <x:v>Base curve object pulled for valuation date</x:v>
      </x:c>
      <x:c r="H15" s="219" t="str">
        <x:v>Base_Eur_Govt</x:v>
      </x:c>
      <x:c r="I15" s="219" t="str">
        <x:v>Base_Eur_Govt</x:v>
      </x:c>
      <x:c r="J15" s="219" t="str">
        <x:v>No</x:v>
      </x:c>
      <x:c r="K15" s="191"/>
      <x:c r="L15" s="191"/>
      <x:c r="M15" s="191"/>
      <x:c r="N15" s="191"/>
      <x:c r="O15" s="191"/>
      <x:c r="P15" s="191"/>
      <x:c r="Q15" s="191"/>
      <x:c r="R15" s="191"/>
      <x:c r="S15" s="191"/>
      <x:c r="T15" s="191"/>
      <x:c r="U15" s="191"/>
      <x:c r="V15" s="191"/>
      <x:c r="W15" s="191"/>
      <x:c r="X15" s="191"/>
      <x:c r="Y15" s="191"/>
      <x:c r="Z15" s="191"/>
      <x:c r="AA15" s="191"/>
      <x:c r="AB15" s="191"/>
      <x:c r="AC15" s="191"/>
      <x:c r="AD15" s="191"/>
      <x:c r="AE15" s="191"/>
      <x:c r="AF15" s="191"/>
      <x:c r="AG15" s="191"/>
      <x:c r="AH15" s="191"/>
      <x:c r="AI15" s="191"/>
      <x:c r="AJ15" s="191"/>
      <x:c r="AK15" s="191"/>
    </x:row>
    <x:row r="16">
      <x:c r="A16" s="221" t="str">
        <x:v>Eur_Govt</x:v>
      </x:c>
      <x:c r="B16" s="221" t="str">
        <x:v>Credit</x:v>
      </x:c>
      <x:c r="C16" s="221" t="n">
        <x:v>1</x:v>
      </x:c>
      <x:c r="D16" s="221" t="str">
        <x:v>3M</x:v>
      </x:c>
      <x:c r="E16" s="221" t="str">
        <x:v>Base_Eur_Govt</x:v>
      </x:c>
      <x:c r="F16" s="222" t="n">
        <x:v>20</x:v>
      </x:c>
      <x:c r="G16" s="223" t="str">
        <x:v>=gxlCurveDiscShift(Base_Eur_Govt, "3M", 20)</x:v>
      </x:c>
      <x:c r="H16" s="224" t="str">
        <x:v>Eur_Govt_Step01</x:v>
      </x:c>
      <x:c r="I16" s="224" t="str">
        <x:v>Eur_Govt_Step01</x:v>
      </x:c>
      <x:c r="J16" s="192" t="str">
        <x:v>No</x:v>
      </x:c>
      <x:c r="K16" s="191"/>
      <x:c r="L16" s="191"/>
      <x:c r="M16" s="191"/>
      <x:c r="N16" s="191"/>
      <x:c r="O16" s="191"/>
      <x:c r="P16" s="191"/>
      <x:c r="Q16" s="191"/>
      <x:c r="R16" s="191"/>
      <x:c r="S16" s="191"/>
      <x:c r="T16" s="191"/>
      <x:c r="U16" s="191"/>
      <x:c r="V16" s="191"/>
      <x:c r="W16" s="191"/>
      <x:c r="X16" s="191"/>
      <x:c r="Y16" s="191"/>
      <x:c r="Z16" s="191"/>
      <x:c r="AA16" s="191"/>
      <x:c r="AB16" s="191"/>
      <x:c r="AC16" s="191"/>
      <x:c r="AD16" s="191"/>
      <x:c r="AE16" s="191"/>
      <x:c r="AF16" s="191"/>
      <x:c r="AG16" s="191"/>
      <x:c r="AH16" s="191"/>
      <x:c r="AI16" s="191"/>
      <x:c r="AJ16" s="191"/>
      <x:c r="AK16" s="191"/>
    </x:row>
    <x:row r="17">
      <x:c r="A17" s="221" t="str">
        <x:v>Eur_Govt</x:v>
      </x:c>
      <x:c r="B17" s="221" t="str">
        <x:v>Credit</x:v>
      </x:c>
      <x:c r="C17" s="221" t="n">
        <x:v>2</x:v>
      </x:c>
      <x:c r="D17" s="221" t="str">
        <x:v>6M</x:v>
      </x:c>
      <x:c r="E17" s="221" t="str">
        <x:v>Eur_Govt_Step01</x:v>
      </x:c>
      <x:c r="F17" s="222" t="n">
        <x:v>30</x:v>
      </x:c>
      <x:c r="G17" s="223" t="str">
        <x:v>=gxlCurveDiscShift(Eur_Govt_Step01, "6M", 30)</x:v>
      </x:c>
      <x:c r="H17" s="224" t="str">
        <x:v>Eur_Govt_Step02</x:v>
      </x:c>
      <x:c r="I17" s="224" t="str">
        <x:v>Eur_Govt_Step02</x:v>
      </x:c>
      <x:c r="J17" s="192" t="str">
        <x:v>No</x:v>
      </x:c>
      <x:c r="K17" s="191"/>
      <x:c r="L17" s="191"/>
      <x:c r="M17" s="191"/>
      <x:c r="N17" s="191"/>
      <x:c r="O17" s="191"/>
      <x:c r="P17" s="191"/>
      <x:c r="Q17" s="191"/>
      <x:c r="R17" s="191"/>
      <x:c r="S17" s="191"/>
      <x:c r="T17" s="191"/>
      <x:c r="U17" s="191"/>
      <x:c r="V17" s="191"/>
      <x:c r="W17" s="191"/>
      <x:c r="X17" s="191"/>
      <x:c r="Y17" s="191"/>
      <x:c r="Z17" s="191"/>
      <x:c r="AA17" s="191"/>
      <x:c r="AB17" s="191"/>
      <x:c r="AC17" s="191"/>
      <x:c r="AD17" s="191"/>
      <x:c r="AE17" s="191"/>
      <x:c r="AF17" s="191"/>
      <x:c r="AG17" s="191"/>
      <x:c r="AH17" s="191"/>
      <x:c r="AI17" s="191"/>
      <x:c r="AJ17" s="191"/>
      <x:c r="AK17" s="191"/>
    </x:row>
    <x:row r="18">
      <x:c r="A18" s="221" t="str">
        <x:v>Eur_Govt</x:v>
      </x:c>
      <x:c r="B18" s="221" t="str">
        <x:v>Credit</x:v>
      </x:c>
      <x:c r="C18" s="221" t="n">
        <x:v>3</x:v>
      </x:c>
      <x:c r="D18" s="221" t="str">
        <x:v>1Y</x:v>
      </x:c>
      <x:c r="E18" s="221" t="str">
        <x:v>Eur_Govt_Step02</x:v>
      </x:c>
      <x:c r="F18" s="222" t="n">
        <x:v>45</x:v>
      </x:c>
      <x:c r="G18" s="223" t="str">
        <x:v>=gxlCurveDiscShift(Eur_Govt_Step02, "1Y", 45)</x:v>
      </x:c>
      <x:c r="H18" s="224" t="str">
        <x:v>Eur_Govt_Step03</x:v>
      </x:c>
      <x:c r="I18" s="224" t="str">
        <x:v>Eur_Govt_Step03</x:v>
      </x:c>
      <x:c r="J18" s="192" t="str">
        <x:v>No</x:v>
      </x:c>
      <x:c r="K18" s="191"/>
      <x:c r="L18" s="191"/>
      <x:c r="M18" s="191"/>
      <x:c r="N18" s="191"/>
      <x:c r="O18" s="191"/>
      <x:c r="P18" s="191"/>
      <x:c r="Q18" s="191"/>
      <x:c r="R18" s="191"/>
      <x:c r="S18" s="191"/>
      <x:c r="T18" s="191"/>
      <x:c r="U18" s="191"/>
      <x:c r="V18" s="191"/>
      <x:c r="W18" s="191"/>
      <x:c r="X18" s="191"/>
      <x:c r="Y18" s="191"/>
      <x:c r="Z18" s="191"/>
      <x:c r="AA18" s="191"/>
      <x:c r="AB18" s="191"/>
      <x:c r="AC18" s="191"/>
      <x:c r="AD18" s="191"/>
      <x:c r="AE18" s="191"/>
      <x:c r="AF18" s="191"/>
      <x:c r="AG18" s="191"/>
      <x:c r="AH18" s="191"/>
      <x:c r="AI18" s="191"/>
      <x:c r="AJ18" s="191"/>
      <x:c r="AK18" s="191"/>
    </x:row>
    <x:row r="19">
      <x:c r="A19" s="221" t="str">
        <x:v>Eur_Govt</x:v>
      </x:c>
      <x:c r="B19" s="221" t="str">
        <x:v>Credit</x:v>
      </x:c>
      <x:c r="C19" s="221" t="n">
        <x:v>4</x:v>
      </x:c>
      <x:c r="D19" s="221" t="str">
        <x:v>2Y</x:v>
      </x:c>
      <x:c r="E19" s="221" t="str">
        <x:v>Eur_Govt_Step03</x:v>
      </x:c>
      <x:c r="F19" s="222" t="n">
        <x:v>60</x:v>
      </x:c>
      <x:c r="G19" s="223" t="str">
        <x:v>=gxlCurveDiscShift(Eur_Govt_Step03, "2Y", 60)</x:v>
      </x:c>
      <x:c r="H19" s="224" t="str">
        <x:v>Eur_Govt_Step04</x:v>
      </x:c>
      <x:c r="I19" s="224" t="str">
        <x:v>Eur_Govt_Step04</x:v>
      </x:c>
      <x:c r="J19" s="192" t="str">
        <x:v>No</x:v>
      </x:c>
      <x:c r="K19" s="191"/>
      <x:c r="L19" s="191"/>
      <x:c r="M19" s="191"/>
      <x:c r="N19" s="191"/>
      <x:c r="O19" s="191"/>
      <x:c r="P19" s="191"/>
      <x:c r="Q19" s="191"/>
      <x:c r="R19" s="191"/>
      <x:c r="S19" s="191"/>
      <x:c r="T19" s="191"/>
      <x:c r="U19" s="191"/>
      <x:c r="V19" s="191"/>
      <x:c r="W19" s="191"/>
      <x:c r="X19" s="191"/>
      <x:c r="Y19" s="191"/>
      <x:c r="Z19" s="191"/>
      <x:c r="AA19" s="191"/>
      <x:c r="AB19" s="191"/>
      <x:c r="AC19" s="191"/>
      <x:c r="AD19" s="191"/>
      <x:c r="AE19" s="191"/>
      <x:c r="AF19" s="191"/>
      <x:c r="AG19" s="191"/>
      <x:c r="AH19" s="191"/>
      <x:c r="AI19" s="191"/>
      <x:c r="AJ19" s="191"/>
      <x:c r="AK19" s="191"/>
    </x:row>
    <x:row r="20">
      <x:c r="A20" s="221" t="str">
        <x:v>Eur_Govt</x:v>
      </x:c>
      <x:c r="B20" s="221" t="str">
        <x:v>Credit</x:v>
      </x:c>
      <x:c r="C20" s="221" t="n">
        <x:v>5</x:v>
      </x:c>
      <x:c r="D20" s="221" t="str">
        <x:v>3Y</x:v>
      </x:c>
      <x:c r="E20" s="221" t="str">
        <x:v>Eur_Govt_Step04</x:v>
      </x:c>
      <x:c r="F20" s="222" t="n">
        <x:v>70</x:v>
      </x:c>
      <x:c r="G20" s="223" t="str">
        <x:v>=gxlCurveDiscShift(Eur_Govt_Step04, "3Y", 70)</x:v>
      </x:c>
      <x:c r="H20" s="224" t="str">
        <x:v>Eur_Govt_Step05</x:v>
      </x:c>
      <x:c r="I20" s="224" t="str">
        <x:v>Eur_Govt_Step05</x:v>
      </x:c>
      <x:c r="J20" s="192" t="str">
        <x:v>No</x:v>
      </x:c>
      <x:c r="K20" s="191"/>
      <x:c r="L20" s="191"/>
      <x:c r="M20" s="191"/>
      <x:c r="N20" s="191"/>
      <x:c r="O20" s="191"/>
      <x:c r="P20" s="191"/>
      <x:c r="Q20" s="191"/>
      <x:c r="R20" s="191"/>
      <x:c r="S20" s="191"/>
      <x:c r="T20" s="191"/>
      <x:c r="U20" s="191"/>
      <x:c r="V20" s="191"/>
      <x:c r="W20" s="191"/>
      <x:c r="X20" s="191"/>
      <x:c r="Y20" s="191"/>
      <x:c r="Z20" s="191"/>
      <x:c r="AA20" s="191"/>
      <x:c r="AB20" s="191"/>
      <x:c r="AC20" s="191"/>
      <x:c r="AD20" s="191"/>
      <x:c r="AE20" s="191"/>
      <x:c r="AF20" s="191"/>
      <x:c r="AG20" s="191"/>
      <x:c r="AH20" s="191"/>
      <x:c r="AI20" s="191"/>
      <x:c r="AJ20" s="191"/>
      <x:c r="AK20" s="191"/>
    </x:row>
    <x:row r="21">
      <x:c r="A21" s="221" t="str">
        <x:v>Eur_Govt</x:v>
      </x:c>
      <x:c r="B21" s="221" t="str">
        <x:v>Credit</x:v>
      </x:c>
      <x:c r="C21" s="221" t="n">
        <x:v>6</x:v>
      </x:c>
      <x:c r="D21" s="221" t="str">
        <x:v>5Y</x:v>
      </x:c>
      <x:c r="E21" s="221" t="str">
        <x:v>Eur_Govt_Step05</x:v>
      </x:c>
      <x:c r="F21" s="222" t="n">
        <x:v>85</x:v>
      </x:c>
      <x:c r="G21" s="223" t="str">
        <x:v>=gxlCurveDiscShift(Eur_Govt_Step05, "5Y", 85)</x:v>
      </x:c>
      <x:c r="H21" s="224" t="str">
        <x:v>Eur_Govt_Step06</x:v>
      </x:c>
      <x:c r="I21" s="224" t="str">
        <x:v>Eur_Govt_Step06</x:v>
      </x:c>
      <x:c r="J21" s="192" t="str">
        <x:v>No</x:v>
      </x:c>
      <x:c r="K21" s="191"/>
      <x:c r="L21" s="191"/>
      <x:c r="M21" s="191"/>
      <x:c r="N21" s="191"/>
      <x:c r="O21" s="191"/>
      <x:c r="P21" s="191"/>
      <x:c r="Q21" s="191"/>
      <x:c r="R21" s="191"/>
      <x:c r="S21" s="191"/>
      <x:c r="T21" s="191"/>
      <x:c r="U21" s="191"/>
      <x:c r="V21" s="191"/>
      <x:c r="W21" s="191"/>
      <x:c r="X21" s="191"/>
      <x:c r="Y21" s="191"/>
      <x:c r="Z21" s="191"/>
      <x:c r="AA21" s="191"/>
      <x:c r="AB21" s="191"/>
      <x:c r="AC21" s="191"/>
      <x:c r="AD21" s="191"/>
      <x:c r="AE21" s="191"/>
      <x:c r="AF21" s="191"/>
      <x:c r="AG21" s="191"/>
      <x:c r="AH21" s="191"/>
      <x:c r="AI21" s="191"/>
      <x:c r="AJ21" s="191"/>
      <x:c r="AK21" s="191"/>
    </x:row>
    <x:row r="22">
      <x:c r="A22" s="221" t="str">
        <x:v>Eur_Govt</x:v>
      </x:c>
      <x:c r="B22" s="221" t="str">
        <x:v>Credit</x:v>
      </x:c>
      <x:c r="C22" s="221" t="n">
        <x:v>7</x:v>
      </x:c>
      <x:c r="D22" s="221" t="str">
        <x:v>10Y</x:v>
      </x:c>
      <x:c r="E22" s="221" t="str">
        <x:v>Eur_Govt_Step06</x:v>
      </x:c>
      <x:c r="F22" s="222" t="n">
        <x:v>100</x:v>
      </x:c>
      <x:c r="G22" s="223" t="str">
        <x:v>=gxlCurveDiscShift(Eur_Govt_Step06, "10Y", 100)</x:v>
      </x:c>
      <x:c r="H22" s="224" t="str">
        <x:v>Eur_Govt_Step07</x:v>
      </x:c>
      <x:c r="I22" s="224" t="str">
        <x:v>Eur_Govt_Step07</x:v>
      </x:c>
      <x:c r="J22" s="192" t="str">
        <x:v>No</x:v>
      </x:c>
      <x:c r="K22" s="191"/>
      <x:c r="L22" s="191"/>
      <x:c r="M22" s="191"/>
      <x:c r="N22" s="191"/>
      <x:c r="O22" s="191"/>
      <x:c r="P22" s="191"/>
      <x:c r="Q22" s="191"/>
      <x:c r="R22" s="191"/>
      <x:c r="S22" s="191"/>
      <x:c r="T22" s="191"/>
      <x:c r="U22" s="191"/>
      <x:c r="V22" s="191"/>
      <x:c r="W22" s="191"/>
      <x:c r="X22" s="191"/>
      <x:c r="Y22" s="191"/>
      <x:c r="Z22" s="191"/>
      <x:c r="AA22" s="191"/>
      <x:c r="AB22" s="191"/>
      <x:c r="AC22" s="191"/>
      <x:c r="AD22" s="191"/>
      <x:c r="AE22" s="191"/>
      <x:c r="AF22" s="191"/>
      <x:c r="AG22" s="191"/>
      <x:c r="AH22" s="191"/>
      <x:c r="AI22" s="191"/>
      <x:c r="AJ22" s="191"/>
      <x:c r="AK22" s="191"/>
    </x:row>
    <x:row r="23">
      <x:c r="A23" s="221" t="str">
        <x:v>Eur_Govt</x:v>
      </x:c>
      <x:c r="B23" s="221" t="str">
        <x:v>Credit</x:v>
      </x:c>
      <x:c r="C23" s="221" t="n">
        <x:v>8</x:v>
      </x:c>
      <x:c r="D23" s="221" t="str">
        <x:v>20Y</x:v>
      </x:c>
      <x:c r="E23" s="221" t="str">
        <x:v>Eur_Govt_Step07</x:v>
      </x:c>
      <x:c r="F23" s="222" t="n">
        <x:v>110</x:v>
      </x:c>
      <x:c r="G23" s="223" t="str">
        <x:v>=gxlCurveDiscShift(Eur_Govt_Step07, "20Y", 110)</x:v>
      </x:c>
      <x:c r="H23" s="224" t="str">
        <x:v>Eur_Govt_Step08</x:v>
      </x:c>
      <x:c r="I23" s="224" t="str">
        <x:v>Eur_Govt_Step08</x:v>
      </x:c>
      <x:c r="J23" s="192" t="str">
        <x:v>No</x:v>
      </x:c>
      <x:c r="K23" s="191"/>
      <x:c r="L23" s="191"/>
      <x:c r="M23" s="191"/>
      <x:c r="N23" s="191"/>
      <x:c r="O23" s="191"/>
      <x:c r="P23" s="191"/>
      <x:c r="Q23" s="191"/>
      <x:c r="R23" s="191"/>
      <x:c r="S23" s="191"/>
      <x:c r="T23" s="191"/>
      <x:c r="U23" s="191"/>
      <x:c r="V23" s="191"/>
      <x:c r="W23" s="191"/>
      <x:c r="X23" s="191"/>
      <x:c r="Y23" s="191"/>
      <x:c r="Z23" s="191"/>
      <x:c r="AA23" s="191"/>
      <x:c r="AB23" s="191"/>
      <x:c r="AC23" s="191"/>
      <x:c r="AD23" s="191"/>
      <x:c r="AE23" s="191"/>
      <x:c r="AF23" s="191"/>
      <x:c r="AG23" s="191"/>
      <x:c r="AH23" s="191"/>
      <x:c r="AI23" s="191"/>
      <x:c r="AJ23" s="191"/>
      <x:c r="AK23" s="191"/>
    </x:row>
    <x:row r="24">
      <x:c r="A24" s="225" t="str">
        <x:v>Eur_Govt</x:v>
      </x:c>
      <x:c r="B24" s="225" t="str">
        <x:v>Credit</x:v>
      </x:c>
      <x:c r="C24" s="225" t="n">
        <x:v>9</x:v>
      </x:c>
      <x:c r="D24" s="225" t="str">
        <x:v>30Y</x:v>
      </x:c>
      <x:c r="E24" s="225" t="str">
        <x:v>Eur_Govt_Step08</x:v>
      </x:c>
      <x:c r="F24" s="226" t="n">
        <x:v>115</x:v>
      </x:c>
      <x:c r="G24" s="227" t="str">
        <x:v>=gxlCurveDiscShift(Eur_Govt_Step08, "30Y", 115)</x:v>
      </x:c>
      <x:c r="H24" s="228" t="str">
        <x:v>Eur_Govt_Step09</x:v>
      </x:c>
      <x:c r="I24" s="228" t="str">
        <x:v>Eur_Govt_Step09</x:v>
      </x:c>
      <x:c r="J24" s="229" t="str">
        <x:v>Yes</x:v>
      </x:c>
      <x:c r="K24" s="191"/>
      <x:c r="L24" s="191"/>
      <x:c r="M24" s="191"/>
      <x:c r="N24" s="191"/>
      <x:c r="O24" s="191"/>
      <x:c r="P24" s="191"/>
      <x:c r="Q24" s="191"/>
      <x:c r="R24" s="191"/>
      <x:c r="S24" s="191"/>
      <x:c r="T24" s="191"/>
      <x:c r="U24" s="191"/>
      <x:c r="V24" s="191"/>
      <x:c r="W24" s="191"/>
      <x:c r="X24" s="191"/>
      <x:c r="Y24" s="191"/>
      <x:c r="Z24" s="191"/>
      <x:c r="AA24" s="191"/>
      <x:c r="AB24" s="191"/>
      <x:c r="AC24" s="191"/>
      <x:c r="AD24" s="191"/>
      <x:c r="AE24" s="191"/>
      <x:c r="AF24" s="191"/>
      <x:c r="AG24" s="191"/>
      <x:c r="AH24" s="191"/>
      <x:c r="AI24" s="191"/>
      <x:c r="AJ24" s="191"/>
      <x:c r="AK24" s="191"/>
    </x:row>
    <x:row r="25">
      <x:c r="A25" s="225" t="str">
        <x:v>Eur_Govt</x:v>
      </x:c>
      <x:c r="B25" s="225" t="str">
        <x:v>Credit</x:v>
      </x:c>
      <x:c r="C25" s="225" t="n">
        <x:v>10</x:v>
      </x:c>
      <x:c r="D25" s="225" t="str">
        <x:v>Hold final</x:v>
      </x:c>
      <x:c r="E25" s="225" t="str">
        <x:v>Eur_Govt_Step09</x:v>
      </x:c>
      <x:c r="F25" s="226" t="n">
        <x:v>0</x:v>
      </x:c>
      <x:c r="G25" s="227" t="str">
        <x:v>No additional non-vol node; reuse Step09 object</x:v>
      </x:c>
      <x:c r="H25" s="228" t="str">
        <x:v>Eur_Govt_Step09</x:v>
      </x:c>
      <x:c r="I25" s="228" t="str">
        <x:v>Eur_Govt_Step09</x:v>
      </x:c>
      <x:c r="J25" s="229" t="str">
        <x:v>Yes</x:v>
      </x:c>
      <x:c r="K25" s="191"/>
      <x:c r="L25" s="191"/>
      <x:c r="M25" s="191"/>
      <x:c r="N25" s="191"/>
      <x:c r="O25" s="191"/>
      <x:c r="P25" s="191"/>
      <x:c r="Q25" s="191"/>
      <x:c r="R25" s="191"/>
      <x:c r="S25" s="191"/>
      <x:c r="T25" s="191"/>
      <x:c r="U25" s="191"/>
      <x:c r="V25" s="191"/>
      <x:c r="W25" s="191"/>
      <x:c r="X25" s="191"/>
      <x:c r="Y25" s="191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</x:row>
    <x:row r="26">
      <x:c r="A26" s="219" t="str">
        <x:v>SOFR</x:v>
      </x:c>
      <x:c r="B26" s="219" t="str">
        <x:v>IR_RATE</x:v>
      </x:c>
      <x:c r="C26" s="219" t="n">
        <x:v>0</x:v>
      </x:c>
      <x:c r="D26" s="219" t="str">
        <x:v>Base</x:v>
      </x:c>
      <x:c r="E26" s="219" t="str">
        <x:v>—</x:v>
      </x:c>
      <x:c r="F26" s="220" t="n">
        <x:v>0</x:v>
      </x:c>
      <x:c r="G26" s="219" t="str">
        <x:v>Base curve object pulled for valuation date</x:v>
      </x:c>
      <x:c r="H26" s="219" t="str">
        <x:v>Base_SOFR</x:v>
      </x:c>
      <x:c r="I26" s="219" t="str">
        <x:v>Base_SOFR</x:v>
      </x:c>
      <x:c r="J26" s="219" t="str">
        <x:v>No</x:v>
      </x:c>
      <x:c r="K26" s="191"/>
      <x:c r="L26" s="191"/>
      <x:c r="M26" s="191"/>
      <x:c r="N26" s="191"/>
      <x:c r="O26" s="191"/>
      <x:c r="P26" s="191"/>
      <x:c r="Q26" s="191"/>
      <x:c r="R26" s="191"/>
      <x:c r="S26" s="191"/>
      <x:c r="T26" s="191"/>
      <x:c r="U26" s="191"/>
      <x:c r="V26" s="191"/>
      <x:c r="W26" s="191"/>
      <x:c r="X26" s="191"/>
      <x:c r="Y26" s="191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</x:row>
    <x:row r="27">
      <x:c r="A27" s="221" t="str">
        <x:v>SOFR</x:v>
      </x:c>
      <x:c r="B27" s="221" t="str">
        <x:v>IR_RATE</x:v>
      </x:c>
      <x:c r="C27" s="221" t="n">
        <x:v>1</x:v>
      </x:c>
      <x:c r="D27" s="221" t="str">
        <x:v>3M</x:v>
      </x:c>
      <x:c r="E27" s="221" t="str">
        <x:v>Base_SOFR</x:v>
      </x:c>
      <x:c r="F27" s="222" t="n">
        <x:v>-120</x:v>
      </x:c>
      <x:c r="G27" s="223" t="str">
        <x:v>=gxlCurveDiscShift(Base_SOFR, "3M", -120)</x:v>
      </x:c>
      <x:c r="H27" s="224" t="str">
        <x:v>SOFR_Step01</x:v>
      </x:c>
      <x:c r="I27" s="224" t="str">
        <x:v>SOFR_Step01</x:v>
      </x:c>
      <x:c r="J27" s="192" t="str">
        <x:v>No</x:v>
      </x:c>
      <x:c r="K27" s="191"/>
      <x:c r="L27" s="191"/>
      <x:c r="M27" s="191"/>
      <x:c r="N27" s="191"/>
      <x:c r="O27" s="191"/>
      <x:c r="P27" s="191"/>
      <x:c r="Q27" s="191"/>
      <x:c r="R27" s="191"/>
      <x:c r="S27" s="191"/>
      <x:c r="T27" s="191"/>
      <x:c r="U27" s="191"/>
      <x:c r="V27" s="191"/>
      <x:c r="W27" s="191"/>
      <x:c r="X27" s="191"/>
      <x:c r="Y27" s="191"/>
      <x:c r="Z27" s="191"/>
      <x:c r="AA27" s="191"/>
      <x:c r="AB27" s="191"/>
      <x:c r="AC27" s="191"/>
      <x:c r="AD27" s="191"/>
      <x:c r="AE27" s="191"/>
      <x:c r="AF27" s="191"/>
      <x:c r="AG27" s="191"/>
      <x:c r="AH27" s="191"/>
      <x:c r="AI27" s="191"/>
      <x:c r="AJ27" s="191"/>
      <x:c r="AK27" s="191"/>
    </x:row>
    <x:row r="28">
      <x:c r="A28" s="221" t="str">
        <x:v>SOFR</x:v>
      </x:c>
      <x:c r="B28" s="221" t="str">
        <x:v>IR_RATE</x:v>
      </x:c>
      <x:c r="C28" s="221" t="n">
        <x:v>2</x:v>
      </x:c>
      <x:c r="D28" s="221" t="str">
        <x:v>6M</x:v>
      </x:c>
      <x:c r="E28" s="221" t="str">
        <x:v>SOFR_Step01</x:v>
      </x:c>
      <x:c r="F28" s="222" t="n">
        <x:v>-135</x:v>
      </x:c>
      <x:c r="G28" s="223" t="str">
        <x:v>=gxlCurveDiscShift(SOFR_Step01, "6M", -135)</x:v>
      </x:c>
      <x:c r="H28" s="224" t="str">
        <x:v>SOFR_Step02</x:v>
      </x:c>
      <x:c r="I28" s="224" t="str">
        <x:v>SOFR_Step02</x:v>
      </x:c>
      <x:c r="J28" s="192" t="str">
        <x:v>No</x:v>
      </x:c>
      <x:c r="K28" s="191"/>
      <x:c r="L28" s="191"/>
      <x:c r="M28" s="191"/>
      <x:c r="N28" s="191"/>
      <x:c r="O28" s="191"/>
      <x:c r="P28" s="191"/>
      <x:c r="Q28" s="191"/>
      <x:c r="R28" s="191"/>
      <x:c r="S28" s="191"/>
      <x:c r="T28" s="191"/>
      <x:c r="U28" s="191"/>
      <x:c r="V28" s="191"/>
      <x:c r="W28" s="191"/>
      <x:c r="X28" s="191"/>
      <x:c r="Y28" s="191"/>
      <x:c r="Z28" s="191"/>
      <x:c r="AA28" s="191"/>
      <x:c r="AB28" s="191"/>
      <x:c r="AC28" s="191"/>
      <x:c r="AD28" s="191"/>
      <x:c r="AE28" s="191"/>
      <x:c r="AF28" s="191"/>
      <x:c r="AG28" s="191"/>
      <x:c r="AH28" s="191"/>
      <x:c r="AI28" s="191"/>
      <x:c r="AJ28" s="191"/>
      <x:c r="AK28" s="191"/>
    </x:row>
    <x:row r="29">
      <x:c r="A29" s="221" t="str">
        <x:v>SOFR</x:v>
      </x:c>
      <x:c r="B29" s="221" t="str">
        <x:v>IR_RATE</x:v>
      </x:c>
      <x:c r="C29" s="221" t="n">
        <x:v>3</x:v>
      </x:c>
      <x:c r="D29" s="221" t="str">
        <x:v>1Y</x:v>
      </x:c>
      <x:c r="E29" s="221" t="str">
        <x:v>SOFR_Step02</x:v>
      </x:c>
      <x:c r="F29" s="222" t="n">
        <x:v>-150</x:v>
      </x:c>
      <x:c r="G29" s="223" t="str">
        <x:v>=gxlCurveDiscShift(SOFR_Step02, "1Y", -150)</x:v>
      </x:c>
      <x:c r="H29" s="224" t="str">
        <x:v>SOFR_Step03</x:v>
      </x:c>
      <x:c r="I29" s="224" t="str">
        <x:v>SOFR_Step03</x:v>
      </x:c>
      <x:c r="J29" s="192" t="str">
        <x:v>No</x:v>
      </x:c>
      <x:c r="K29" s="191"/>
      <x:c r="L29" s="191"/>
      <x:c r="M29" s="191"/>
      <x:c r="N29" s="191"/>
      <x:c r="O29" s="191"/>
      <x:c r="P29" s="191"/>
      <x:c r="Q29" s="191"/>
      <x:c r="R29" s="191"/>
      <x:c r="S29" s="191"/>
      <x:c r="T29" s="191"/>
      <x:c r="U29" s="191"/>
      <x:c r="V29" s="191"/>
      <x:c r="W29" s="191"/>
      <x:c r="X29" s="191"/>
      <x:c r="Y29" s="191"/>
      <x:c r="Z29" s="191"/>
      <x:c r="AA29" s="191"/>
      <x:c r="AB29" s="191"/>
      <x:c r="AC29" s="191"/>
      <x:c r="AD29" s="191"/>
      <x:c r="AE29" s="191"/>
      <x:c r="AF29" s="191"/>
      <x:c r="AG29" s="191"/>
      <x:c r="AH29" s="191"/>
      <x:c r="AI29" s="191"/>
      <x:c r="AJ29" s="191"/>
      <x:c r="AK29" s="191"/>
    </x:row>
    <x:row r="30">
      <x:c r="A30" s="221" t="str">
        <x:v>SOFR</x:v>
      </x:c>
      <x:c r="B30" s="221" t="str">
        <x:v>IR_RATE</x:v>
      </x:c>
      <x:c r="C30" s="221" t="n">
        <x:v>4</x:v>
      </x:c>
      <x:c r="D30" s="221" t="str">
        <x:v>2Y</x:v>
      </x:c>
      <x:c r="E30" s="221" t="str">
        <x:v>SOFR_Step03</x:v>
      </x:c>
      <x:c r="F30" s="222" t="n">
        <x:v>-165</x:v>
      </x:c>
      <x:c r="G30" s="223" t="str">
        <x:v>=gxlCurveDiscShift(SOFR_Step03, "2Y", -165)</x:v>
      </x:c>
      <x:c r="H30" s="224" t="str">
        <x:v>SOFR_Step04</x:v>
      </x:c>
      <x:c r="I30" s="224" t="str">
        <x:v>SOFR_Step04</x:v>
      </x:c>
      <x:c r="J30" s="192" t="str">
        <x:v>No</x:v>
      </x:c>
      <x:c r="K30" s="191"/>
      <x:c r="L30" s="191"/>
      <x:c r="M30" s="191"/>
      <x:c r="N30" s="191"/>
      <x:c r="O30" s="191"/>
      <x:c r="P30" s="191"/>
      <x:c r="Q30" s="191"/>
      <x:c r="R30" s="191"/>
      <x:c r="S30" s="191"/>
      <x:c r="T30" s="191"/>
      <x:c r="U30" s="191"/>
      <x:c r="V30" s="191"/>
      <x:c r="W30" s="191"/>
      <x:c r="X30" s="191"/>
      <x:c r="Y30" s="191"/>
      <x:c r="Z30" s="191"/>
      <x:c r="AA30" s="191"/>
      <x:c r="AB30" s="191"/>
      <x:c r="AC30" s="191"/>
      <x:c r="AD30" s="191"/>
      <x:c r="AE30" s="191"/>
      <x:c r="AF30" s="191"/>
      <x:c r="AG30" s="191"/>
      <x:c r="AH30" s="191"/>
      <x:c r="AI30" s="191"/>
      <x:c r="AJ30" s="191"/>
      <x:c r="AK30" s="191"/>
    </x:row>
    <x:row r="31">
      <x:c r="A31" s="221" t="str">
        <x:v>SOFR</x:v>
      </x:c>
      <x:c r="B31" s="221" t="str">
        <x:v>IR_RATE</x:v>
      </x:c>
      <x:c r="C31" s="221" t="n">
        <x:v>5</x:v>
      </x:c>
      <x:c r="D31" s="221" t="str">
        <x:v>3Y</x:v>
      </x:c>
      <x:c r="E31" s="221" t="str">
        <x:v>SOFR_Step04</x:v>
      </x:c>
      <x:c r="F31" s="222" t="n">
        <x:v>-175</x:v>
      </x:c>
      <x:c r="G31" s="223" t="str">
        <x:v>=gxlCurveDiscShift(SOFR_Step04, "3Y", -175)</x:v>
      </x:c>
      <x:c r="H31" s="224" t="str">
        <x:v>SOFR_Step05</x:v>
      </x:c>
      <x:c r="I31" s="224" t="str">
        <x:v>SOFR_Step05</x:v>
      </x:c>
      <x:c r="J31" s="192" t="str">
        <x:v>No</x:v>
      </x:c>
      <x:c r="K31" s="191"/>
      <x:c r="L31" s="191"/>
      <x:c r="M31" s="191"/>
      <x:c r="N31" s="191"/>
      <x:c r="O31" s="191"/>
      <x:c r="P31" s="191"/>
      <x:c r="Q31" s="191"/>
      <x:c r="R31" s="191"/>
      <x:c r="S31" s="191"/>
      <x:c r="T31" s="191"/>
      <x:c r="U31" s="191"/>
      <x:c r="V31" s="191"/>
      <x:c r="W31" s="191"/>
      <x:c r="X31" s="191"/>
      <x:c r="Y31" s="191"/>
      <x:c r="Z31" s="191"/>
      <x:c r="AA31" s="191"/>
      <x:c r="AB31" s="191"/>
      <x:c r="AC31" s="191"/>
      <x:c r="AD31" s="191"/>
      <x:c r="AE31" s="191"/>
      <x:c r="AF31" s="191"/>
      <x:c r="AG31" s="191"/>
      <x:c r="AH31" s="191"/>
      <x:c r="AI31" s="191"/>
      <x:c r="AJ31" s="191"/>
      <x:c r="AK31" s="191"/>
    </x:row>
    <x:row r="32">
      <x:c r="A32" s="221" t="str">
        <x:v>SOFR</x:v>
      </x:c>
      <x:c r="B32" s="221" t="str">
        <x:v>IR_RATE</x:v>
      </x:c>
      <x:c r="C32" s="221" t="n">
        <x:v>6</x:v>
      </x:c>
      <x:c r="D32" s="221" t="str">
        <x:v>5Y</x:v>
      </x:c>
      <x:c r="E32" s="221" t="str">
        <x:v>SOFR_Step05</x:v>
      </x:c>
      <x:c r="F32" s="222" t="n">
        <x:v>-180</x:v>
      </x:c>
      <x:c r="G32" s="223" t="str">
        <x:v>=gxlCurveDiscShift(SOFR_Step05, "5Y", -180)</x:v>
      </x:c>
      <x:c r="H32" s="224" t="str">
        <x:v>SOFR_Step06</x:v>
      </x:c>
      <x:c r="I32" s="224" t="str">
        <x:v>SOFR_Step06</x:v>
      </x:c>
      <x:c r="J32" s="192" t="str">
        <x:v>No</x:v>
      </x:c>
      <x:c r="K32" s="191"/>
      <x:c r="L32" s="191"/>
      <x:c r="M32" s="191"/>
      <x:c r="N32" s="191"/>
      <x:c r="O32" s="191"/>
      <x:c r="P32" s="191"/>
      <x:c r="Q32" s="191"/>
      <x:c r="R32" s="191"/>
      <x:c r="S32" s="191"/>
      <x:c r="T32" s="191"/>
      <x:c r="U32" s="191"/>
      <x:c r="V32" s="191"/>
      <x:c r="W32" s="191"/>
      <x:c r="X32" s="191"/>
      <x:c r="Y32" s="191"/>
      <x:c r="Z32" s="191"/>
      <x:c r="AA32" s="191"/>
      <x:c r="AB32" s="191"/>
      <x:c r="AC32" s="191"/>
      <x:c r="AD32" s="191"/>
      <x:c r="AE32" s="191"/>
      <x:c r="AF32" s="191"/>
      <x:c r="AG32" s="191"/>
      <x:c r="AH32" s="191"/>
      <x:c r="AI32" s="191"/>
      <x:c r="AJ32" s="191"/>
      <x:c r="AK32" s="191"/>
    </x:row>
    <x:row r="33">
      <x:c r="A33" s="221" t="str">
        <x:v>SOFR</x:v>
      </x:c>
      <x:c r="B33" s="221" t="str">
        <x:v>IR_RATE</x:v>
      </x:c>
      <x:c r="C33" s="221" t="n">
        <x:v>7</x:v>
      </x:c>
      <x:c r="D33" s="221" t="str">
        <x:v>10Y</x:v>
      </x:c>
      <x:c r="E33" s="221" t="str">
        <x:v>SOFR_Step06</x:v>
      </x:c>
      <x:c r="F33" s="222" t="n">
        <x:v>-170</x:v>
      </x:c>
      <x:c r="G33" s="223" t="str">
        <x:v>=gxlCurveDiscShift(SOFR_Step06, "10Y", -170)</x:v>
      </x:c>
      <x:c r="H33" s="224" t="str">
        <x:v>SOFR_Step07</x:v>
      </x:c>
      <x:c r="I33" s="224" t="str">
        <x:v>SOFR_Step07</x:v>
      </x:c>
      <x:c r="J33" s="192" t="str">
        <x:v>No</x:v>
      </x:c>
      <x:c r="K33" s="191"/>
      <x:c r="L33" s="191"/>
      <x:c r="M33" s="191"/>
      <x:c r="N33" s="191"/>
      <x:c r="O33" s="191"/>
      <x:c r="P33" s="191"/>
      <x:c r="Q33" s="191"/>
      <x:c r="R33" s="191"/>
      <x:c r="S33" s="191"/>
      <x:c r="T33" s="191"/>
      <x:c r="U33" s="191"/>
      <x:c r="V33" s="191"/>
      <x:c r="W33" s="191"/>
      <x:c r="X33" s="191"/>
      <x:c r="Y33" s="191"/>
      <x:c r="Z33" s="191"/>
      <x:c r="AA33" s="191"/>
      <x:c r="AB33" s="191"/>
      <x:c r="AC33" s="191"/>
      <x:c r="AD33" s="191"/>
      <x:c r="AE33" s="191"/>
      <x:c r="AF33" s="191"/>
      <x:c r="AG33" s="191"/>
      <x:c r="AH33" s="191"/>
      <x:c r="AI33" s="191"/>
      <x:c r="AJ33" s="191"/>
      <x:c r="AK33" s="191"/>
    </x:row>
    <x:row r="34">
      <x:c r="A34" s="221" t="str">
        <x:v>SOFR</x:v>
      </x:c>
      <x:c r="B34" s="221" t="str">
        <x:v>IR_RATE</x:v>
      </x:c>
      <x:c r="C34" s="221" t="n">
        <x:v>8</x:v>
      </x:c>
      <x:c r="D34" s="221" t="str">
        <x:v>20Y</x:v>
      </x:c>
      <x:c r="E34" s="221" t="str">
        <x:v>SOFR_Step07</x:v>
      </x:c>
      <x:c r="F34" s="222" t="n">
        <x:v>-150</x:v>
      </x:c>
      <x:c r="G34" s="223" t="str">
        <x:v>=gxlCurveDiscShift(SOFR_Step07, "20Y", -150)</x:v>
      </x:c>
      <x:c r="H34" s="224" t="str">
        <x:v>SOFR_Step08</x:v>
      </x:c>
      <x:c r="I34" s="224" t="str">
        <x:v>SOFR_Step08</x:v>
      </x:c>
      <x:c r="J34" s="192" t="str">
        <x:v>No</x:v>
      </x:c>
      <x:c r="K34" s="191"/>
      <x:c r="L34" s="191"/>
      <x:c r="M34" s="191"/>
      <x:c r="N34" s="191"/>
      <x:c r="O34" s="191"/>
      <x:c r="P34" s="191"/>
      <x:c r="Q34" s="191"/>
      <x:c r="R34" s="191"/>
      <x:c r="S34" s="191"/>
      <x:c r="T34" s="191"/>
      <x:c r="U34" s="191"/>
      <x:c r="V34" s="191"/>
      <x:c r="W34" s="191"/>
      <x:c r="X34" s="191"/>
      <x:c r="Y34" s="191"/>
      <x:c r="Z34" s="191"/>
      <x:c r="AA34" s="191"/>
      <x:c r="AB34" s="191"/>
      <x:c r="AC34" s="191"/>
      <x:c r="AD34" s="191"/>
      <x:c r="AE34" s="191"/>
      <x:c r="AF34" s="191"/>
      <x:c r="AG34" s="191"/>
      <x:c r="AH34" s="191"/>
      <x:c r="AI34" s="191"/>
      <x:c r="AJ34" s="191"/>
      <x:c r="AK34" s="191"/>
    </x:row>
    <x:row r="35">
      <x:c r="A35" s="225" t="str">
        <x:v>SOFR</x:v>
      </x:c>
      <x:c r="B35" s="225" t="str">
        <x:v>IR_RATE</x:v>
      </x:c>
      <x:c r="C35" s="225" t="n">
        <x:v>9</x:v>
      </x:c>
      <x:c r="D35" s="225" t="str">
        <x:v>30Y</x:v>
      </x:c>
      <x:c r="E35" s="225" t="str">
        <x:v>SOFR_Step08</x:v>
      </x:c>
      <x:c r="F35" s="226" t="n">
        <x:v>-130</x:v>
      </x:c>
      <x:c r="G35" s="227" t="str">
        <x:v>=gxlCurveDiscShift(SOFR_Step08, "30Y", -130)</x:v>
      </x:c>
      <x:c r="H35" s="228" t="str">
        <x:v>SOFR_Step09</x:v>
      </x:c>
      <x:c r="I35" s="228" t="str">
        <x:v>SOFR_Step09</x:v>
      </x:c>
      <x:c r="J35" s="229" t="str">
        <x:v>Yes</x:v>
      </x:c>
      <x:c r="K35" s="191"/>
      <x:c r="L35" s="191"/>
      <x:c r="M35" s="191"/>
      <x:c r="N35" s="191"/>
      <x:c r="O35" s="191"/>
      <x:c r="P35" s="191"/>
      <x:c r="Q35" s="191"/>
      <x:c r="R35" s="191"/>
      <x:c r="S35" s="191"/>
      <x:c r="T35" s="191"/>
      <x:c r="U35" s="191"/>
      <x:c r="V35" s="191"/>
      <x:c r="W35" s="191"/>
      <x:c r="X35" s="191"/>
      <x:c r="Y35" s="191"/>
      <x:c r="Z35" s="191"/>
      <x:c r="AA35" s="191"/>
      <x:c r="AB35" s="191"/>
      <x:c r="AC35" s="191"/>
      <x:c r="AD35" s="191"/>
      <x:c r="AE35" s="191"/>
      <x:c r="AF35" s="191"/>
      <x:c r="AG35" s="191"/>
      <x:c r="AH35" s="191"/>
      <x:c r="AI35" s="191"/>
      <x:c r="AJ35" s="191"/>
      <x:c r="AK35" s="191"/>
    </x:row>
    <x:row r="36">
      <x:c r="A36" s="225" t="str">
        <x:v>SOFR</x:v>
      </x:c>
      <x:c r="B36" s="225" t="str">
        <x:v>IR_RATE</x:v>
      </x:c>
      <x:c r="C36" s="225" t="n">
        <x:v>10</x:v>
      </x:c>
      <x:c r="D36" s="225" t="str">
        <x:v>Hold final</x:v>
      </x:c>
      <x:c r="E36" s="225" t="str">
        <x:v>SOFR_Step09</x:v>
      </x:c>
      <x:c r="F36" s="226" t="n">
        <x:v>0</x:v>
      </x:c>
      <x:c r="G36" s="227" t="str">
        <x:v>No additional non-vol node; reuse Step09 object</x:v>
      </x:c>
      <x:c r="H36" s="228" t="str">
        <x:v>SOFR_Step09</x:v>
      </x:c>
      <x:c r="I36" s="228" t="str">
        <x:v>SOFR_Step09</x:v>
      </x:c>
      <x:c r="J36" s="229" t="str">
        <x:v>Yes</x:v>
      </x:c>
      <x:c r="K36" s="191"/>
      <x:c r="L36" s="191"/>
      <x:c r="M36" s="191"/>
      <x:c r="N36" s="191"/>
      <x:c r="O36" s="191"/>
      <x:c r="P36" s="191"/>
      <x:c r="Q36" s="191"/>
      <x:c r="R36" s="191"/>
      <x:c r="S36" s="191"/>
      <x:c r="T36" s="191"/>
      <x:c r="U36" s="191"/>
      <x:c r="V36" s="191"/>
      <x:c r="W36" s="191"/>
      <x:c r="X36" s="191"/>
      <x:c r="Y36" s="191"/>
      <x:c r="Z36" s="191"/>
      <x:c r="AA36" s="191"/>
      <x:c r="AB36" s="191"/>
      <x:c r="AC36" s="191"/>
      <x:c r="AD36" s="191"/>
      <x:c r="AE36" s="191"/>
      <x:c r="AF36" s="191"/>
      <x:c r="AG36" s="191"/>
      <x:c r="AH36" s="191"/>
      <x:c r="AI36" s="191"/>
      <x:c r="AJ36" s="191"/>
      <x:c r="AK36" s="191"/>
    </x:row>
    <x:row r="37">
      <x:c r="A37" s="219" t="str">
        <x:v>Treasury</x:v>
      </x:c>
      <x:c r="B37" s="219" t="str">
        <x:v>Credit</x:v>
      </x:c>
      <x:c r="C37" s="219" t="n">
        <x:v>0</x:v>
      </x:c>
      <x:c r="D37" s="219" t="str">
        <x:v>Base</x:v>
      </x:c>
      <x:c r="E37" s="219" t="str">
        <x:v>—</x:v>
      </x:c>
      <x:c r="F37" s="220" t="n">
        <x:v>0</x:v>
      </x:c>
      <x:c r="G37" s="219" t="str">
        <x:v>Base curve object pulled for valuation date</x:v>
      </x:c>
      <x:c r="H37" s="219" t="str">
        <x:v>Base_Treasury</x:v>
      </x:c>
      <x:c r="I37" s="219" t="str">
        <x:v>Base_Treasury</x:v>
      </x:c>
      <x:c r="J37" s="219" t="str">
        <x:v>No</x:v>
      </x:c>
      <x:c r="K37" s="191"/>
      <x:c r="L37" s="191"/>
      <x:c r="M37" s="191"/>
      <x:c r="N37" s="191"/>
      <x:c r="O37" s="191"/>
      <x:c r="P37" s="191"/>
      <x:c r="Q37" s="191"/>
      <x:c r="R37" s="191"/>
      <x:c r="S37" s="191"/>
      <x:c r="T37" s="191"/>
      <x:c r="U37" s="191"/>
      <x:c r="V37" s="191"/>
      <x:c r="W37" s="191"/>
      <x:c r="X37" s="191"/>
      <x:c r="Y37" s="191"/>
      <x:c r="Z37" s="191"/>
      <x:c r="AA37" s="191"/>
      <x:c r="AB37" s="191"/>
      <x:c r="AC37" s="191"/>
      <x:c r="AD37" s="191"/>
      <x:c r="AE37" s="191"/>
      <x:c r="AF37" s="191"/>
      <x:c r="AG37" s="191"/>
      <x:c r="AH37" s="191"/>
      <x:c r="AI37" s="191"/>
      <x:c r="AJ37" s="191"/>
      <x:c r="AK37" s="191"/>
    </x:row>
    <x:row r="38">
      <x:c r="A38" s="221" t="str">
        <x:v>Treasury</x:v>
      </x:c>
      <x:c r="B38" s="221" t="str">
        <x:v>Credit</x:v>
      </x:c>
      <x:c r="C38" s="221" t="n">
        <x:v>1</x:v>
      </x:c>
      <x:c r="D38" s="221" t="str">
        <x:v>3M</x:v>
      </x:c>
      <x:c r="E38" s="221" t="str">
        <x:v>Base_Treasury</x:v>
      </x:c>
      <x:c r="F38" s="222" t="n">
        <x:v>-140</x:v>
      </x:c>
      <x:c r="G38" s="223" t="str">
        <x:v>=gxlCurveDiscShift(Base_Treasury, "3M", -140)</x:v>
      </x:c>
      <x:c r="H38" s="224" t="str">
        <x:v>Treasury_Step01</x:v>
      </x:c>
      <x:c r="I38" s="224" t="str">
        <x:v>Treasury_Step01</x:v>
      </x:c>
      <x:c r="J38" s="192" t="str">
        <x:v>No</x:v>
      </x:c>
      <x:c r="K38" s="191"/>
      <x:c r="L38" s="191"/>
      <x:c r="M38" s="191"/>
      <x:c r="N38" s="191"/>
      <x:c r="O38" s="191"/>
      <x:c r="P38" s="191"/>
      <x:c r="Q38" s="191"/>
      <x:c r="R38" s="191"/>
      <x:c r="S38" s="191"/>
      <x:c r="T38" s="191"/>
      <x:c r="U38" s="191"/>
      <x:c r="V38" s="191"/>
      <x:c r="W38" s="191"/>
      <x:c r="X38" s="191"/>
      <x:c r="Y38" s="191"/>
      <x:c r="Z38" s="191"/>
      <x:c r="AA38" s="191"/>
      <x:c r="AB38" s="191"/>
      <x:c r="AC38" s="191"/>
      <x:c r="AD38" s="191"/>
      <x:c r="AE38" s="191"/>
      <x:c r="AF38" s="191"/>
      <x:c r="AG38" s="191"/>
      <x:c r="AH38" s="191"/>
      <x:c r="AI38" s="191"/>
      <x:c r="AJ38" s="191"/>
      <x:c r="AK38" s="191"/>
    </x:row>
    <x:row r="39">
      <x:c r="A39" s="221" t="str">
        <x:v>Treasury</x:v>
      </x:c>
      <x:c r="B39" s="221" t="str">
        <x:v>Credit</x:v>
      </x:c>
      <x:c r="C39" s="221" t="n">
        <x:v>2</x:v>
      </x:c>
      <x:c r="D39" s="221" t="str">
        <x:v>6M</x:v>
      </x:c>
      <x:c r="E39" s="221" t="str">
        <x:v>Treasury_Step01</x:v>
      </x:c>
      <x:c r="F39" s="222" t="n">
        <x:v>-155</x:v>
      </x:c>
      <x:c r="G39" s="223" t="str">
        <x:v>=gxlCurveDiscShift(Treasury_Step01, "6M", -155)</x:v>
      </x:c>
      <x:c r="H39" s="224" t="str">
        <x:v>Treasury_Step02</x:v>
      </x:c>
      <x:c r="I39" s="224" t="str">
        <x:v>Treasury_Step02</x:v>
      </x:c>
      <x:c r="J39" s="192" t="str">
        <x:v>No</x:v>
      </x:c>
      <x:c r="K39" s="191"/>
      <x:c r="L39" s="191"/>
      <x:c r="M39" s="191"/>
      <x:c r="N39" s="191"/>
      <x:c r="O39" s="191"/>
      <x:c r="P39" s="191"/>
      <x:c r="Q39" s="191"/>
      <x:c r="R39" s="191"/>
      <x:c r="S39" s="191"/>
      <x:c r="T39" s="191"/>
      <x:c r="U39" s="191"/>
      <x:c r="V39" s="191"/>
      <x:c r="W39" s="191"/>
      <x:c r="X39" s="191"/>
      <x:c r="Y39" s="191"/>
      <x:c r="Z39" s="191"/>
      <x:c r="AA39" s="191"/>
      <x:c r="AB39" s="191"/>
      <x:c r="AC39" s="191"/>
      <x:c r="AD39" s="191"/>
      <x:c r="AE39" s="191"/>
      <x:c r="AF39" s="191"/>
      <x:c r="AG39" s="191"/>
      <x:c r="AH39" s="191"/>
      <x:c r="AI39" s="191"/>
      <x:c r="AJ39" s="191"/>
      <x:c r="AK39" s="191"/>
    </x:row>
    <x:row r="40">
      <x:c r="A40" s="221" t="str">
        <x:v>Treasury</x:v>
      </x:c>
      <x:c r="B40" s="221" t="str">
        <x:v>Credit</x:v>
      </x:c>
      <x:c r="C40" s="221" t="n">
        <x:v>3</x:v>
      </x:c>
      <x:c r="D40" s="221" t="str">
        <x:v>1Y</x:v>
      </x:c>
      <x:c r="E40" s="221" t="str">
        <x:v>Treasury_Step02</x:v>
      </x:c>
      <x:c r="F40" s="222" t="n">
        <x:v>-165</x:v>
      </x:c>
      <x:c r="G40" s="223" t="str">
        <x:v>=gxlCurveDiscShift(Treasury_Step02, "1Y", -165)</x:v>
      </x:c>
      <x:c r="H40" s="224" t="str">
        <x:v>Treasury_Step03</x:v>
      </x:c>
      <x:c r="I40" s="224" t="str">
        <x:v>Treasury_Step03</x:v>
      </x:c>
      <x:c r="J40" s="192" t="str">
        <x:v>No</x:v>
      </x:c>
      <x:c r="K40" s="191"/>
      <x:c r="L40" s="191"/>
      <x:c r="M40" s="191"/>
      <x:c r="N40" s="191"/>
      <x:c r="O40" s="191"/>
      <x:c r="P40" s="191"/>
      <x:c r="Q40" s="191"/>
      <x:c r="R40" s="191"/>
      <x:c r="S40" s="191"/>
      <x:c r="T40" s="191"/>
      <x:c r="U40" s="191"/>
      <x:c r="V40" s="191"/>
      <x:c r="W40" s="191"/>
      <x:c r="X40" s="191"/>
      <x:c r="Y40" s="191"/>
      <x:c r="Z40" s="191"/>
      <x:c r="AA40" s="191"/>
      <x:c r="AB40" s="191"/>
      <x:c r="AC40" s="191"/>
      <x:c r="AD40" s="191"/>
      <x:c r="AE40" s="191"/>
      <x:c r="AF40" s="191"/>
      <x:c r="AG40" s="191"/>
      <x:c r="AH40" s="191"/>
      <x:c r="AI40" s="191"/>
      <x:c r="AJ40" s="191"/>
      <x:c r="AK40" s="191"/>
    </x:row>
    <x:row r="41">
      <x:c r="A41" s="221" t="str">
        <x:v>Treasury</x:v>
      </x:c>
      <x:c r="B41" s="221" t="str">
        <x:v>Credit</x:v>
      </x:c>
      <x:c r="C41" s="221" t="n">
        <x:v>4</x:v>
      </x:c>
      <x:c r="D41" s="221" t="str">
        <x:v>2Y</x:v>
      </x:c>
      <x:c r="E41" s="221" t="str">
        <x:v>Treasury_Step03</x:v>
      </x:c>
      <x:c r="F41" s="222" t="n">
        <x:v>-175</x:v>
      </x:c>
      <x:c r="G41" s="223" t="str">
        <x:v>=gxlCurveDiscShift(Treasury_Step03, "2Y", -175)</x:v>
      </x:c>
      <x:c r="H41" s="224" t="str">
        <x:v>Treasury_Step04</x:v>
      </x:c>
      <x:c r="I41" s="224" t="str">
        <x:v>Treasury_Step04</x:v>
      </x:c>
      <x:c r="J41" s="192" t="str">
        <x:v>No</x:v>
      </x:c>
      <x:c r="K41" s="191"/>
      <x:c r="L41" s="191"/>
      <x:c r="M41" s="191"/>
      <x:c r="N41" s="191"/>
      <x:c r="O41" s="191"/>
      <x:c r="P41" s="191"/>
      <x:c r="Q41" s="191"/>
      <x:c r="R41" s="191"/>
      <x:c r="S41" s="191"/>
      <x:c r="T41" s="191"/>
      <x:c r="U41" s="191"/>
      <x:c r="V41" s="191"/>
      <x:c r="W41" s="191"/>
      <x:c r="X41" s="191"/>
      <x:c r="Y41" s="191"/>
      <x:c r="Z41" s="191"/>
      <x:c r="AA41" s="191"/>
      <x:c r="AB41" s="191"/>
      <x:c r="AC41" s="191"/>
      <x:c r="AD41" s="191"/>
      <x:c r="AE41" s="191"/>
      <x:c r="AF41" s="191"/>
      <x:c r="AG41" s="191"/>
      <x:c r="AH41" s="191"/>
      <x:c r="AI41" s="191"/>
      <x:c r="AJ41" s="191"/>
      <x:c r="AK41" s="191"/>
    </x:row>
    <x:row r="42">
      <x:c r="A42" s="221" t="str">
        <x:v>Treasury</x:v>
      </x:c>
      <x:c r="B42" s="221" t="str">
        <x:v>Credit</x:v>
      </x:c>
      <x:c r="C42" s="221" t="n">
        <x:v>5</x:v>
      </x:c>
      <x:c r="D42" s="221" t="str">
        <x:v>3Y</x:v>
      </x:c>
      <x:c r="E42" s="221" t="str">
        <x:v>Treasury_Step04</x:v>
      </x:c>
      <x:c r="F42" s="222" t="n">
        <x:v>-180</x:v>
      </x:c>
      <x:c r="G42" s="223" t="str">
        <x:v>=gxlCurveDiscShift(Treasury_Step04, "3Y", -180)</x:v>
      </x:c>
      <x:c r="H42" s="224" t="str">
        <x:v>Treasury_Step05</x:v>
      </x:c>
      <x:c r="I42" s="224" t="str">
        <x:v>Treasury_Step05</x:v>
      </x:c>
      <x:c r="J42" s="192" t="str">
        <x:v>No</x:v>
      </x:c>
      <x:c r="K42" s="191"/>
      <x:c r="L42" s="191"/>
      <x:c r="M42" s="191"/>
      <x:c r="N42" s="191"/>
      <x:c r="O42" s="191"/>
      <x:c r="P42" s="191"/>
      <x:c r="Q42" s="191"/>
      <x:c r="R42" s="191"/>
      <x:c r="S42" s="191"/>
      <x:c r="T42" s="191"/>
      <x:c r="U42" s="191"/>
      <x:c r="V42" s="191"/>
      <x:c r="W42" s="191"/>
      <x:c r="X42" s="191"/>
      <x:c r="Y42" s="191"/>
      <x:c r="Z42" s="191"/>
      <x:c r="AA42" s="191"/>
      <x:c r="AB42" s="191"/>
      <x:c r="AC42" s="191"/>
      <x:c r="AD42" s="191"/>
      <x:c r="AE42" s="191"/>
      <x:c r="AF42" s="191"/>
      <x:c r="AG42" s="191"/>
      <x:c r="AH42" s="191"/>
      <x:c r="AI42" s="191"/>
      <x:c r="AJ42" s="191"/>
      <x:c r="AK42" s="191"/>
    </x:row>
    <x:row r="43">
      <x:c r="A43" s="221" t="str">
        <x:v>Treasury</x:v>
      </x:c>
      <x:c r="B43" s="221" t="str">
        <x:v>Credit</x:v>
      </x:c>
      <x:c r="C43" s="221" t="n">
        <x:v>6</x:v>
      </x:c>
      <x:c r="D43" s="221" t="str">
        <x:v>5Y</x:v>
      </x:c>
      <x:c r="E43" s="221" t="str">
        <x:v>Treasury_Step05</x:v>
      </x:c>
      <x:c r="F43" s="222" t="n">
        <x:v>-175</x:v>
      </x:c>
      <x:c r="G43" s="223" t="str">
        <x:v>=gxlCurveDiscShift(Treasury_Step05, "5Y", -175)</x:v>
      </x:c>
      <x:c r="H43" s="224" t="str">
        <x:v>Treasury_Step06</x:v>
      </x:c>
      <x:c r="I43" s="224" t="str">
        <x:v>Treasury_Step06</x:v>
      </x:c>
      <x:c r="J43" s="192" t="str">
        <x:v>No</x:v>
      </x:c>
      <x:c r="K43" s="191"/>
      <x:c r="L43" s="191"/>
      <x:c r="M43" s="191"/>
      <x:c r="N43" s="191"/>
      <x:c r="O43" s="191"/>
      <x:c r="P43" s="191"/>
      <x:c r="Q43" s="191"/>
      <x:c r="R43" s="191"/>
      <x:c r="S43" s="191"/>
      <x:c r="T43" s="191"/>
      <x:c r="U43" s="191"/>
      <x:c r="V43" s="191"/>
      <x:c r="W43" s="191"/>
      <x:c r="X43" s="191"/>
      <x:c r="Y43" s="191"/>
      <x:c r="Z43" s="191"/>
      <x:c r="AA43" s="191"/>
      <x:c r="AB43" s="191"/>
      <x:c r="AC43" s="191"/>
      <x:c r="AD43" s="191"/>
      <x:c r="AE43" s="191"/>
      <x:c r="AF43" s="191"/>
      <x:c r="AG43" s="191"/>
      <x:c r="AH43" s="191"/>
      <x:c r="AI43" s="191"/>
      <x:c r="AJ43" s="191"/>
      <x:c r="AK43" s="191"/>
    </x:row>
    <x:row r="44">
      <x:c r="A44" s="221" t="str">
        <x:v>Treasury</x:v>
      </x:c>
      <x:c r="B44" s="221" t="str">
        <x:v>Credit</x:v>
      </x:c>
      <x:c r="C44" s="221" t="n">
        <x:v>7</x:v>
      </x:c>
      <x:c r="D44" s="221" t="str">
        <x:v>10Y</x:v>
      </x:c>
      <x:c r="E44" s="221" t="str">
        <x:v>Treasury_Step06</x:v>
      </x:c>
      <x:c r="F44" s="222" t="n">
        <x:v>-160</x:v>
      </x:c>
      <x:c r="G44" s="223" t="str">
        <x:v>=gxlCurveDiscShift(Treasury_Step06, "10Y", -160)</x:v>
      </x:c>
      <x:c r="H44" s="224" t="str">
        <x:v>Treasury_Step07</x:v>
      </x:c>
      <x:c r="I44" s="224" t="str">
        <x:v>Treasury_Step07</x:v>
      </x:c>
      <x:c r="J44" s="192" t="str">
        <x:v>No</x:v>
      </x:c>
      <x:c r="K44" s="191"/>
      <x:c r="L44" s="191"/>
      <x:c r="M44" s="191"/>
      <x:c r="N44" s="191"/>
      <x:c r="O44" s="191"/>
      <x:c r="P44" s="191"/>
      <x:c r="Q44" s="191"/>
      <x:c r="R44" s="191"/>
      <x:c r="S44" s="191"/>
      <x:c r="T44" s="191"/>
      <x:c r="U44" s="191"/>
      <x:c r="V44" s="191"/>
      <x:c r="W44" s="191"/>
      <x:c r="X44" s="191"/>
      <x:c r="Y44" s="191"/>
      <x:c r="Z44" s="191"/>
      <x:c r="AA44" s="191"/>
      <x:c r="AB44" s="191"/>
      <x:c r="AC44" s="191"/>
      <x:c r="AD44" s="191"/>
      <x:c r="AE44" s="191"/>
      <x:c r="AF44" s="191"/>
      <x:c r="AG44" s="191"/>
      <x:c r="AH44" s="191"/>
      <x:c r="AI44" s="191"/>
      <x:c r="AJ44" s="191"/>
      <x:c r="AK44" s="191"/>
    </x:row>
    <x:row r="45">
      <x:c r="A45" s="221" t="str">
        <x:v>Treasury</x:v>
      </x:c>
      <x:c r="B45" s="221" t="str">
        <x:v>Credit</x:v>
      </x:c>
      <x:c r="C45" s="221" t="n">
        <x:v>8</x:v>
      </x:c>
      <x:c r="D45" s="221" t="str">
        <x:v>20Y</x:v>
      </x:c>
      <x:c r="E45" s="221" t="str">
        <x:v>Treasury_Step07</x:v>
      </x:c>
      <x:c r="F45" s="222" t="n">
        <x:v>-145</x:v>
      </x:c>
      <x:c r="G45" s="223" t="str">
        <x:v>=gxlCurveDiscShift(Treasury_Step07, "20Y", -145)</x:v>
      </x:c>
      <x:c r="H45" s="224" t="str">
        <x:v>Treasury_Step08</x:v>
      </x:c>
      <x:c r="I45" s="224" t="str">
        <x:v>Treasury_Step08</x:v>
      </x:c>
      <x:c r="J45" s="192" t="str">
        <x:v>No</x:v>
      </x:c>
      <x:c r="K45" s="191"/>
      <x:c r="L45" s="191"/>
      <x:c r="M45" s="191"/>
      <x:c r="N45" s="191"/>
      <x:c r="O45" s="191"/>
      <x:c r="P45" s="191"/>
      <x:c r="Q45" s="191"/>
      <x:c r="R45" s="191"/>
      <x:c r="S45" s="191"/>
      <x:c r="T45" s="191"/>
      <x:c r="U45" s="191"/>
      <x:c r="V45" s="191"/>
      <x:c r="W45" s="191"/>
      <x:c r="X45" s="191"/>
      <x:c r="Y45" s="191"/>
      <x:c r="Z45" s="191"/>
      <x:c r="AA45" s="191"/>
      <x:c r="AB45" s="191"/>
      <x:c r="AC45" s="191"/>
      <x:c r="AD45" s="191"/>
      <x:c r="AE45" s="191"/>
      <x:c r="AF45" s="191"/>
      <x:c r="AG45" s="191"/>
      <x:c r="AH45" s="191"/>
      <x:c r="AI45" s="191"/>
      <x:c r="AJ45" s="191"/>
      <x:c r="AK45" s="191"/>
    </x:row>
    <x:row r="46">
      <x:c r="A46" s="225" t="str">
        <x:v>Treasury</x:v>
      </x:c>
      <x:c r="B46" s="225" t="str">
        <x:v>Credit</x:v>
      </x:c>
      <x:c r="C46" s="225" t="n">
        <x:v>9</x:v>
      </x:c>
      <x:c r="D46" s="225" t="str">
        <x:v>30Y</x:v>
      </x:c>
      <x:c r="E46" s="225" t="str">
        <x:v>Treasury_Step08</x:v>
      </x:c>
      <x:c r="F46" s="226" t="n">
        <x:v>-125</x:v>
      </x:c>
      <x:c r="G46" s="227" t="str">
        <x:v>=gxlCurveDiscShift(Treasury_Step08, "30Y", -125)</x:v>
      </x:c>
      <x:c r="H46" s="228" t="str">
        <x:v>Treasury_Step09</x:v>
      </x:c>
      <x:c r="I46" s="228" t="str">
        <x:v>Treasury_Step09</x:v>
      </x:c>
      <x:c r="J46" s="229" t="str">
        <x:v>Yes</x:v>
      </x:c>
      <x:c r="K46" s="191"/>
      <x:c r="L46" s="191"/>
      <x:c r="M46" s="191"/>
      <x:c r="N46" s="191"/>
      <x:c r="O46" s="191"/>
      <x:c r="P46" s="191"/>
      <x:c r="Q46" s="191"/>
      <x:c r="R46" s="191"/>
      <x:c r="S46" s="191"/>
      <x:c r="T46" s="191"/>
      <x:c r="U46" s="191"/>
      <x:c r="V46" s="191"/>
      <x:c r="W46" s="191"/>
      <x:c r="X46" s="191"/>
      <x:c r="Y46" s="191"/>
      <x:c r="Z46" s="191"/>
      <x:c r="AA46" s="191"/>
      <x:c r="AB46" s="191"/>
      <x:c r="AC46" s="191"/>
      <x:c r="AD46" s="191"/>
      <x:c r="AE46" s="191"/>
      <x:c r="AF46" s="191"/>
      <x:c r="AG46" s="191"/>
      <x:c r="AH46" s="191"/>
      <x:c r="AI46" s="191"/>
      <x:c r="AJ46" s="191"/>
      <x:c r="AK46" s="191"/>
    </x:row>
    <x:row r="47">
      <x:c r="A47" s="225" t="str">
        <x:v>Treasury</x:v>
      </x:c>
      <x:c r="B47" s="225" t="str">
        <x:v>Credit</x:v>
      </x:c>
      <x:c r="C47" s="225" t="n">
        <x:v>10</x:v>
      </x:c>
      <x:c r="D47" s="225" t="str">
        <x:v>Hold final</x:v>
      </x:c>
      <x:c r="E47" s="225" t="str">
        <x:v>Treasury_Step09</x:v>
      </x:c>
      <x:c r="F47" s="226" t="n">
        <x:v>0</x:v>
      </x:c>
      <x:c r="G47" s="227" t="str">
        <x:v>No additional non-vol node; reuse Step09 object</x:v>
      </x:c>
      <x:c r="H47" s="228" t="str">
        <x:v>Treasury_Step09</x:v>
      </x:c>
      <x:c r="I47" s="228" t="str">
        <x:v>Treasury_Step09</x:v>
      </x:c>
      <x:c r="J47" s="229" t="str">
        <x:v>Yes</x:v>
      </x:c>
      <x:c r="K47" s="191"/>
      <x:c r="L47" s="191"/>
      <x:c r="M47" s="191"/>
      <x:c r="N47" s="191"/>
      <x:c r="O47" s="191"/>
      <x:c r="P47" s="191"/>
      <x:c r="Q47" s="191"/>
      <x:c r="R47" s="191"/>
      <x:c r="S47" s="191"/>
      <x:c r="T47" s="191"/>
      <x:c r="U47" s="191"/>
      <x:c r="V47" s="191"/>
      <x:c r="W47" s="191"/>
      <x:c r="X47" s="191"/>
      <x:c r="Y47" s="191"/>
      <x:c r="Z47" s="191"/>
      <x:c r="AA47" s="191"/>
      <x:c r="AB47" s="191"/>
      <x:c r="AC47" s="191"/>
      <x:c r="AD47" s="191"/>
      <x:c r="AE47" s="191"/>
      <x:c r="AF47" s="191"/>
      <x:c r="AG47" s="191"/>
      <x:c r="AH47" s="191"/>
      <x:c r="AI47" s="191"/>
      <x:c r="AJ47" s="191"/>
      <x:c r="AK47" s="191"/>
    </x:row>
    <x:row r="48">
      <x:c r="A48" s="219" t="str">
        <x:v>EURUSD</x:v>
      </x:c>
      <x:c r="B48" s="219" t="str">
        <x:v>FX_RATE</x:v>
      </x:c>
      <x:c r="C48" s="219" t="n">
        <x:v>0</x:v>
      </x:c>
      <x:c r="D48" s="219" t="str">
        <x:v>Base</x:v>
      </x:c>
      <x:c r="E48" s="219" t="str">
        <x:v>—</x:v>
      </x:c>
      <x:c r="F48" s="220" t="n">
        <x:v>0</x:v>
      </x:c>
      <x:c r="G48" s="219" t="str">
        <x:v>Base curve object pulled for valuation date</x:v>
      </x:c>
      <x:c r="H48" s="219" t="str">
        <x:v>Base_EURUSD</x:v>
      </x:c>
      <x:c r="I48" s="219" t="str">
        <x:v>Base_EURUSD</x:v>
      </x:c>
      <x:c r="J48" s="219" t="str">
        <x:v>No</x:v>
      </x:c>
      <x:c r="K48" s="191"/>
      <x:c r="L48" s="191"/>
      <x:c r="M48" s="191"/>
      <x:c r="N48" s="191"/>
      <x:c r="O48" s="191"/>
      <x:c r="P48" s="191"/>
      <x:c r="Q48" s="191"/>
      <x:c r="R48" s="191"/>
      <x:c r="S48" s="191"/>
      <x:c r="T48" s="191"/>
      <x:c r="U48" s="191"/>
      <x:c r="V48" s="191"/>
      <x:c r="W48" s="191"/>
      <x:c r="X48" s="191"/>
      <x:c r="Y48" s="191"/>
      <x:c r="Z48" s="191"/>
      <x:c r="AA48" s="191"/>
      <x:c r="AB48" s="191"/>
      <x:c r="AC48" s="191"/>
      <x:c r="AD48" s="191"/>
      <x:c r="AE48" s="191"/>
      <x:c r="AF48" s="191"/>
      <x:c r="AG48" s="191"/>
      <x:c r="AH48" s="191"/>
      <x:c r="AI48" s="191"/>
      <x:c r="AJ48" s="191"/>
      <x:c r="AK48" s="191"/>
    </x:row>
    <x:row r="49">
      <x:c r="A49" s="221" t="str">
        <x:v>EURUSD</x:v>
      </x:c>
      <x:c r="B49" s="221" t="str">
        <x:v>FX_RATE</x:v>
      </x:c>
      <x:c r="C49" s="221" t="n">
        <x:v>1</x:v>
      </x:c>
      <x:c r="D49" s="221" t="str">
        <x:v>3M</x:v>
      </x:c>
      <x:c r="E49" s="221" t="str">
        <x:v>Base_EURUSD</x:v>
      </x:c>
      <x:c r="F49" s="222" t="n">
        <x:v>-180</x:v>
      </x:c>
      <x:c r="G49" s="223" t="str">
        <x:v>=gxlCurveDiscShift(Base_EURUSD, "3M", -180)</x:v>
      </x:c>
      <x:c r="H49" s="224" t="str">
        <x:v>EURUSD_Step01</x:v>
      </x:c>
      <x:c r="I49" s="224" t="str">
        <x:v>EURUSD_Step01</x:v>
      </x:c>
      <x:c r="J49" s="192" t="str">
        <x:v>No</x:v>
      </x:c>
      <x:c r="K49" s="191"/>
      <x:c r="L49" s="191"/>
      <x:c r="M49" s="191"/>
      <x:c r="N49" s="191"/>
      <x:c r="O49" s="191"/>
      <x:c r="P49" s="191"/>
      <x:c r="Q49" s="191"/>
      <x:c r="R49" s="191"/>
      <x:c r="S49" s="191"/>
      <x:c r="T49" s="191"/>
      <x:c r="U49" s="191"/>
      <x:c r="V49" s="191"/>
      <x:c r="W49" s="191"/>
      <x:c r="X49" s="191"/>
      <x:c r="Y49" s="191"/>
      <x:c r="Z49" s="191"/>
      <x:c r="AA49" s="191"/>
      <x:c r="AB49" s="191"/>
      <x:c r="AC49" s="191"/>
      <x:c r="AD49" s="191"/>
      <x:c r="AE49" s="191"/>
      <x:c r="AF49" s="191"/>
      <x:c r="AG49" s="191"/>
      <x:c r="AH49" s="191"/>
      <x:c r="AI49" s="191"/>
      <x:c r="AJ49" s="191"/>
      <x:c r="AK49" s="191"/>
    </x:row>
    <x:row r="50">
      <x:c r="A50" s="221" t="str">
        <x:v>EURUSD</x:v>
      </x:c>
      <x:c r="B50" s="221" t="str">
        <x:v>FX_RATE</x:v>
      </x:c>
      <x:c r="C50" s="221" t="n">
        <x:v>2</x:v>
      </x:c>
      <x:c r="D50" s="221" t="str">
        <x:v>6M</x:v>
      </x:c>
      <x:c r="E50" s="221" t="str">
        <x:v>EURUSD_Step01</x:v>
      </x:c>
      <x:c r="F50" s="222" t="n">
        <x:v>-220</x:v>
      </x:c>
      <x:c r="G50" s="223" t="str">
        <x:v>=gxlCurveDiscShift(EURUSD_Step01, "6M", -220)</x:v>
      </x:c>
      <x:c r="H50" s="224" t="str">
        <x:v>EURUSD_Step02</x:v>
      </x:c>
      <x:c r="I50" s="224" t="str">
        <x:v>EURUSD_Step02</x:v>
      </x:c>
      <x:c r="J50" s="192" t="str">
        <x:v>No</x:v>
      </x:c>
      <x:c r="K50" s="191"/>
      <x:c r="L50" s="191"/>
      <x:c r="M50" s="191"/>
      <x:c r="N50" s="191"/>
      <x:c r="O50" s="191"/>
      <x:c r="P50" s="191"/>
      <x:c r="Q50" s="191"/>
      <x:c r="R50" s="191"/>
      <x:c r="S50" s="191"/>
      <x:c r="T50" s="191"/>
      <x:c r="U50" s="191"/>
      <x:c r="V50" s="191"/>
      <x:c r="W50" s="191"/>
      <x:c r="X50" s="191"/>
      <x:c r="Y50" s="191"/>
      <x:c r="Z50" s="191"/>
      <x:c r="AA50" s="191"/>
      <x:c r="AB50" s="191"/>
      <x:c r="AC50" s="191"/>
      <x:c r="AD50" s="191"/>
      <x:c r="AE50" s="191"/>
      <x:c r="AF50" s="191"/>
      <x:c r="AG50" s="191"/>
      <x:c r="AH50" s="191"/>
      <x:c r="AI50" s="191"/>
      <x:c r="AJ50" s="191"/>
      <x:c r="AK50" s="191"/>
    </x:row>
    <x:row r="51">
      <x:c r="A51" s="221" t="str">
        <x:v>EURUSD</x:v>
      </x:c>
      <x:c r="B51" s="221" t="str">
        <x:v>FX_RATE</x:v>
      </x:c>
      <x:c r="C51" s="221" t="n">
        <x:v>3</x:v>
      </x:c>
      <x:c r="D51" s="221" t="str">
        <x:v>1Y</x:v>
      </x:c>
      <x:c r="E51" s="221" t="str">
        <x:v>EURUSD_Step02</x:v>
      </x:c>
      <x:c r="F51" s="222" t="n">
        <x:v>-260</x:v>
      </x:c>
      <x:c r="G51" s="223" t="str">
        <x:v>=gxlCurveDiscShift(EURUSD_Step02, "1Y", -260)</x:v>
      </x:c>
      <x:c r="H51" s="224" t="str">
        <x:v>EURUSD_Step03</x:v>
      </x:c>
      <x:c r="I51" s="224" t="str">
        <x:v>EURUSD_Step03</x:v>
      </x:c>
      <x:c r="J51" s="192" t="str">
        <x:v>No</x:v>
      </x:c>
      <x:c r="K51" s="191"/>
      <x:c r="L51" s="191"/>
      <x:c r="M51" s="191"/>
      <x:c r="N51" s="191"/>
      <x:c r="O51" s="191"/>
      <x:c r="P51" s="191"/>
      <x:c r="Q51" s="191"/>
      <x:c r="R51" s="191"/>
      <x:c r="S51" s="191"/>
      <x:c r="T51" s="191"/>
      <x:c r="U51" s="191"/>
      <x:c r="V51" s="191"/>
      <x:c r="W51" s="191"/>
      <x:c r="X51" s="191"/>
      <x:c r="Y51" s="191"/>
      <x:c r="Z51" s="191"/>
      <x:c r="AA51" s="191"/>
      <x:c r="AB51" s="191"/>
      <x:c r="AC51" s="191"/>
      <x:c r="AD51" s="191"/>
      <x:c r="AE51" s="191"/>
      <x:c r="AF51" s="191"/>
      <x:c r="AG51" s="191"/>
      <x:c r="AH51" s="191"/>
      <x:c r="AI51" s="191"/>
      <x:c r="AJ51" s="191"/>
      <x:c r="AK51" s="191"/>
    </x:row>
    <x:row r="52">
      <x:c r="A52" s="221" t="str">
        <x:v>EURUSD</x:v>
      </x:c>
      <x:c r="B52" s="221" t="str">
        <x:v>FX_RATE</x:v>
      </x:c>
      <x:c r="C52" s="221" t="n">
        <x:v>4</x:v>
      </x:c>
      <x:c r="D52" s="221" t="str">
        <x:v>2Y</x:v>
      </x:c>
      <x:c r="E52" s="221" t="str">
        <x:v>EURUSD_Step03</x:v>
      </x:c>
      <x:c r="F52" s="222" t="n">
        <x:v>-300</x:v>
      </x:c>
      <x:c r="G52" s="223" t="str">
        <x:v>=gxlCurveDiscShift(EURUSD_Step03, "2Y", -300)</x:v>
      </x:c>
      <x:c r="H52" s="224" t="str">
        <x:v>EURUSD_Step04</x:v>
      </x:c>
      <x:c r="I52" s="224" t="str">
        <x:v>EURUSD_Step04</x:v>
      </x:c>
      <x:c r="J52" s="192" t="str">
        <x:v>No</x:v>
      </x:c>
      <x:c r="K52" s="191"/>
      <x:c r="L52" s="191"/>
      <x:c r="M52" s="191"/>
      <x:c r="N52" s="191"/>
      <x:c r="O52" s="191"/>
      <x:c r="P52" s="191"/>
      <x:c r="Q52" s="191"/>
      <x:c r="R52" s="191"/>
      <x:c r="S52" s="191"/>
      <x:c r="T52" s="191"/>
      <x:c r="U52" s="191"/>
      <x:c r="V52" s="191"/>
      <x:c r="W52" s="191"/>
      <x:c r="X52" s="191"/>
      <x:c r="Y52" s="191"/>
      <x:c r="Z52" s="191"/>
      <x:c r="AA52" s="191"/>
      <x:c r="AB52" s="191"/>
      <x:c r="AC52" s="191"/>
      <x:c r="AD52" s="191"/>
      <x:c r="AE52" s="191"/>
      <x:c r="AF52" s="191"/>
      <x:c r="AG52" s="191"/>
      <x:c r="AH52" s="191"/>
      <x:c r="AI52" s="191"/>
      <x:c r="AJ52" s="191"/>
      <x:c r="AK52" s="191"/>
    </x:row>
    <x:row r="53">
      <x:c r="A53" s="221" t="str">
        <x:v>EURUSD</x:v>
      </x:c>
      <x:c r="B53" s="221" t="str">
        <x:v>FX_RATE</x:v>
      </x:c>
      <x:c r="C53" s="221" t="n">
        <x:v>5</x:v>
      </x:c>
      <x:c r="D53" s="221" t="str">
        <x:v>3Y</x:v>
      </x:c>
      <x:c r="E53" s="221" t="str">
        <x:v>EURUSD_Step04</x:v>
      </x:c>
      <x:c r="F53" s="222" t="n">
        <x:v>-340</x:v>
      </x:c>
      <x:c r="G53" s="223" t="str">
        <x:v>=gxlCurveDiscShift(EURUSD_Step04, "3Y", -340)</x:v>
      </x:c>
      <x:c r="H53" s="224" t="str">
        <x:v>EURUSD_Step05</x:v>
      </x:c>
      <x:c r="I53" s="224" t="str">
        <x:v>EURUSD_Step05</x:v>
      </x:c>
      <x:c r="J53" s="192" t="str">
        <x:v>No</x:v>
      </x:c>
      <x:c r="K53" s="191"/>
      <x:c r="L53" s="191"/>
      <x:c r="M53" s="191"/>
      <x:c r="N53" s="191"/>
      <x:c r="O53" s="191"/>
      <x:c r="P53" s="191"/>
      <x:c r="Q53" s="191"/>
      <x:c r="R53" s="191"/>
      <x:c r="S53" s="191"/>
      <x:c r="T53" s="191"/>
      <x:c r="U53" s="191"/>
      <x:c r="V53" s="191"/>
      <x:c r="W53" s="191"/>
      <x:c r="X53" s="191"/>
      <x:c r="Y53" s="191"/>
      <x:c r="Z53" s="191"/>
      <x:c r="AA53" s="191"/>
      <x:c r="AB53" s="191"/>
      <x:c r="AC53" s="191"/>
      <x:c r="AD53" s="191"/>
      <x:c r="AE53" s="191"/>
      <x:c r="AF53" s="191"/>
      <x:c r="AG53" s="191"/>
      <x:c r="AH53" s="191"/>
      <x:c r="AI53" s="191"/>
      <x:c r="AJ53" s="191"/>
      <x:c r="AK53" s="191"/>
    </x:row>
    <x:row r="54">
      <x:c r="A54" s="221" t="str">
        <x:v>EURUSD</x:v>
      </x:c>
      <x:c r="B54" s="221" t="str">
        <x:v>FX_RATE</x:v>
      </x:c>
      <x:c r="C54" s="221" t="n">
        <x:v>6</x:v>
      </x:c>
      <x:c r="D54" s="221" t="str">
        <x:v>5Y</x:v>
      </x:c>
      <x:c r="E54" s="221" t="str">
        <x:v>EURUSD_Step05</x:v>
      </x:c>
      <x:c r="F54" s="222" t="n">
        <x:v>-380</x:v>
      </x:c>
      <x:c r="G54" s="223" t="str">
        <x:v>=gxlCurveDiscShift(EURUSD_Step05, "5Y", -380)</x:v>
      </x:c>
      <x:c r="H54" s="224" t="str">
        <x:v>EURUSD_Step06</x:v>
      </x:c>
      <x:c r="I54" s="224" t="str">
        <x:v>EURUSD_Step06</x:v>
      </x:c>
      <x:c r="J54" s="192" t="str">
        <x:v>No</x:v>
      </x:c>
      <x:c r="K54" s="191"/>
      <x:c r="L54" s="191"/>
      <x:c r="M54" s="191"/>
      <x:c r="N54" s="191"/>
      <x:c r="O54" s="191"/>
      <x:c r="P54" s="191"/>
      <x:c r="Q54" s="191"/>
      <x:c r="R54" s="191"/>
      <x:c r="S54" s="191"/>
      <x:c r="T54" s="191"/>
      <x:c r="U54" s="191"/>
      <x:c r="V54" s="191"/>
      <x:c r="W54" s="191"/>
      <x:c r="X54" s="191"/>
      <x:c r="Y54" s="191"/>
      <x:c r="Z54" s="191"/>
      <x:c r="AA54" s="191"/>
      <x:c r="AB54" s="191"/>
      <x:c r="AC54" s="191"/>
      <x:c r="AD54" s="191"/>
      <x:c r="AE54" s="191"/>
      <x:c r="AF54" s="191"/>
      <x:c r="AG54" s="191"/>
      <x:c r="AH54" s="191"/>
      <x:c r="AI54" s="191"/>
      <x:c r="AJ54" s="191"/>
      <x:c r="AK54" s="191"/>
    </x:row>
    <x:row r="55">
      <x:c r="A55" s="221" t="str">
        <x:v>EURUSD</x:v>
      </x:c>
      <x:c r="B55" s="221" t="str">
        <x:v>FX_RATE</x:v>
      </x:c>
      <x:c r="C55" s="221" t="n">
        <x:v>7</x:v>
      </x:c>
      <x:c r="D55" s="221" t="str">
        <x:v>10Y</x:v>
      </x:c>
      <x:c r="E55" s="221" t="str">
        <x:v>EURUSD_Step06</x:v>
      </x:c>
      <x:c r="F55" s="222" t="n">
        <x:v>-420</x:v>
      </x:c>
      <x:c r="G55" s="223" t="str">
        <x:v>=gxlCurveDiscShift(EURUSD_Step06, "10Y", -420)</x:v>
      </x:c>
      <x:c r="H55" s="224" t="str">
        <x:v>EURUSD_Step07</x:v>
      </x:c>
      <x:c r="I55" s="224" t="str">
        <x:v>EURUSD_Step07</x:v>
      </x:c>
      <x:c r="J55" s="192" t="str">
        <x:v>No</x:v>
      </x:c>
      <x:c r="K55" s="191"/>
      <x:c r="L55" s="191"/>
      <x:c r="M55" s="191"/>
      <x:c r="N55" s="191"/>
      <x:c r="O55" s="191"/>
      <x:c r="P55" s="191"/>
      <x:c r="Q55" s="191"/>
      <x:c r="R55" s="191"/>
      <x:c r="S55" s="191"/>
      <x:c r="T55" s="191"/>
      <x:c r="U55" s="191"/>
      <x:c r="V55" s="191"/>
      <x:c r="W55" s="191"/>
      <x:c r="X55" s="191"/>
      <x:c r="Y55" s="191"/>
      <x:c r="Z55" s="191"/>
      <x:c r="AA55" s="191"/>
      <x:c r="AB55" s="191"/>
      <x:c r="AC55" s="191"/>
      <x:c r="AD55" s="191"/>
      <x:c r="AE55" s="191"/>
      <x:c r="AF55" s="191"/>
      <x:c r="AG55" s="191"/>
      <x:c r="AH55" s="191"/>
      <x:c r="AI55" s="191"/>
      <x:c r="AJ55" s="191"/>
      <x:c r="AK55" s="191"/>
    </x:row>
    <x:row r="56">
      <x:c r="A56" s="221" t="str">
        <x:v>EURUSD</x:v>
      </x:c>
      <x:c r="B56" s="221" t="str">
        <x:v>FX_RATE</x:v>
      </x:c>
      <x:c r="C56" s="221" t="n">
        <x:v>8</x:v>
      </x:c>
      <x:c r="D56" s="221" t="str">
        <x:v>20Y</x:v>
      </x:c>
      <x:c r="E56" s="221" t="str">
        <x:v>EURUSD_Step07</x:v>
      </x:c>
      <x:c r="F56" s="222" t="n">
        <x:v>-450</x:v>
      </x:c>
      <x:c r="G56" s="223" t="str">
        <x:v>=gxlCurveDiscShift(EURUSD_Step07, "20Y", -450)</x:v>
      </x:c>
      <x:c r="H56" s="224" t="str">
        <x:v>EURUSD_Step08</x:v>
      </x:c>
      <x:c r="I56" s="224" t="str">
        <x:v>EURUSD_Step08</x:v>
      </x:c>
      <x:c r="J56" s="192" t="str">
        <x:v>No</x:v>
      </x:c>
      <x:c r="K56" s="191"/>
      <x:c r="L56" s="191"/>
      <x:c r="M56" s="191"/>
      <x:c r="N56" s="191"/>
      <x:c r="O56" s="191"/>
      <x:c r="P56" s="191"/>
      <x:c r="Q56" s="191"/>
      <x:c r="R56" s="191"/>
      <x:c r="S56" s="191"/>
      <x:c r="T56" s="191"/>
      <x:c r="U56" s="191"/>
      <x:c r="V56" s="191"/>
      <x:c r="W56" s="191"/>
      <x:c r="X56" s="191"/>
      <x:c r="Y56" s="191"/>
      <x:c r="Z56" s="191"/>
      <x:c r="AA56" s="191"/>
      <x:c r="AB56" s="191"/>
      <x:c r="AC56" s="191"/>
      <x:c r="AD56" s="191"/>
      <x:c r="AE56" s="191"/>
      <x:c r="AF56" s="191"/>
      <x:c r="AG56" s="191"/>
      <x:c r="AH56" s="191"/>
      <x:c r="AI56" s="191"/>
      <x:c r="AJ56" s="191"/>
      <x:c r="AK56" s="191"/>
    </x:row>
    <x:row r="57">
      <x:c r="A57" s="225" t="str">
        <x:v>EURUSD</x:v>
      </x:c>
      <x:c r="B57" s="225" t="str">
        <x:v>FX_RATE</x:v>
      </x:c>
      <x:c r="C57" s="225" t="n">
        <x:v>9</x:v>
      </x:c>
      <x:c r="D57" s="225" t="str">
        <x:v>30Y</x:v>
      </x:c>
      <x:c r="E57" s="225" t="str">
        <x:v>EURUSD_Step08</x:v>
      </x:c>
      <x:c r="F57" s="226" t="n">
        <x:v>-480</x:v>
      </x:c>
      <x:c r="G57" s="227" t="str">
        <x:v>=gxlCurveDiscShift(EURUSD_Step08, "30Y", -480)</x:v>
      </x:c>
      <x:c r="H57" s="228" t="str">
        <x:v>EURUSD_Step09</x:v>
      </x:c>
      <x:c r="I57" s="228" t="str">
        <x:v>EURUSD_Step09</x:v>
      </x:c>
      <x:c r="J57" s="229" t="str">
        <x:v>Yes</x:v>
      </x:c>
      <x:c r="K57" s="191"/>
      <x:c r="L57" s="191"/>
      <x:c r="M57" s="191"/>
      <x:c r="N57" s="191"/>
      <x:c r="O57" s="191"/>
      <x:c r="P57" s="191"/>
      <x:c r="Q57" s="191"/>
      <x:c r="R57" s="191"/>
      <x:c r="S57" s="191"/>
      <x:c r="T57" s="191"/>
      <x:c r="U57" s="191"/>
      <x:c r="V57" s="191"/>
      <x:c r="W57" s="191"/>
      <x:c r="X57" s="191"/>
      <x:c r="Y57" s="191"/>
      <x:c r="Z57" s="191"/>
      <x:c r="AA57" s="191"/>
      <x:c r="AB57" s="191"/>
      <x:c r="AC57" s="191"/>
      <x:c r="AD57" s="191"/>
      <x:c r="AE57" s="191"/>
      <x:c r="AF57" s="191"/>
      <x:c r="AG57" s="191"/>
      <x:c r="AH57" s="191"/>
      <x:c r="AI57" s="191"/>
      <x:c r="AJ57" s="191"/>
      <x:c r="AK57" s="191"/>
    </x:row>
    <x:row r="58">
      <x:c r="A58" s="225" t="str">
        <x:v>EURUSD</x:v>
      </x:c>
      <x:c r="B58" s="225" t="str">
        <x:v>FX_RATE</x:v>
      </x:c>
      <x:c r="C58" s="225" t="n">
        <x:v>10</x:v>
      </x:c>
      <x:c r="D58" s="225" t="str">
        <x:v>Hold final</x:v>
      </x:c>
      <x:c r="E58" s="225" t="str">
        <x:v>EURUSD_Step09</x:v>
      </x:c>
      <x:c r="F58" s="226" t="n">
        <x:v>0</x:v>
      </x:c>
      <x:c r="G58" s="227" t="str">
        <x:v>No additional non-vol node; reuse Step09 object</x:v>
      </x:c>
      <x:c r="H58" s="228" t="str">
        <x:v>EURUSD_Step09</x:v>
      </x:c>
      <x:c r="I58" s="228" t="str">
        <x:v>EURUSD_Step09</x:v>
      </x:c>
      <x:c r="J58" s="229" t="str">
        <x:v>Yes</x:v>
      </x:c>
      <x:c r="K58" s="191"/>
      <x:c r="L58" s="191"/>
      <x:c r="M58" s="191"/>
      <x:c r="N58" s="191"/>
      <x:c r="O58" s="191"/>
      <x:c r="P58" s="191"/>
      <x:c r="Q58" s="191"/>
      <x:c r="R58" s="191"/>
      <x:c r="S58" s="191"/>
      <x:c r="T58" s="191"/>
      <x:c r="U58" s="191"/>
      <x:c r="V58" s="191"/>
      <x:c r="W58" s="191"/>
      <x:c r="X58" s="191"/>
      <x:c r="Y58" s="191"/>
      <x:c r="Z58" s="191"/>
      <x:c r="AA58" s="191"/>
      <x:c r="AB58" s="191"/>
      <x:c r="AC58" s="191"/>
      <x:c r="AD58" s="191"/>
      <x:c r="AE58" s="191"/>
      <x:c r="AF58" s="191"/>
      <x:c r="AG58" s="191"/>
      <x:c r="AH58" s="191"/>
      <x:c r="AI58" s="191"/>
      <x:c r="AJ58" s="191"/>
      <x:c r="AK58" s="191"/>
    </x:row>
    <x:row r="59">
      <x:c r="A59" s="219" t="str">
        <x:v>ESTRN</x:v>
      </x:c>
      <x:c r="B59" s="219" t="str">
        <x:v>IR_RATE</x:v>
      </x:c>
      <x:c r="C59" s="219" t="n">
        <x:v>0</x:v>
      </x:c>
      <x:c r="D59" s="219" t="str">
        <x:v>Base</x:v>
      </x:c>
      <x:c r="E59" s="219" t="str">
        <x:v>—</x:v>
      </x:c>
      <x:c r="F59" s="220" t="n">
        <x:v>0</x:v>
      </x:c>
      <x:c r="G59" s="219" t="str">
        <x:v>Base curve object pulled for valuation date</x:v>
      </x:c>
      <x:c r="H59" s="219" t="str">
        <x:v>Base_ESTRN</x:v>
      </x:c>
      <x:c r="I59" s="219" t="str">
        <x:v>Base_ESTRN</x:v>
      </x:c>
      <x:c r="J59" s="219" t="str">
        <x:v>No</x:v>
      </x:c>
      <x:c r="K59" s="191"/>
      <x:c r="L59" s="191"/>
      <x:c r="M59" s="191"/>
      <x:c r="N59" s="191"/>
      <x:c r="O59" s="191"/>
      <x:c r="P59" s="191"/>
      <x:c r="Q59" s="191"/>
      <x:c r="R59" s="191"/>
      <x:c r="S59" s="191"/>
      <x:c r="T59" s="191"/>
      <x:c r="U59" s="191"/>
      <x:c r="V59" s="191"/>
      <x:c r="W59" s="191"/>
      <x:c r="X59" s="191"/>
      <x:c r="Y59" s="191"/>
      <x:c r="Z59" s="191"/>
      <x:c r="AA59" s="191"/>
      <x:c r="AB59" s="191"/>
      <x:c r="AC59" s="191"/>
      <x:c r="AD59" s="191"/>
      <x:c r="AE59" s="191"/>
      <x:c r="AF59" s="191"/>
      <x:c r="AG59" s="191"/>
      <x:c r="AH59" s="191"/>
      <x:c r="AI59" s="191"/>
      <x:c r="AJ59" s="191"/>
      <x:c r="AK59" s="191"/>
    </x:row>
    <x:row r="60">
      <x:c r="A60" s="221" t="str">
        <x:v>ESTRN</x:v>
      </x:c>
      <x:c r="B60" s="221" t="str">
        <x:v>IR_RATE</x:v>
      </x:c>
      <x:c r="C60" s="221" t="n">
        <x:v>1</x:v>
      </x:c>
      <x:c r="D60" s="221" t="str">
        <x:v>3M</x:v>
      </x:c>
      <x:c r="E60" s="221" t="str">
        <x:v>Base_ESTRN</x:v>
      </x:c>
      <x:c r="F60" s="222" t="n">
        <x:v>-100</x:v>
      </x:c>
      <x:c r="G60" s="223" t="str">
        <x:v>=gxlCurveDiscShift(Base_ESTRN, "3M", -100)</x:v>
      </x:c>
      <x:c r="H60" s="224" t="str">
        <x:v>ESTRN_Step01</x:v>
      </x:c>
      <x:c r="I60" s="224" t="str">
        <x:v>ESTRN_Step01</x:v>
      </x:c>
      <x:c r="J60" s="192" t="str">
        <x:v>No</x:v>
      </x:c>
      <x:c r="K60" s="191"/>
      <x:c r="L60" s="191"/>
      <x:c r="M60" s="191"/>
      <x:c r="N60" s="191"/>
      <x:c r="O60" s="191"/>
      <x:c r="P60" s="191"/>
      <x:c r="Q60" s="191"/>
      <x:c r="R60" s="191"/>
      <x:c r="S60" s="191"/>
      <x:c r="T60" s="191"/>
      <x:c r="U60" s="191"/>
      <x:c r="V60" s="191"/>
      <x:c r="W60" s="191"/>
      <x:c r="X60" s="191"/>
      <x:c r="Y60" s="191"/>
      <x:c r="Z60" s="191"/>
      <x:c r="AA60" s="191"/>
      <x:c r="AB60" s="191"/>
      <x:c r="AC60" s="191"/>
      <x:c r="AD60" s="191"/>
      <x:c r="AE60" s="191"/>
      <x:c r="AF60" s="191"/>
      <x:c r="AG60" s="191"/>
      <x:c r="AH60" s="191"/>
      <x:c r="AI60" s="191"/>
      <x:c r="AJ60" s="191"/>
      <x:c r="AK60" s="191"/>
    </x:row>
    <x:row r="61">
      <x:c r="A61" s="221" t="str">
        <x:v>ESTRN</x:v>
      </x:c>
      <x:c r="B61" s="221" t="str">
        <x:v>IR_RATE</x:v>
      </x:c>
      <x:c r="C61" s="221" t="n">
        <x:v>2</x:v>
      </x:c>
      <x:c r="D61" s="221" t="str">
        <x:v>6M</x:v>
      </x:c>
      <x:c r="E61" s="221" t="str">
        <x:v>ESTRN_Step01</x:v>
      </x:c>
      <x:c r="F61" s="222" t="n">
        <x:v>-115</x:v>
      </x:c>
      <x:c r="G61" s="223" t="str">
        <x:v>=gxlCurveDiscShift(ESTRN_Step01, "6M", -115)</x:v>
      </x:c>
      <x:c r="H61" s="224" t="str">
        <x:v>ESTRN_Step02</x:v>
      </x:c>
      <x:c r="I61" s="224" t="str">
        <x:v>ESTRN_Step02</x:v>
      </x:c>
      <x:c r="J61" s="192" t="str">
        <x:v>No</x:v>
      </x:c>
      <x:c r="K61" s="191"/>
      <x:c r="L61" s="191"/>
      <x:c r="M61" s="191"/>
      <x:c r="N61" s="191"/>
      <x:c r="O61" s="191"/>
      <x:c r="P61" s="191"/>
      <x:c r="Q61" s="191"/>
      <x:c r="R61" s="191"/>
      <x:c r="S61" s="191"/>
      <x:c r="T61" s="191"/>
      <x:c r="U61" s="191"/>
      <x:c r="V61" s="191"/>
      <x:c r="W61" s="191"/>
      <x:c r="X61" s="191"/>
      <x:c r="Y61" s="191"/>
      <x:c r="Z61" s="191"/>
      <x:c r="AA61" s="191"/>
      <x:c r="AB61" s="191"/>
      <x:c r="AC61" s="191"/>
      <x:c r="AD61" s="191"/>
      <x:c r="AE61" s="191"/>
      <x:c r="AF61" s="191"/>
      <x:c r="AG61" s="191"/>
      <x:c r="AH61" s="191"/>
      <x:c r="AI61" s="191"/>
      <x:c r="AJ61" s="191"/>
      <x:c r="AK61" s="191"/>
    </x:row>
    <x:row r="62">
      <x:c r="A62" s="221" t="str">
        <x:v>ESTRN</x:v>
      </x:c>
      <x:c r="B62" s="221" t="str">
        <x:v>IR_RATE</x:v>
      </x:c>
      <x:c r="C62" s="221" t="n">
        <x:v>3</x:v>
      </x:c>
      <x:c r="D62" s="221" t="str">
        <x:v>1Y</x:v>
      </x:c>
      <x:c r="E62" s="221" t="str">
        <x:v>ESTRN_Step02</x:v>
      </x:c>
      <x:c r="F62" s="222" t="n">
        <x:v>-130</x:v>
      </x:c>
      <x:c r="G62" s="223" t="str">
        <x:v>=gxlCurveDiscShift(ESTRN_Step02, "1Y", -130)</x:v>
      </x:c>
      <x:c r="H62" s="224" t="str">
        <x:v>ESTRN_Step03</x:v>
      </x:c>
      <x:c r="I62" s="224" t="str">
        <x:v>ESTRN_Step03</x:v>
      </x:c>
      <x:c r="J62" s="192" t="str">
        <x:v>No</x:v>
      </x:c>
      <x:c r="K62" s="191"/>
      <x:c r="L62" s="191"/>
      <x:c r="M62" s="191"/>
      <x:c r="N62" s="191"/>
      <x:c r="O62" s="191"/>
      <x:c r="P62" s="191"/>
      <x:c r="Q62" s="191"/>
      <x:c r="R62" s="191"/>
      <x:c r="S62" s="191"/>
      <x:c r="T62" s="191"/>
      <x:c r="U62" s="191"/>
      <x:c r="V62" s="191"/>
      <x:c r="W62" s="191"/>
      <x:c r="X62" s="191"/>
      <x:c r="Y62" s="191"/>
      <x:c r="Z62" s="191"/>
      <x:c r="AA62" s="191"/>
      <x:c r="AB62" s="191"/>
      <x:c r="AC62" s="191"/>
      <x:c r="AD62" s="191"/>
      <x:c r="AE62" s="191"/>
      <x:c r="AF62" s="191"/>
      <x:c r="AG62" s="191"/>
      <x:c r="AH62" s="191"/>
      <x:c r="AI62" s="191"/>
      <x:c r="AJ62" s="191"/>
      <x:c r="AK62" s="191"/>
    </x:row>
    <x:row r="63">
      <x:c r="A63" s="221" t="str">
        <x:v>ESTRN</x:v>
      </x:c>
      <x:c r="B63" s="221" t="str">
        <x:v>IR_RATE</x:v>
      </x:c>
      <x:c r="C63" s="221" t="n">
        <x:v>4</x:v>
      </x:c>
      <x:c r="D63" s="221" t="str">
        <x:v>2Y</x:v>
      </x:c>
      <x:c r="E63" s="221" t="str">
        <x:v>ESTRN_Step03</x:v>
      </x:c>
      <x:c r="F63" s="222" t="n">
        <x:v>-145</x:v>
      </x:c>
      <x:c r="G63" s="223" t="str">
        <x:v>=gxlCurveDiscShift(ESTRN_Step03, "2Y", -145)</x:v>
      </x:c>
      <x:c r="H63" s="224" t="str">
        <x:v>ESTRN_Step04</x:v>
      </x:c>
      <x:c r="I63" s="224" t="str">
        <x:v>ESTRN_Step04</x:v>
      </x:c>
      <x:c r="J63" s="192" t="str">
        <x:v>No</x:v>
      </x:c>
      <x:c r="K63" s="191"/>
      <x:c r="L63" s="191"/>
      <x:c r="M63" s="191"/>
      <x:c r="N63" s="191"/>
      <x:c r="O63" s="191"/>
      <x:c r="P63" s="191"/>
      <x:c r="Q63" s="191"/>
      <x:c r="R63" s="191"/>
      <x:c r="S63" s="191"/>
      <x:c r="T63" s="191"/>
      <x:c r="U63" s="191"/>
      <x:c r="V63" s="191"/>
      <x:c r="W63" s="191"/>
      <x:c r="X63" s="191"/>
      <x:c r="Y63" s="191"/>
      <x:c r="Z63" s="191"/>
      <x:c r="AA63" s="191"/>
      <x:c r="AB63" s="191"/>
      <x:c r="AC63" s="191"/>
      <x:c r="AD63" s="191"/>
      <x:c r="AE63" s="191"/>
      <x:c r="AF63" s="191"/>
      <x:c r="AG63" s="191"/>
      <x:c r="AH63" s="191"/>
      <x:c r="AI63" s="191"/>
      <x:c r="AJ63" s="191"/>
      <x:c r="AK63" s="191"/>
    </x:row>
    <x:row r="64">
      <x:c r="A64" s="221" t="str">
        <x:v>ESTRN</x:v>
      </x:c>
      <x:c r="B64" s="221" t="str">
        <x:v>IR_RATE</x:v>
      </x:c>
      <x:c r="C64" s="221" t="n">
        <x:v>5</x:v>
      </x:c>
      <x:c r="D64" s="221" t="str">
        <x:v>3Y</x:v>
      </x:c>
      <x:c r="E64" s="221" t="str">
        <x:v>ESTRN_Step04</x:v>
      </x:c>
      <x:c r="F64" s="222" t="n">
        <x:v>-155</x:v>
      </x:c>
      <x:c r="G64" s="223" t="str">
        <x:v>=gxlCurveDiscShift(ESTRN_Step04, "3Y", -155)</x:v>
      </x:c>
      <x:c r="H64" s="224" t="str">
        <x:v>ESTRN_Step05</x:v>
      </x:c>
      <x:c r="I64" s="224" t="str">
        <x:v>ESTRN_Step05</x:v>
      </x:c>
      <x:c r="J64" s="192" t="str">
        <x:v>No</x:v>
      </x:c>
      <x:c r="K64" s="191"/>
      <x:c r="L64" s="191"/>
      <x:c r="M64" s="191"/>
      <x:c r="N64" s="191"/>
      <x:c r="O64" s="191"/>
      <x:c r="P64" s="191"/>
      <x:c r="Q64" s="191"/>
      <x:c r="R64" s="191"/>
      <x:c r="S64" s="191"/>
      <x:c r="T64" s="191"/>
      <x:c r="U64" s="191"/>
      <x:c r="V64" s="191"/>
      <x:c r="W64" s="191"/>
      <x:c r="X64" s="191"/>
      <x:c r="Y64" s="191"/>
      <x:c r="Z64" s="191"/>
      <x:c r="AA64" s="191"/>
      <x:c r="AB64" s="191"/>
      <x:c r="AC64" s="191"/>
      <x:c r="AD64" s="191"/>
      <x:c r="AE64" s="191"/>
      <x:c r="AF64" s="191"/>
      <x:c r="AG64" s="191"/>
      <x:c r="AH64" s="191"/>
      <x:c r="AI64" s="191"/>
      <x:c r="AJ64" s="191"/>
      <x:c r="AK64" s="191"/>
    </x:row>
    <x:row r="65">
      <x:c r="A65" s="221" t="str">
        <x:v>ESTRN</x:v>
      </x:c>
      <x:c r="B65" s="221" t="str">
        <x:v>IR_RATE</x:v>
      </x:c>
      <x:c r="C65" s="221" t="n">
        <x:v>6</x:v>
      </x:c>
      <x:c r="D65" s="221" t="str">
        <x:v>5Y</x:v>
      </x:c>
      <x:c r="E65" s="221" t="str">
        <x:v>ESTRN_Step05</x:v>
      </x:c>
      <x:c r="F65" s="222" t="n">
        <x:v>-160</x:v>
      </x:c>
      <x:c r="G65" s="223" t="str">
        <x:v>=gxlCurveDiscShift(ESTRN_Step05, "5Y", -160)</x:v>
      </x:c>
      <x:c r="H65" s="224" t="str">
        <x:v>ESTRN_Step06</x:v>
      </x:c>
      <x:c r="I65" s="224" t="str">
        <x:v>ESTRN_Step06</x:v>
      </x:c>
      <x:c r="J65" s="192" t="str">
        <x:v>No</x:v>
      </x:c>
      <x:c r="K65" s="191"/>
      <x:c r="L65" s="191"/>
      <x:c r="M65" s="191"/>
      <x:c r="N65" s="191"/>
      <x:c r="O65" s="191"/>
      <x:c r="P65" s="191"/>
      <x:c r="Q65" s="191"/>
      <x:c r="R65" s="191"/>
      <x:c r="S65" s="191"/>
      <x:c r="T65" s="191"/>
      <x:c r="U65" s="191"/>
      <x:c r="V65" s="191"/>
      <x:c r="W65" s="191"/>
      <x:c r="X65" s="191"/>
      <x:c r="Y65" s="191"/>
      <x:c r="Z65" s="191"/>
      <x:c r="AA65" s="191"/>
      <x:c r="AB65" s="191"/>
      <x:c r="AC65" s="191"/>
      <x:c r="AD65" s="191"/>
      <x:c r="AE65" s="191"/>
      <x:c r="AF65" s="191"/>
      <x:c r="AG65" s="191"/>
      <x:c r="AH65" s="191"/>
      <x:c r="AI65" s="191"/>
      <x:c r="AJ65" s="191"/>
      <x:c r="AK65" s="191"/>
    </x:row>
    <x:row r="66">
      <x:c r="A66" s="221" t="str">
        <x:v>ESTRN</x:v>
      </x:c>
      <x:c r="B66" s="221" t="str">
        <x:v>IR_RATE</x:v>
      </x:c>
      <x:c r="C66" s="221" t="n">
        <x:v>7</x:v>
      </x:c>
      <x:c r="D66" s="221" t="str">
        <x:v>10Y</x:v>
      </x:c>
      <x:c r="E66" s="221" t="str">
        <x:v>ESTRN_Step06</x:v>
      </x:c>
      <x:c r="F66" s="222" t="n">
        <x:v>-150</x:v>
      </x:c>
      <x:c r="G66" s="223" t="str">
        <x:v>=gxlCurveDiscShift(ESTRN_Step06, "10Y", -150)</x:v>
      </x:c>
      <x:c r="H66" s="224" t="str">
        <x:v>ESTRN_Step07</x:v>
      </x:c>
      <x:c r="I66" s="224" t="str">
        <x:v>ESTRN_Step07</x:v>
      </x:c>
      <x:c r="J66" s="192" t="str">
        <x:v>No</x:v>
      </x:c>
      <x:c r="K66" s="191"/>
      <x:c r="L66" s="191"/>
      <x:c r="M66" s="191"/>
      <x:c r="N66" s="191"/>
      <x:c r="O66" s="191"/>
      <x:c r="P66" s="191"/>
      <x:c r="Q66" s="191"/>
      <x:c r="R66" s="191"/>
      <x:c r="S66" s="191"/>
      <x:c r="T66" s="191"/>
      <x:c r="U66" s="191"/>
      <x:c r="V66" s="191"/>
      <x:c r="W66" s="191"/>
      <x:c r="X66" s="191"/>
      <x:c r="Y66" s="191"/>
      <x:c r="Z66" s="191"/>
      <x:c r="AA66" s="191"/>
      <x:c r="AB66" s="191"/>
      <x:c r="AC66" s="191"/>
      <x:c r="AD66" s="191"/>
      <x:c r="AE66" s="191"/>
      <x:c r="AF66" s="191"/>
      <x:c r="AG66" s="191"/>
      <x:c r="AH66" s="191"/>
      <x:c r="AI66" s="191"/>
      <x:c r="AJ66" s="191"/>
      <x:c r="AK66" s="191"/>
    </x:row>
    <x:row r="67">
      <x:c r="A67" s="221" t="str">
        <x:v>ESTRN</x:v>
      </x:c>
      <x:c r="B67" s="221" t="str">
        <x:v>IR_RATE</x:v>
      </x:c>
      <x:c r="C67" s="221" t="n">
        <x:v>8</x:v>
      </x:c>
      <x:c r="D67" s="221" t="str">
        <x:v>20Y</x:v>
      </x:c>
      <x:c r="E67" s="221" t="str">
        <x:v>ESTRN_Step07</x:v>
      </x:c>
      <x:c r="F67" s="222" t="n">
        <x:v>-135</x:v>
      </x:c>
      <x:c r="G67" s="223" t="str">
        <x:v>=gxlCurveDiscShift(ESTRN_Step07, "20Y", -135)</x:v>
      </x:c>
      <x:c r="H67" s="224" t="str">
        <x:v>ESTRN_Step08</x:v>
      </x:c>
      <x:c r="I67" s="224" t="str">
        <x:v>ESTRN_Step08</x:v>
      </x:c>
      <x:c r="J67" s="192" t="str">
        <x:v>No</x:v>
      </x:c>
      <x:c r="K67" s="191"/>
      <x:c r="L67" s="191"/>
      <x:c r="M67" s="191"/>
      <x:c r="N67" s="191"/>
      <x:c r="O67" s="191"/>
      <x:c r="P67" s="191"/>
      <x:c r="Q67" s="191"/>
      <x:c r="R67" s="191"/>
      <x:c r="S67" s="191"/>
      <x:c r="T67" s="191"/>
      <x:c r="U67" s="191"/>
      <x:c r="V67" s="191"/>
      <x:c r="W67" s="191"/>
      <x:c r="X67" s="191"/>
      <x:c r="Y67" s="191"/>
      <x:c r="Z67" s="191"/>
      <x:c r="AA67" s="191"/>
      <x:c r="AB67" s="191"/>
      <x:c r="AC67" s="191"/>
      <x:c r="AD67" s="191"/>
      <x:c r="AE67" s="191"/>
      <x:c r="AF67" s="191"/>
      <x:c r="AG67" s="191"/>
      <x:c r="AH67" s="191"/>
      <x:c r="AI67" s="191"/>
      <x:c r="AJ67" s="191"/>
      <x:c r="AK67" s="191"/>
    </x:row>
    <x:row r="68">
      <x:c r="A68" s="225" t="str">
        <x:v>ESTRN</x:v>
      </x:c>
      <x:c r="B68" s="225" t="str">
        <x:v>IR_RATE</x:v>
      </x:c>
      <x:c r="C68" s="225" t="n">
        <x:v>9</x:v>
      </x:c>
      <x:c r="D68" s="225" t="str">
        <x:v>30Y</x:v>
      </x:c>
      <x:c r="E68" s="225" t="str">
        <x:v>ESTRN_Step08</x:v>
      </x:c>
      <x:c r="F68" s="226" t="n">
        <x:v>-120</x:v>
      </x:c>
      <x:c r="G68" s="227" t="str">
        <x:v>=gxlCurveDiscShift(ESTRN_Step08, "30Y", -120)</x:v>
      </x:c>
      <x:c r="H68" s="228" t="str">
        <x:v>ESTRN_Step09</x:v>
      </x:c>
      <x:c r="I68" s="228" t="str">
        <x:v>ESTRN_Step09</x:v>
      </x:c>
      <x:c r="J68" s="229" t="str">
        <x:v>Yes</x:v>
      </x:c>
      <x:c r="K68" s="191"/>
      <x:c r="L68" s="191"/>
      <x:c r="M68" s="191"/>
      <x:c r="N68" s="191"/>
      <x:c r="O68" s="191"/>
      <x:c r="P68" s="191"/>
      <x:c r="Q68" s="191"/>
      <x:c r="R68" s="191"/>
      <x:c r="S68" s="191"/>
      <x:c r="T68" s="191"/>
      <x:c r="U68" s="191"/>
      <x:c r="V68" s="191"/>
      <x:c r="W68" s="191"/>
      <x:c r="X68" s="191"/>
      <x:c r="Y68" s="191"/>
      <x:c r="Z68" s="191"/>
      <x:c r="AA68" s="191"/>
      <x:c r="AB68" s="191"/>
      <x:c r="AC68" s="191"/>
      <x:c r="AD68" s="191"/>
      <x:c r="AE68" s="191"/>
      <x:c r="AF68" s="191"/>
      <x:c r="AG68" s="191"/>
      <x:c r="AH68" s="191"/>
      <x:c r="AI68" s="191"/>
      <x:c r="AJ68" s="191"/>
      <x:c r="AK68" s="191"/>
    </x:row>
    <x:row r="69">
      <x:c r="A69" s="225" t="str">
        <x:v>ESTRN</x:v>
      </x:c>
      <x:c r="B69" s="225" t="str">
        <x:v>IR_RATE</x:v>
      </x:c>
      <x:c r="C69" s="225" t="n">
        <x:v>10</x:v>
      </x:c>
      <x:c r="D69" s="225" t="str">
        <x:v>Hold final</x:v>
      </x:c>
      <x:c r="E69" s="225" t="str">
        <x:v>ESTRN_Step09</x:v>
      </x:c>
      <x:c r="F69" s="226" t="n">
        <x:v>0</x:v>
      </x:c>
      <x:c r="G69" s="227" t="str">
        <x:v>No additional non-vol node; reuse Step09 object</x:v>
      </x:c>
      <x:c r="H69" s="228" t="str">
        <x:v>ESTRN_Step09</x:v>
      </x:c>
      <x:c r="I69" s="228" t="str">
        <x:v>ESTRN_Step09</x:v>
      </x:c>
      <x:c r="J69" s="229" t="str">
        <x:v>Yes</x:v>
      </x:c>
      <x:c r="K69" s="191"/>
      <x:c r="L69" s="191"/>
      <x:c r="M69" s="191"/>
      <x:c r="N69" s="191"/>
      <x:c r="O69" s="191"/>
      <x:c r="P69" s="191"/>
      <x:c r="Q69" s="191"/>
      <x:c r="R69" s="191"/>
      <x:c r="S69" s="191"/>
      <x:c r="T69" s="191"/>
      <x:c r="U69" s="191"/>
      <x:c r="V69" s="191"/>
      <x:c r="W69" s="191"/>
      <x:c r="X69" s="191"/>
      <x:c r="Y69" s="191"/>
      <x:c r="Z69" s="191"/>
      <x:c r="AA69" s="191"/>
      <x:c r="AB69" s="191"/>
      <x:c r="AC69" s="191"/>
      <x:c r="AD69" s="191"/>
      <x:c r="AE69" s="191"/>
      <x:c r="AF69" s="191"/>
      <x:c r="AG69" s="191"/>
      <x:c r="AH69" s="191"/>
      <x:c r="AI69" s="191"/>
      <x:c r="AJ69" s="191"/>
      <x:c r="AK69" s="191"/>
    </x:row>
    <x:row r="70">
      <x:c r="A70" s="191"/>
      <x:c r="B70" s="191"/>
      <x:c r="C70" s="191"/>
      <x:c r="D70" s="191"/>
      <x:c r="E70" s="191"/>
      <x:c r="F70" s="191"/>
      <x:c r="G70" s="191"/>
      <x:c r="H70" s="191"/>
      <x:c r="I70" s="191"/>
      <x:c r="J70" s="191"/>
      <x:c r="K70" s="191"/>
      <x:c r="L70" s="191"/>
      <x:c r="M70" s="191"/>
      <x:c r="N70" s="191"/>
      <x:c r="O70" s="191"/>
      <x:c r="P70" s="191"/>
      <x:c r="Q70" s="191"/>
      <x:c r="R70" s="191"/>
      <x:c r="S70" s="191"/>
      <x:c r="T70" s="191"/>
      <x:c r="U70" s="191"/>
      <x:c r="V70" s="191"/>
      <x:c r="W70" s="191"/>
      <x:c r="X70" s="191"/>
      <x:c r="Y70" s="191"/>
      <x:c r="Z70" s="191"/>
      <x:c r="AA70" s="191"/>
      <x:c r="AB70" s="191"/>
      <x:c r="AC70" s="191"/>
      <x:c r="AD70" s="191"/>
      <x:c r="AE70" s="191"/>
      <x:c r="AF70" s="191"/>
      <x:c r="AG70" s="191"/>
      <x:c r="AH70" s="191"/>
      <x:c r="AI70" s="191"/>
      <x:c r="AJ70" s="191"/>
      <x:c r="AK70" s="191"/>
    </x:row>
    <x:row r="71">
      <x:c r="A71" s="191"/>
      <x:c r="B71" s="191"/>
      <x:c r="C71" s="191"/>
      <x:c r="D71" s="191"/>
      <x:c r="E71" s="191"/>
      <x:c r="F71" s="191"/>
      <x:c r="G71" s="191"/>
      <x:c r="H71" s="191"/>
      <x:c r="I71" s="191"/>
      <x:c r="J71" s="191"/>
      <x:c r="K71" s="191"/>
      <x:c r="L71" s="191"/>
      <x:c r="M71" s="191"/>
      <x:c r="N71" s="191"/>
      <x:c r="O71" s="191"/>
      <x:c r="P71" s="191"/>
      <x:c r="Q71" s="191"/>
      <x:c r="R71" s="191"/>
      <x:c r="S71" s="191"/>
      <x:c r="T71" s="191"/>
      <x:c r="U71" s="191"/>
      <x:c r="V71" s="191"/>
      <x:c r="W71" s="191"/>
      <x:c r="X71" s="191"/>
      <x:c r="Y71" s="191"/>
      <x:c r="Z71" s="191"/>
      <x:c r="AA71" s="191"/>
      <x:c r="AB71" s="191"/>
      <x:c r="AC71" s="191"/>
      <x:c r="AD71" s="191"/>
      <x:c r="AE71" s="191"/>
      <x:c r="AF71" s="191"/>
      <x:c r="AG71" s="191"/>
      <x:c r="AH71" s="191"/>
      <x:c r="AI71" s="191"/>
      <x:c r="AJ71" s="191"/>
      <x:c r="AK71" s="191"/>
    </x:row>
    <x:row r="72">
      <x:c r="A72" s="191"/>
      <x:c r="B72" s="191"/>
      <x:c r="C72" s="191"/>
      <x:c r="D72" s="191"/>
      <x:c r="E72" s="191"/>
      <x:c r="F72" s="191"/>
      <x:c r="G72" s="191"/>
      <x:c r="H72" s="191"/>
      <x:c r="I72" s="191"/>
      <x:c r="J72" s="191"/>
      <x:c r="K72" s="191"/>
      <x:c r="L72" s="191"/>
      <x:c r="M72" s="191"/>
      <x:c r="N72" s="191"/>
      <x:c r="O72" s="191"/>
      <x:c r="P72" s="191"/>
      <x:c r="Q72" s="191"/>
      <x:c r="R72" s="191"/>
      <x:c r="S72" s="191"/>
      <x:c r="T72" s="191"/>
      <x:c r="U72" s="191"/>
      <x:c r="V72" s="191"/>
      <x:c r="W72" s="191"/>
      <x:c r="X72" s="191"/>
      <x:c r="Y72" s="191"/>
      <x:c r="Z72" s="191"/>
      <x:c r="AA72" s="191"/>
      <x:c r="AB72" s="191"/>
      <x:c r="AC72" s="191"/>
      <x:c r="AD72" s="191"/>
      <x:c r="AE72" s="191"/>
      <x:c r="AF72" s="191"/>
      <x:c r="AG72" s="191"/>
      <x:c r="AH72" s="191"/>
      <x:c r="AI72" s="191"/>
      <x:c r="AJ72" s="191"/>
      <x:c r="AK72" s="191"/>
    </x:row>
    <x:row r="73">
      <x:c r="A73" s="191"/>
      <x:c r="B73" s="191"/>
      <x:c r="C73" s="191"/>
      <x:c r="D73" s="191"/>
      <x:c r="E73" s="191"/>
      <x:c r="F73" s="191"/>
      <x:c r="G73" s="191"/>
      <x:c r="H73" s="191"/>
      <x:c r="I73" s="191"/>
      <x:c r="J73" s="191"/>
      <x:c r="K73" s="191"/>
      <x:c r="L73" s="191"/>
      <x:c r="M73" s="191"/>
      <x:c r="N73" s="191"/>
      <x:c r="O73" s="191"/>
      <x:c r="P73" s="191"/>
      <x:c r="Q73" s="191"/>
      <x:c r="R73" s="191"/>
      <x:c r="S73" s="191"/>
      <x:c r="T73" s="191"/>
      <x:c r="U73" s="191"/>
      <x:c r="V73" s="191"/>
      <x:c r="W73" s="191"/>
      <x:c r="X73" s="191"/>
      <x:c r="Y73" s="191"/>
      <x:c r="Z73" s="191"/>
      <x:c r="AA73" s="191"/>
      <x:c r="AB73" s="191"/>
      <x:c r="AC73" s="191"/>
      <x:c r="AD73" s="191"/>
      <x:c r="AE73" s="191"/>
      <x:c r="AF73" s="191"/>
      <x:c r="AG73" s="191"/>
      <x:c r="AH73" s="191"/>
      <x:c r="AI73" s="191"/>
      <x:c r="AJ73" s="191"/>
      <x:c r="AK73" s="191"/>
    </x:row>
    <x:row r="74">
      <x:c r="A74" s="191"/>
      <x:c r="B74" s="191"/>
      <x:c r="C74" s="191"/>
      <x:c r="D74" s="191"/>
      <x:c r="E74" s="191"/>
      <x:c r="F74" s="191"/>
      <x:c r="G74" s="191"/>
      <x:c r="H74" s="191"/>
      <x:c r="I74" s="191"/>
      <x:c r="J74" s="191"/>
      <x:c r="K74" s="191"/>
      <x:c r="L74" s="191"/>
      <x:c r="M74" s="191"/>
      <x:c r="N74" s="191"/>
      <x:c r="O74" s="191"/>
      <x:c r="P74" s="191"/>
      <x:c r="Q74" s="191"/>
      <x:c r="R74" s="191"/>
      <x:c r="S74" s="191"/>
      <x:c r="T74" s="191"/>
      <x:c r="U74" s="191"/>
      <x:c r="V74" s="191"/>
      <x:c r="W74" s="191"/>
      <x:c r="X74" s="191"/>
      <x:c r="Y74" s="191"/>
      <x:c r="Z74" s="191"/>
      <x:c r="AA74" s="191"/>
      <x:c r="AB74" s="191"/>
      <x:c r="AC74" s="191"/>
      <x:c r="AD74" s="191"/>
      <x:c r="AE74" s="191"/>
      <x:c r="AF74" s="191"/>
      <x:c r="AG74" s="191"/>
      <x:c r="AH74" s="191"/>
      <x:c r="AI74" s="191"/>
      <x:c r="AJ74" s="191"/>
      <x:c r="AK74" s="191"/>
    </x:row>
    <x:row r="75">
      <x:c r="A75" s="191"/>
      <x:c r="B75" s="191"/>
      <x:c r="C75" s="191"/>
      <x:c r="D75" s="191"/>
      <x:c r="E75" s="191"/>
      <x:c r="F75" s="191"/>
      <x:c r="G75" s="191"/>
      <x:c r="H75" s="191"/>
      <x:c r="I75" s="191"/>
      <x:c r="J75" s="191"/>
      <x:c r="K75" s="191"/>
      <x:c r="L75" s="191"/>
      <x:c r="M75" s="191"/>
      <x:c r="N75" s="191"/>
      <x:c r="O75" s="191"/>
      <x:c r="P75" s="191"/>
      <x:c r="Q75" s="191"/>
      <x:c r="R75" s="191"/>
      <x:c r="S75" s="191"/>
      <x:c r="T75" s="191"/>
      <x:c r="U75" s="191"/>
      <x:c r="V75" s="191"/>
      <x:c r="W75" s="191"/>
      <x:c r="X75" s="191"/>
      <x:c r="Y75" s="191"/>
      <x:c r="Z75" s="191"/>
      <x:c r="AA75" s="191"/>
      <x:c r="AB75" s="191"/>
      <x:c r="AC75" s="191"/>
      <x:c r="AD75" s="191"/>
      <x:c r="AE75" s="191"/>
      <x:c r="AF75" s="191"/>
      <x:c r="AG75" s="191"/>
      <x:c r="AH75" s="191"/>
      <x:c r="AI75" s="191"/>
      <x:c r="AJ75" s="191"/>
      <x:c r="AK75" s="191"/>
    </x:row>
    <x:row r="76">
      <x:c r="A76" s="191"/>
      <x:c r="B76" s="191"/>
      <x:c r="C76" s="191"/>
      <x:c r="D76" s="191"/>
      <x:c r="E76" s="191"/>
      <x:c r="F76" s="191"/>
      <x:c r="G76" s="191"/>
      <x:c r="H76" s="191"/>
      <x:c r="I76" s="191"/>
      <x:c r="J76" s="191"/>
      <x:c r="K76" s="191"/>
      <x:c r="L76" s="191"/>
      <x:c r="M76" s="191"/>
      <x:c r="N76" s="191"/>
      <x:c r="O76" s="191"/>
      <x:c r="P76" s="191"/>
      <x:c r="Q76" s="191"/>
      <x:c r="R76" s="191"/>
      <x:c r="S76" s="191"/>
      <x:c r="T76" s="191"/>
      <x:c r="U76" s="191"/>
      <x:c r="V76" s="191"/>
      <x:c r="W76" s="191"/>
      <x:c r="X76" s="191"/>
      <x:c r="Y76" s="191"/>
      <x:c r="Z76" s="191"/>
      <x:c r="AA76" s="191"/>
      <x:c r="AB76" s="191"/>
      <x:c r="AC76" s="191"/>
      <x:c r="AD76" s="191"/>
      <x:c r="AE76" s="191"/>
      <x:c r="AF76" s="191"/>
      <x:c r="AG76" s="191"/>
      <x:c r="AH76" s="191"/>
      <x:c r="AI76" s="191"/>
      <x:c r="AJ76" s="191"/>
      <x:c r="AK76" s="191"/>
    </x:row>
    <x:row r="77">
      <x:c r="A77" s="191"/>
      <x:c r="B77" s="191"/>
      <x:c r="C77" s="191"/>
      <x:c r="D77" s="191"/>
      <x:c r="E77" s="191"/>
      <x:c r="F77" s="191"/>
      <x:c r="G77" s="191"/>
      <x:c r="H77" s="191"/>
      <x:c r="I77" s="191"/>
      <x:c r="J77" s="191"/>
      <x:c r="K77" s="191"/>
      <x:c r="L77" s="191"/>
      <x:c r="M77" s="191"/>
      <x:c r="N77" s="191"/>
      <x:c r="O77" s="191"/>
      <x:c r="P77" s="191"/>
      <x:c r="Q77" s="191"/>
      <x:c r="R77" s="191"/>
      <x:c r="S77" s="191"/>
      <x:c r="T77" s="191"/>
      <x:c r="U77" s="191"/>
      <x:c r="V77" s="191"/>
      <x:c r="W77" s="191"/>
      <x:c r="X77" s="191"/>
      <x:c r="Y77" s="191"/>
      <x:c r="Z77" s="191"/>
      <x:c r="AA77" s="191"/>
      <x:c r="AB77" s="191"/>
      <x:c r="AC77" s="191"/>
      <x:c r="AD77" s="191"/>
      <x:c r="AE77" s="191"/>
      <x:c r="AF77" s="191"/>
      <x:c r="AG77" s="191"/>
      <x:c r="AH77" s="191"/>
      <x:c r="AI77" s="191"/>
      <x:c r="AJ77" s="191"/>
      <x:c r="AK77" s="191"/>
    </x:row>
    <x:row r="78">
      <x:c r="A78" s="191"/>
      <x:c r="B78" s="191"/>
      <x:c r="C78" s="191"/>
      <x:c r="D78" s="191"/>
      <x:c r="E78" s="191"/>
      <x:c r="F78" s="191"/>
      <x:c r="G78" s="191"/>
      <x:c r="H78" s="191"/>
      <x:c r="I78" s="191"/>
      <x:c r="J78" s="191"/>
      <x:c r="K78" s="191"/>
      <x:c r="L78" s="191"/>
      <x:c r="M78" s="191"/>
      <x:c r="N78" s="191"/>
      <x:c r="O78" s="191"/>
      <x:c r="P78" s="191"/>
      <x:c r="Q78" s="191"/>
      <x:c r="R78" s="191"/>
      <x:c r="S78" s="191"/>
      <x:c r="T78" s="191"/>
      <x:c r="U78" s="191"/>
      <x:c r="V78" s="191"/>
      <x:c r="W78" s="191"/>
      <x:c r="X78" s="191"/>
      <x:c r="Y78" s="191"/>
      <x:c r="Z78" s="191"/>
      <x:c r="AA78" s="191"/>
      <x:c r="AB78" s="191"/>
      <x:c r="AC78" s="191"/>
      <x:c r="AD78" s="191"/>
      <x:c r="AE78" s="191"/>
      <x:c r="AF78" s="191"/>
      <x:c r="AG78" s="191"/>
      <x:c r="AH78" s="191"/>
      <x:c r="AI78" s="191"/>
      <x:c r="AJ78" s="191"/>
      <x:c r="AK78" s="191"/>
    </x:row>
    <x:row r="79">
      <x:c r="A79" s="191"/>
      <x:c r="B79" s="191"/>
      <x:c r="C79" s="191"/>
      <x:c r="D79" s="191"/>
      <x:c r="E79" s="191"/>
      <x:c r="F79" s="191"/>
      <x:c r="G79" s="191"/>
      <x:c r="H79" s="191"/>
      <x:c r="I79" s="191"/>
      <x:c r="J79" s="191"/>
      <x:c r="K79" s="191"/>
      <x:c r="L79" s="191"/>
      <x:c r="M79" s="191"/>
      <x:c r="N79" s="191"/>
      <x:c r="O79" s="191"/>
      <x:c r="P79" s="191"/>
      <x:c r="Q79" s="191"/>
      <x:c r="R79" s="191"/>
      <x:c r="S79" s="191"/>
      <x:c r="T79" s="191"/>
      <x:c r="U79" s="191"/>
      <x:c r="V79" s="191"/>
      <x:c r="W79" s="191"/>
      <x:c r="X79" s="191"/>
      <x:c r="Y79" s="191"/>
      <x:c r="Z79" s="191"/>
      <x:c r="AA79" s="191"/>
      <x:c r="AB79" s="191"/>
      <x:c r="AC79" s="191"/>
      <x:c r="AD79" s="191"/>
      <x:c r="AE79" s="191"/>
      <x:c r="AF79" s="191"/>
      <x:c r="AG79" s="191"/>
      <x:c r="AH79" s="191"/>
      <x:c r="AI79" s="191"/>
      <x:c r="AJ79" s="191"/>
      <x:c r="AK79" s="191"/>
    </x:row>
    <x:row r="80">
      <x:c r="A80" s="191"/>
      <x:c r="B80" s="191"/>
      <x:c r="C80" s="191"/>
      <x:c r="D80" s="191"/>
      <x:c r="E80" s="191"/>
      <x:c r="F80" s="191"/>
      <x:c r="G80" s="191"/>
      <x:c r="H80" s="191"/>
      <x:c r="I80" s="191"/>
      <x:c r="J80" s="191"/>
      <x:c r="K80" s="191"/>
      <x:c r="L80" s="191"/>
      <x:c r="M80" s="191"/>
      <x:c r="N80" s="191"/>
      <x:c r="O80" s="191"/>
      <x:c r="P80" s="191"/>
      <x:c r="Q80" s="191"/>
      <x:c r="R80" s="191"/>
      <x:c r="S80" s="191"/>
      <x:c r="T80" s="191"/>
      <x:c r="U80" s="191"/>
      <x:c r="V80" s="191"/>
      <x:c r="W80" s="191"/>
      <x:c r="X80" s="191"/>
      <x:c r="Y80" s="191"/>
      <x:c r="Z80" s="191"/>
      <x:c r="AA80" s="191"/>
      <x:c r="AB80" s="191"/>
      <x:c r="AC80" s="191"/>
      <x:c r="AD80" s="191"/>
      <x:c r="AE80" s="191"/>
      <x:c r="AF80" s="191"/>
      <x:c r="AG80" s="191"/>
      <x:c r="AH80" s="191"/>
      <x:c r="AI80" s="191"/>
      <x:c r="AJ80" s="191"/>
      <x:c r="AK80" s="191"/>
    </x:row>
    <x:row r="81">
      <x:c r="A81" s="191"/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  <x:c r="S81" s="191"/>
      <x:c r="T81" s="191"/>
      <x:c r="U81" s="191"/>
      <x:c r="V81" s="191"/>
      <x:c r="W81" s="191"/>
      <x:c r="X81" s="191"/>
      <x:c r="Y81" s="191"/>
      <x:c r="Z81" s="191"/>
      <x:c r="AA81" s="191"/>
      <x:c r="AB81" s="191"/>
      <x:c r="AC81" s="191"/>
      <x:c r="AD81" s="191"/>
      <x:c r="AE81" s="191"/>
      <x:c r="AF81" s="191"/>
      <x:c r="AG81" s="191"/>
      <x:c r="AH81" s="191"/>
      <x:c r="AI81" s="191"/>
      <x:c r="AJ81" s="191"/>
      <x:c r="AK81" s="191"/>
    </x:row>
    <x:row r="82">
      <x:c r="A82" s="191"/>
      <x:c r="B82" s="191"/>
      <x:c r="C82" s="191"/>
      <x:c r="D82" s="191"/>
      <x:c r="E82" s="191"/>
      <x:c r="F82" s="191"/>
      <x:c r="G82" s="191"/>
      <x:c r="H82" s="191"/>
      <x:c r="I82" s="191"/>
      <x:c r="J82" s="191"/>
      <x:c r="K82" s="191"/>
      <x:c r="L82" s="191"/>
      <x:c r="M82" s="191"/>
      <x:c r="N82" s="191"/>
      <x:c r="O82" s="191"/>
      <x:c r="P82" s="191"/>
      <x:c r="Q82" s="191"/>
      <x:c r="R82" s="191"/>
      <x:c r="S82" s="191"/>
      <x:c r="T82" s="191"/>
      <x:c r="U82" s="191"/>
      <x:c r="V82" s="191"/>
      <x:c r="W82" s="191"/>
      <x:c r="X82" s="191"/>
      <x:c r="Y82" s="191"/>
      <x:c r="Z82" s="191"/>
      <x:c r="AA82" s="191"/>
      <x:c r="AB82" s="191"/>
      <x:c r="AC82" s="191"/>
      <x:c r="AD82" s="191"/>
      <x:c r="AE82" s="191"/>
      <x:c r="AF82" s="191"/>
      <x:c r="AG82" s="191"/>
      <x:c r="AH82" s="191"/>
      <x:c r="AI82" s="191"/>
      <x:c r="AJ82" s="191"/>
      <x:c r="AK82" s="191"/>
    </x:row>
    <x:row r="83">
      <x:c r="A83" s="191"/>
      <x:c r="B83" s="191"/>
      <x:c r="C83" s="191"/>
      <x:c r="D83" s="191"/>
      <x:c r="E83" s="191"/>
      <x:c r="F83" s="191"/>
      <x:c r="G83" s="191"/>
      <x:c r="H83" s="191"/>
      <x:c r="I83" s="191"/>
      <x:c r="J83" s="191"/>
      <x:c r="K83" s="191"/>
      <x:c r="L83" s="191"/>
      <x:c r="M83" s="191"/>
      <x:c r="N83" s="191"/>
      <x:c r="O83" s="191"/>
      <x:c r="P83" s="191"/>
      <x:c r="Q83" s="191"/>
      <x:c r="R83" s="191"/>
      <x:c r="S83" s="191"/>
      <x:c r="T83" s="191"/>
      <x:c r="U83" s="191"/>
      <x:c r="V83" s="191"/>
      <x:c r="W83" s="191"/>
      <x:c r="X83" s="191"/>
      <x:c r="Y83" s="191"/>
      <x:c r="Z83" s="191"/>
      <x:c r="AA83" s="191"/>
      <x:c r="AB83" s="191"/>
      <x:c r="AC83" s="191"/>
      <x:c r="AD83" s="191"/>
      <x:c r="AE83" s="191"/>
      <x:c r="AF83" s="191"/>
      <x:c r="AG83" s="191"/>
      <x:c r="AH83" s="191"/>
      <x:c r="AI83" s="191"/>
      <x:c r="AJ83" s="191"/>
      <x:c r="AK83" s="191"/>
    </x:row>
    <x:row r="84">
      <x:c r="A84" s="191"/>
      <x:c r="B84" s="191"/>
      <x:c r="C84" s="191"/>
      <x:c r="D84" s="191"/>
      <x:c r="E84" s="191"/>
      <x:c r="F84" s="191"/>
      <x:c r="G84" s="191"/>
      <x:c r="H84" s="191"/>
      <x:c r="I84" s="191"/>
      <x:c r="J84" s="191"/>
      <x:c r="K84" s="191"/>
      <x:c r="L84" s="191"/>
      <x:c r="M84" s="191"/>
      <x:c r="N84" s="191"/>
      <x:c r="O84" s="191"/>
      <x:c r="P84" s="191"/>
      <x:c r="Q84" s="191"/>
      <x:c r="R84" s="191"/>
      <x:c r="S84" s="191"/>
      <x:c r="T84" s="191"/>
      <x:c r="U84" s="191"/>
      <x:c r="V84" s="191"/>
      <x:c r="W84" s="191"/>
      <x:c r="X84" s="191"/>
      <x:c r="Y84" s="191"/>
      <x:c r="Z84" s="191"/>
      <x:c r="AA84" s="191"/>
      <x:c r="AB84" s="191"/>
      <x:c r="AC84" s="191"/>
      <x:c r="AD84" s="191"/>
      <x:c r="AE84" s="191"/>
      <x:c r="AF84" s="191"/>
      <x:c r="AG84" s="191"/>
      <x:c r="AH84" s="191"/>
      <x:c r="AI84" s="191"/>
      <x:c r="AJ84" s="191"/>
      <x:c r="AK84" s="191"/>
    </x:row>
    <x:row r="85">
      <x:c r="A85" s="191"/>
      <x:c r="B85" s="191"/>
      <x:c r="C85" s="191"/>
      <x:c r="D85" s="191"/>
      <x:c r="E85" s="191"/>
      <x:c r="F85" s="191"/>
      <x:c r="G85" s="191"/>
      <x:c r="H85" s="191"/>
      <x:c r="I85" s="191"/>
      <x:c r="J85" s="191"/>
      <x:c r="K85" s="191"/>
      <x:c r="L85" s="191"/>
      <x:c r="M85" s="191"/>
      <x:c r="N85" s="191"/>
      <x:c r="O85" s="191"/>
      <x:c r="P85" s="191"/>
      <x:c r="Q85" s="191"/>
      <x:c r="R85" s="191"/>
      <x:c r="S85" s="191"/>
      <x:c r="T85" s="191"/>
      <x:c r="U85" s="191"/>
      <x:c r="V85" s="191"/>
      <x:c r="W85" s="191"/>
      <x:c r="X85" s="191"/>
      <x:c r="Y85" s="191"/>
      <x:c r="Z85" s="191"/>
      <x:c r="AA85" s="191"/>
      <x:c r="AB85" s="191"/>
      <x:c r="AC85" s="191"/>
      <x:c r="AD85" s="191"/>
      <x:c r="AE85" s="191"/>
      <x:c r="AF85" s="191"/>
      <x:c r="AG85" s="191"/>
      <x:c r="AH85" s="191"/>
      <x:c r="AI85" s="191"/>
      <x:c r="AJ85" s="191"/>
      <x:c r="AK85" s="191"/>
    </x:row>
    <x:row r="86">
      <x:c r="A86" s="191"/>
      <x:c r="B86" s="191"/>
      <x:c r="C86" s="191"/>
      <x:c r="D86" s="191"/>
      <x:c r="E86" s="191"/>
      <x:c r="F86" s="191"/>
      <x:c r="G86" s="191"/>
      <x:c r="H86" s="191"/>
      <x:c r="I86" s="191"/>
      <x:c r="J86" s="191"/>
      <x:c r="K86" s="191"/>
      <x:c r="L86" s="191"/>
      <x:c r="M86" s="191"/>
      <x:c r="N86" s="191"/>
      <x:c r="O86" s="191"/>
      <x:c r="P86" s="191"/>
      <x:c r="Q86" s="191"/>
      <x:c r="R86" s="191"/>
      <x:c r="S86" s="191"/>
      <x:c r="T86" s="191"/>
      <x:c r="U86" s="191"/>
      <x:c r="V86" s="191"/>
      <x:c r="W86" s="191"/>
      <x:c r="X86" s="191"/>
      <x:c r="Y86" s="191"/>
      <x:c r="Z86" s="191"/>
      <x:c r="AA86" s="191"/>
      <x:c r="AB86" s="191"/>
      <x:c r="AC86" s="191"/>
      <x:c r="AD86" s="191"/>
      <x:c r="AE86" s="191"/>
      <x:c r="AF86" s="191"/>
      <x:c r="AG86" s="191"/>
      <x:c r="AH86" s="191"/>
      <x:c r="AI86" s="191"/>
      <x:c r="AJ86" s="191"/>
      <x:c r="AK86" s="191"/>
    </x:row>
    <x:row r="87">
      <x:c r="A87" s="191"/>
      <x:c r="B87" s="191"/>
      <x:c r="C87" s="191"/>
      <x:c r="D87" s="191"/>
      <x:c r="E87" s="191"/>
      <x:c r="F87" s="191"/>
      <x:c r="G87" s="191"/>
      <x:c r="H87" s="191"/>
      <x:c r="I87" s="191"/>
      <x:c r="J87" s="191"/>
      <x:c r="K87" s="191"/>
      <x:c r="L87" s="191"/>
      <x:c r="M87" s="191"/>
      <x:c r="N87" s="191"/>
      <x:c r="O87" s="191"/>
      <x:c r="P87" s="191"/>
      <x:c r="Q87" s="191"/>
      <x:c r="R87" s="191"/>
      <x:c r="S87" s="191"/>
      <x:c r="T87" s="191"/>
      <x:c r="U87" s="191"/>
      <x:c r="V87" s="191"/>
      <x:c r="W87" s="191"/>
      <x:c r="X87" s="191"/>
      <x:c r="Y87" s="191"/>
      <x:c r="Z87" s="191"/>
      <x:c r="AA87" s="191"/>
      <x:c r="AB87" s="191"/>
      <x:c r="AC87" s="191"/>
      <x:c r="AD87" s="191"/>
      <x:c r="AE87" s="191"/>
      <x:c r="AF87" s="191"/>
      <x:c r="AG87" s="191"/>
      <x:c r="AH87" s="191"/>
      <x:c r="AI87" s="191"/>
      <x:c r="AJ87" s="191"/>
      <x:c r="AK87" s="191"/>
    </x:row>
    <x:row r="88">
      <x:c r="A88" s="191"/>
      <x:c r="B88" s="191"/>
      <x:c r="C88" s="191"/>
      <x:c r="D88" s="191"/>
      <x:c r="E88" s="191"/>
      <x:c r="F88" s="191"/>
      <x:c r="G88" s="191"/>
      <x:c r="H88" s="191"/>
      <x:c r="I88" s="191"/>
      <x:c r="J88" s="191"/>
      <x:c r="K88" s="191"/>
      <x:c r="L88" s="191"/>
      <x:c r="M88" s="191"/>
      <x:c r="N88" s="191"/>
      <x:c r="O88" s="191"/>
      <x:c r="P88" s="191"/>
      <x:c r="Q88" s="191"/>
      <x:c r="R88" s="191"/>
      <x:c r="S88" s="191"/>
      <x:c r="T88" s="191"/>
      <x:c r="U88" s="191"/>
      <x:c r="V88" s="191"/>
      <x:c r="W88" s="191"/>
      <x:c r="X88" s="191"/>
      <x:c r="Y88" s="191"/>
      <x:c r="Z88" s="191"/>
      <x:c r="AA88" s="191"/>
      <x:c r="AB88" s="191"/>
      <x:c r="AC88" s="191"/>
      <x:c r="AD88" s="191"/>
      <x:c r="AE88" s="191"/>
      <x:c r="AF88" s="191"/>
      <x:c r="AG88" s="191"/>
      <x:c r="AH88" s="191"/>
      <x:c r="AI88" s="191"/>
      <x:c r="AJ88" s="191"/>
      <x:c r="AK88" s="191"/>
    </x:row>
    <x:row r="89">
      <x:c r="A89" s="191"/>
      <x:c r="B89" s="191"/>
      <x:c r="C89" s="191"/>
      <x:c r="D89" s="191"/>
      <x:c r="E89" s="191"/>
      <x:c r="F89" s="191"/>
      <x:c r="G89" s="191"/>
      <x:c r="H89" s="191"/>
      <x:c r="I89" s="191"/>
      <x:c r="J89" s="191"/>
      <x:c r="K89" s="191"/>
      <x:c r="L89" s="191"/>
      <x:c r="M89" s="191"/>
      <x:c r="N89" s="191"/>
      <x:c r="O89" s="191"/>
      <x:c r="P89" s="191"/>
      <x:c r="Q89" s="191"/>
      <x:c r="R89" s="191"/>
      <x:c r="S89" s="191"/>
      <x:c r="T89" s="191"/>
      <x:c r="U89" s="191"/>
      <x:c r="V89" s="191"/>
      <x:c r="W89" s="191"/>
      <x:c r="X89" s="191"/>
      <x:c r="Y89" s="191"/>
      <x:c r="Z89" s="191"/>
      <x:c r="AA89" s="191"/>
      <x:c r="AB89" s="191"/>
      <x:c r="AC89" s="191"/>
      <x:c r="AD89" s="191"/>
      <x:c r="AE89" s="191"/>
      <x:c r="AF89" s="191"/>
      <x:c r="AG89" s="191"/>
      <x:c r="AH89" s="191"/>
      <x:c r="AI89" s="191"/>
      <x:c r="AJ89" s="191"/>
      <x:c r="AK89" s="191"/>
    </x:row>
    <x:row r="90">
      <x:c r="A90" s="191"/>
      <x:c r="B90" s="191"/>
      <x:c r="C90" s="191"/>
      <x:c r="D90" s="191"/>
      <x:c r="E90" s="191"/>
      <x:c r="F90" s="191"/>
      <x:c r="G90" s="191"/>
      <x:c r="H90" s="191"/>
      <x:c r="I90" s="191"/>
      <x:c r="J90" s="191"/>
      <x:c r="K90" s="191"/>
      <x:c r="L90" s="191"/>
      <x:c r="M90" s="191"/>
      <x:c r="N90" s="191"/>
      <x:c r="O90" s="191"/>
      <x:c r="P90" s="191"/>
      <x:c r="Q90" s="191"/>
      <x:c r="R90" s="191"/>
      <x:c r="S90" s="191"/>
      <x:c r="T90" s="191"/>
      <x:c r="U90" s="191"/>
      <x:c r="V90" s="191"/>
      <x:c r="W90" s="191"/>
      <x:c r="X90" s="191"/>
      <x:c r="Y90" s="191"/>
      <x:c r="Z90" s="191"/>
      <x:c r="AA90" s="191"/>
      <x:c r="AB90" s="191"/>
      <x:c r="AC90" s="191"/>
      <x:c r="AD90" s="191"/>
      <x:c r="AE90" s="191"/>
      <x:c r="AF90" s="191"/>
      <x:c r="AG90" s="191"/>
      <x:c r="AH90" s="191"/>
      <x:c r="AI90" s="191"/>
      <x:c r="AJ90" s="191"/>
      <x:c r="AK90" s="191"/>
    </x:row>
    <x:row r="91">
      <x:c r="A91" s="191"/>
      <x:c r="B91" s="191"/>
      <x:c r="C91" s="191"/>
      <x:c r="D91" s="191"/>
      <x:c r="E91" s="191"/>
      <x:c r="F91" s="191"/>
      <x:c r="G91" s="191"/>
      <x:c r="H91" s="191"/>
      <x:c r="I91" s="191"/>
      <x:c r="J91" s="191"/>
      <x:c r="K91" s="191"/>
      <x:c r="L91" s="191"/>
      <x:c r="M91" s="191"/>
      <x:c r="N91" s="191"/>
      <x:c r="O91" s="191"/>
      <x:c r="P91" s="191"/>
      <x:c r="Q91" s="191"/>
      <x:c r="R91" s="191"/>
      <x:c r="S91" s="191"/>
      <x:c r="T91" s="191"/>
      <x:c r="U91" s="191"/>
      <x:c r="V91" s="191"/>
      <x:c r="W91" s="191"/>
      <x:c r="X91" s="191"/>
      <x:c r="Y91" s="191"/>
      <x:c r="Z91" s="191"/>
      <x:c r="AA91" s="191"/>
      <x:c r="AB91" s="191"/>
      <x:c r="AC91" s="191"/>
      <x:c r="AD91" s="191"/>
      <x:c r="AE91" s="191"/>
      <x:c r="AF91" s="191"/>
      <x:c r="AG91" s="191"/>
      <x:c r="AH91" s="191"/>
      <x:c r="AI91" s="191"/>
      <x:c r="AJ91" s="191"/>
      <x:c r="AK91" s="191"/>
    </x:row>
    <x:row r="92">
      <x:c r="A92" s="191"/>
      <x:c r="B92" s="191"/>
      <x:c r="C92" s="191"/>
      <x:c r="D92" s="191"/>
      <x:c r="E92" s="191"/>
      <x:c r="F92" s="191"/>
      <x:c r="G92" s="191"/>
      <x:c r="H92" s="191"/>
      <x:c r="I92" s="191"/>
      <x:c r="J92" s="191"/>
      <x:c r="K92" s="191"/>
      <x:c r="L92" s="191"/>
      <x:c r="M92" s="191"/>
      <x:c r="N92" s="191"/>
      <x:c r="O92" s="191"/>
      <x:c r="P92" s="191"/>
      <x:c r="Q92" s="191"/>
      <x:c r="R92" s="191"/>
      <x:c r="S92" s="191"/>
      <x:c r="T92" s="191"/>
      <x:c r="U92" s="191"/>
      <x:c r="V92" s="191"/>
      <x:c r="W92" s="191"/>
      <x:c r="X92" s="191"/>
      <x:c r="Y92" s="191"/>
      <x:c r="Z92" s="191"/>
      <x:c r="AA92" s="191"/>
      <x:c r="AB92" s="191"/>
      <x:c r="AC92" s="191"/>
      <x:c r="AD92" s="191"/>
      <x:c r="AE92" s="191"/>
      <x:c r="AF92" s="191"/>
      <x:c r="AG92" s="191"/>
      <x:c r="AH92" s="191"/>
      <x:c r="AI92" s="191"/>
      <x:c r="AJ92" s="191"/>
      <x:c r="AK92" s="191"/>
    </x:row>
    <x:row r="93">
      <x:c r="A93" s="191"/>
      <x:c r="B93" s="191"/>
      <x:c r="C93" s="191"/>
      <x:c r="D93" s="191"/>
      <x:c r="E93" s="191"/>
      <x:c r="F93" s="191"/>
      <x:c r="G93" s="191"/>
      <x:c r="H93" s="191"/>
      <x:c r="I93" s="191"/>
      <x:c r="J93" s="191"/>
      <x:c r="K93" s="191"/>
      <x:c r="L93" s="191"/>
      <x:c r="M93" s="191"/>
      <x:c r="N93" s="191"/>
      <x:c r="O93" s="191"/>
      <x:c r="P93" s="191"/>
      <x:c r="Q93" s="191"/>
      <x:c r="R93" s="191"/>
      <x:c r="S93" s="191"/>
      <x:c r="T93" s="191"/>
      <x:c r="U93" s="191"/>
      <x:c r="V93" s="191"/>
      <x:c r="W93" s="191"/>
      <x:c r="X93" s="191"/>
      <x:c r="Y93" s="191"/>
      <x:c r="Z93" s="191"/>
      <x:c r="AA93" s="191"/>
      <x:c r="AB93" s="191"/>
      <x:c r="AC93" s="191"/>
      <x:c r="AD93" s="191"/>
      <x:c r="AE93" s="191"/>
      <x:c r="AF93" s="191"/>
      <x:c r="AG93" s="191"/>
      <x:c r="AH93" s="191"/>
      <x:c r="AI93" s="191"/>
      <x:c r="AJ93" s="191"/>
      <x:c r="AK93" s="191"/>
    </x:row>
    <x:row r="94">
      <x:c r="A94" s="191"/>
      <x:c r="B94" s="191"/>
      <x:c r="C94" s="191"/>
      <x:c r="D94" s="191"/>
      <x:c r="E94" s="191"/>
      <x:c r="F94" s="191"/>
      <x:c r="G94" s="191"/>
      <x:c r="H94" s="191"/>
      <x:c r="I94" s="191"/>
      <x:c r="J94" s="191"/>
      <x:c r="K94" s="191"/>
      <x:c r="L94" s="191"/>
      <x:c r="M94" s="191"/>
      <x:c r="N94" s="191"/>
      <x:c r="O94" s="191"/>
      <x:c r="P94" s="191"/>
      <x:c r="Q94" s="191"/>
      <x:c r="R94" s="191"/>
      <x:c r="S94" s="191"/>
      <x:c r="T94" s="191"/>
      <x:c r="U94" s="191"/>
      <x:c r="V94" s="191"/>
      <x:c r="W94" s="191"/>
      <x:c r="X94" s="191"/>
      <x:c r="Y94" s="191"/>
      <x:c r="Z94" s="191"/>
      <x:c r="AA94" s="191"/>
      <x:c r="AB94" s="191"/>
      <x:c r="AC94" s="191"/>
      <x:c r="AD94" s="191"/>
      <x:c r="AE94" s="191"/>
      <x:c r="AF94" s="191"/>
      <x:c r="AG94" s="191"/>
      <x:c r="AH94" s="191"/>
      <x:c r="AI94" s="191"/>
      <x:c r="AJ94" s="191"/>
      <x:c r="AK94" s="191"/>
    </x:row>
    <x:row r="95">
      <x:c r="A95" s="191"/>
      <x:c r="B95" s="191"/>
      <x:c r="C95" s="191"/>
      <x:c r="D95" s="191"/>
      <x:c r="E95" s="191"/>
      <x:c r="F95" s="191"/>
      <x:c r="G95" s="191"/>
      <x:c r="H95" s="191"/>
      <x:c r="I95" s="191"/>
      <x:c r="J95" s="191"/>
      <x:c r="K95" s="191"/>
      <x:c r="L95" s="191"/>
      <x:c r="M95" s="191"/>
      <x:c r="N95" s="191"/>
      <x:c r="O95" s="191"/>
      <x:c r="P95" s="191"/>
      <x:c r="Q95" s="191"/>
      <x:c r="R95" s="191"/>
      <x:c r="S95" s="191"/>
      <x:c r="T95" s="191"/>
      <x:c r="U95" s="191"/>
      <x:c r="V95" s="191"/>
      <x:c r="W95" s="191"/>
      <x:c r="X95" s="191"/>
      <x:c r="Y95" s="191"/>
      <x:c r="Z95" s="191"/>
      <x:c r="AA95" s="191"/>
      <x:c r="AB95" s="191"/>
      <x:c r="AC95" s="191"/>
      <x:c r="AD95" s="191"/>
      <x:c r="AE95" s="191"/>
      <x:c r="AF95" s="191"/>
      <x:c r="AG95" s="191"/>
      <x:c r="AH95" s="191"/>
      <x:c r="AI95" s="191"/>
      <x:c r="AJ95" s="191"/>
      <x:c r="AK95" s="191"/>
    </x:row>
    <x:row r="96">
      <x:c r="A96" s="191"/>
      <x:c r="B96" s="191"/>
      <x:c r="C96" s="191"/>
      <x:c r="D96" s="191"/>
      <x:c r="E96" s="191"/>
      <x:c r="F96" s="191"/>
      <x:c r="G96" s="191"/>
      <x:c r="H96" s="191"/>
      <x:c r="I96" s="191"/>
      <x:c r="J96" s="191"/>
      <x:c r="K96" s="191"/>
      <x:c r="L96" s="191"/>
      <x:c r="M96" s="191"/>
      <x:c r="N96" s="191"/>
      <x:c r="O96" s="191"/>
      <x:c r="P96" s="191"/>
      <x:c r="Q96" s="191"/>
      <x:c r="R96" s="191"/>
      <x:c r="S96" s="191"/>
      <x:c r="T96" s="191"/>
      <x:c r="U96" s="191"/>
      <x:c r="V96" s="191"/>
      <x:c r="W96" s="191"/>
      <x:c r="X96" s="191"/>
      <x:c r="Y96" s="191"/>
      <x:c r="Z96" s="191"/>
      <x:c r="AA96" s="191"/>
      <x:c r="AB96" s="191"/>
      <x:c r="AC96" s="191"/>
      <x:c r="AD96" s="191"/>
      <x:c r="AE96" s="191"/>
      <x:c r="AF96" s="191"/>
      <x:c r="AG96" s="191"/>
      <x:c r="AH96" s="191"/>
      <x:c r="AI96" s="191"/>
      <x:c r="AJ96" s="191"/>
      <x:c r="AK96" s="191"/>
    </x:row>
    <x:row r="97">
      <x:c r="A97" s="191"/>
      <x:c r="B97" s="191"/>
      <x:c r="C97" s="191"/>
      <x:c r="D97" s="191"/>
      <x:c r="E97" s="191"/>
      <x:c r="F97" s="191"/>
      <x:c r="G97" s="191"/>
      <x:c r="H97" s="191"/>
      <x:c r="I97" s="191"/>
      <x:c r="J97" s="191"/>
      <x:c r="K97" s="191"/>
      <x:c r="L97" s="191"/>
      <x:c r="M97" s="191"/>
      <x:c r="N97" s="191"/>
      <x:c r="O97" s="191"/>
      <x:c r="P97" s="191"/>
      <x:c r="Q97" s="191"/>
      <x:c r="R97" s="191"/>
      <x:c r="S97" s="191"/>
      <x:c r="T97" s="191"/>
      <x:c r="U97" s="191"/>
      <x:c r="V97" s="191"/>
      <x:c r="W97" s="191"/>
      <x:c r="X97" s="191"/>
      <x:c r="Y97" s="191"/>
      <x:c r="Z97" s="191"/>
      <x:c r="AA97" s="191"/>
      <x:c r="AB97" s="191"/>
      <x:c r="AC97" s="191"/>
      <x:c r="AD97" s="191"/>
      <x:c r="AE97" s="191"/>
      <x:c r="AF97" s="191"/>
      <x:c r="AG97" s="191"/>
      <x:c r="AH97" s="191"/>
      <x:c r="AI97" s="191"/>
      <x:c r="AJ97" s="191"/>
      <x:c r="AK97" s="191"/>
    </x:row>
    <x:row r="98">
      <x:c r="A98" s="191"/>
      <x:c r="B98" s="191"/>
      <x:c r="C98" s="191"/>
      <x:c r="D98" s="191"/>
      <x:c r="E98" s="191"/>
      <x:c r="F98" s="191"/>
      <x:c r="G98" s="191"/>
      <x:c r="H98" s="191"/>
      <x:c r="I98" s="191"/>
      <x:c r="J98" s="191"/>
      <x:c r="K98" s="191"/>
      <x:c r="L98" s="191"/>
      <x:c r="M98" s="191"/>
      <x:c r="N98" s="191"/>
      <x:c r="O98" s="191"/>
      <x:c r="P98" s="191"/>
      <x:c r="Q98" s="191"/>
      <x:c r="R98" s="191"/>
      <x:c r="S98" s="191"/>
      <x:c r="T98" s="191"/>
      <x:c r="U98" s="191"/>
      <x:c r="V98" s="191"/>
      <x:c r="W98" s="191"/>
      <x:c r="X98" s="191"/>
      <x:c r="Y98" s="191"/>
      <x:c r="Z98" s="191"/>
      <x:c r="AA98" s="191"/>
      <x:c r="AB98" s="191"/>
      <x:c r="AC98" s="191"/>
      <x:c r="AD98" s="191"/>
      <x:c r="AE98" s="191"/>
      <x:c r="AF98" s="191"/>
      <x:c r="AG98" s="191"/>
      <x:c r="AH98" s="191"/>
      <x:c r="AI98" s="191"/>
      <x:c r="AJ98" s="191"/>
      <x:c r="AK98" s="191"/>
    </x:row>
    <x:row r="99">
      <x:c r="A99" s="191"/>
      <x:c r="B99" s="191"/>
      <x:c r="C99" s="191"/>
      <x:c r="D99" s="191"/>
      <x:c r="E99" s="191"/>
      <x:c r="F99" s="191"/>
      <x:c r="G99" s="191"/>
      <x:c r="H99" s="191"/>
      <x:c r="I99" s="191"/>
      <x:c r="J99" s="191"/>
      <x:c r="K99" s="191"/>
      <x:c r="L99" s="191"/>
      <x:c r="M99" s="191"/>
      <x:c r="N99" s="191"/>
      <x:c r="O99" s="191"/>
      <x:c r="P99" s="191"/>
      <x:c r="Q99" s="191"/>
      <x:c r="R99" s="191"/>
      <x:c r="S99" s="191"/>
      <x:c r="T99" s="191"/>
      <x:c r="U99" s="191"/>
      <x:c r="V99" s="191"/>
      <x:c r="W99" s="191"/>
      <x:c r="X99" s="191"/>
      <x:c r="Y99" s="191"/>
      <x:c r="Z99" s="191"/>
      <x:c r="AA99" s="191"/>
      <x:c r="AB99" s="191"/>
      <x:c r="AC99" s="191"/>
      <x:c r="AD99" s="191"/>
      <x:c r="AE99" s="191"/>
      <x:c r="AF99" s="191"/>
      <x:c r="AG99" s="191"/>
      <x:c r="AH99" s="191"/>
      <x:c r="AI99" s="191"/>
      <x:c r="AJ99" s="191"/>
      <x:c r="AK99" s="191"/>
    </x:row>
    <x:row r="100">
      <x:c r="A100" s="191"/>
      <x:c r="B100" s="191"/>
      <x:c r="C100" s="191"/>
      <x:c r="D100" s="191"/>
      <x:c r="E100" s="191"/>
      <x:c r="F100" s="191"/>
      <x:c r="G100" s="191"/>
      <x:c r="H100" s="191"/>
      <x:c r="I100" s="191"/>
      <x:c r="J100" s="191"/>
      <x:c r="K100" s="191"/>
      <x:c r="L100" s="191"/>
      <x:c r="M100" s="191"/>
      <x:c r="N100" s="191"/>
      <x:c r="O100" s="191"/>
      <x:c r="P100" s="191"/>
      <x:c r="Q100" s="191"/>
      <x:c r="R100" s="191"/>
      <x:c r="S100" s="191"/>
      <x:c r="T100" s="191"/>
      <x:c r="U100" s="191"/>
      <x:c r="V100" s="191"/>
      <x:c r="W100" s="191"/>
      <x:c r="X100" s="191"/>
      <x:c r="Y100" s="191"/>
      <x:c r="Z100" s="191"/>
      <x:c r="AA100" s="191"/>
      <x:c r="AB100" s="191"/>
      <x:c r="AC100" s="191"/>
      <x:c r="AD100" s="191"/>
      <x:c r="AE100" s="191"/>
      <x:c r="AF100" s="191"/>
      <x:c r="AG100" s="191"/>
      <x:c r="AH100" s="191"/>
      <x:c r="AI100" s="191"/>
      <x:c r="AJ100" s="191"/>
      <x:c r="AK100" s="191"/>
    </x:row>
    <x:row r="101">
      <x:c r="A101" s="191"/>
      <x:c r="B101" s="191"/>
      <x:c r="C101" s="191"/>
      <x:c r="D101" s="191"/>
      <x:c r="E101" s="191"/>
      <x:c r="F101" s="191"/>
      <x:c r="G101" s="191"/>
      <x:c r="H101" s="191"/>
      <x:c r="I101" s="191"/>
      <x:c r="J101" s="191"/>
      <x:c r="K101" s="191"/>
      <x:c r="L101" s="191"/>
      <x:c r="M101" s="191"/>
      <x:c r="N101" s="191"/>
      <x:c r="O101" s="191"/>
      <x:c r="P101" s="191"/>
      <x:c r="Q101" s="191"/>
      <x:c r="R101" s="191"/>
      <x:c r="S101" s="191"/>
      <x:c r="T101" s="191"/>
      <x:c r="U101" s="191"/>
      <x:c r="V101" s="191"/>
      <x:c r="W101" s="191"/>
      <x:c r="X101" s="191"/>
      <x:c r="Y101" s="191"/>
      <x:c r="Z101" s="191"/>
      <x:c r="AA101" s="191"/>
      <x:c r="AB101" s="191"/>
      <x:c r="AC101" s="191"/>
      <x:c r="AD101" s="191"/>
      <x:c r="AE101" s="191"/>
      <x:c r="AF101" s="191"/>
      <x:c r="AG101" s="191"/>
      <x:c r="AH101" s="191"/>
      <x:c r="AI101" s="191"/>
      <x:c r="AJ101" s="191"/>
      <x:c r="AK101" s="191"/>
    </x:row>
    <x:row r="102">
      <x:c r="A102" s="191"/>
      <x:c r="B102" s="191"/>
      <x:c r="C102" s="191"/>
      <x:c r="D102" s="191"/>
      <x:c r="E102" s="191"/>
      <x:c r="F102" s="191"/>
      <x:c r="G102" s="191"/>
      <x:c r="H102" s="191"/>
      <x:c r="I102" s="191"/>
      <x:c r="J102" s="191"/>
      <x:c r="K102" s="191"/>
      <x:c r="L102" s="191"/>
      <x:c r="M102" s="191"/>
      <x:c r="N102" s="191"/>
      <x:c r="O102" s="191"/>
      <x:c r="P102" s="191"/>
      <x:c r="Q102" s="191"/>
      <x:c r="R102" s="191"/>
      <x:c r="S102" s="191"/>
      <x:c r="T102" s="191"/>
      <x:c r="U102" s="191"/>
      <x:c r="V102" s="191"/>
      <x:c r="W102" s="191"/>
      <x:c r="X102" s="191"/>
      <x:c r="Y102" s="191"/>
      <x:c r="Z102" s="191"/>
      <x:c r="AA102" s="191"/>
      <x:c r="AB102" s="191"/>
      <x:c r="AC102" s="191"/>
      <x:c r="AD102" s="191"/>
      <x:c r="AE102" s="191"/>
      <x:c r="AF102" s="191"/>
      <x:c r="AG102" s="191"/>
      <x:c r="AH102" s="191"/>
      <x:c r="AI102" s="191"/>
      <x:c r="AJ102" s="191"/>
      <x:c r="AK102" s="191"/>
    </x:row>
    <x:row r="103">
      <x:c r="A103" s="191"/>
      <x:c r="B103" s="191"/>
      <x:c r="C103" s="191"/>
      <x:c r="D103" s="191"/>
      <x:c r="E103" s="191"/>
      <x:c r="F103" s="191"/>
      <x:c r="G103" s="191"/>
      <x:c r="H103" s="191"/>
      <x:c r="I103" s="191"/>
      <x:c r="J103" s="191"/>
      <x:c r="K103" s="191"/>
      <x:c r="L103" s="191"/>
      <x:c r="M103" s="191"/>
      <x:c r="N103" s="191"/>
      <x:c r="O103" s="191"/>
      <x:c r="P103" s="191"/>
      <x:c r="Q103" s="191"/>
      <x:c r="R103" s="191"/>
      <x:c r="S103" s="191"/>
      <x:c r="T103" s="191"/>
      <x:c r="U103" s="191"/>
      <x:c r="V103" s="191"/>
      <x:c r="W103" s="191"/>
      <x:c r="X103" s="191"/>
      <x:c r="Y103" s="191"/>
      <x:c r="Z103" s="191"/>
      <x:c r="AA103" s="191"/>
      <x:c r="AB103" s="191"/>
      <x:c r="AC103" s="191"/>
      <x:c r="AD103" s="191"/>
      <x:c r="AE103" s="191"/>
      <x:c r="AF103" s="191"/>
      <x:c r="AG103" s="191"/>
      <x:c r="AH103" s="191"/>
      <x:c r="AI103" s="191"/>
      <x:c r="AJ103" s="191"/>
      <x:c r="AK103" s="191"/>
    </x:row>
    <x:row r="104">
      <x:c r="A104" s="191"/>
      <x:c r="B104" s="191"/>
      <x:c r="C104" s="191"/>
      <x:c r="D104" s="191"/>
      <x:c r="E104" s="191"/>
      <x:c r="F104" s="191"/>
      <x:c r="G104" s="191"/>
      <x:c r="H104" s="191"/>
      <x:c r="I104" s="191"/>
      <x:c r="J104" s="191"/>
      <x:c r="K104" s="191"/>
      <x:c r="L104" s="191"/>
      <x:c r="M104" s="191"/>
      <x:c r="N104" s="191"/>
      <x:c r="O104" s="191"/>
      <x:c r="P104" s="191"/>
      <x:c r="Q104" s="191"/>
      <x:c r="R104" s="191"/>
      <x:c r="S104" s="191"/>
      <x:c r="T104" s="191"/>
      <x:c r="U104" s="191"/>
      <x:c r="V104" s="191"/>
      <x:c r="W104" s="191"/>
      <x:c r="X104" s="191"/>
      <x:c r="Y104" s="191"/>
      <x:c r="Z104" s="191"/>
      <x:c r="AA104" s="191"/>
      <x:c r="AB104" s="191"/>
      <x:c r="AC104" s="191"/>
      <x:c r="AD104" s="191"/>
      <x:c r="AE104" s="191"/>
      <x:c r="AF104" s="191"/>
      <x:c r="AG104" s="191"/>
      <x:c r="AH104" s="191"/>
      <x:c r="AI104" s="191"/>
      <x:c r="AJ104" s="191"/>
      <x:c r="AK104" s="191"/>
    </x:row>
    <x:row r="105">
      <x:c r="A105" s="191"/>
      <x:c r="B105" s="191"/>
      <x:c r="C105" s="191"/>
      <x:c r="D105" s="191"/>
      <x:c r="E105" s="191"/>
      <x:c r="F105" s="191"/>
      <x:c r="G105" s="191"/>
      <x:c r="H105" s="191"/>
      <x:c r="I105" s="191"/>
      <x:c r="J105" s="191"/>
      <x:c r="K105" s="191"/>
      <x:c r="L105" s="191"/>
      <x:c r="M105" s="191"/>
      <x:c r="N105" s="191"/>
      <x:c r="O105" s="191"/>
      <x:c r="P105" s="191"/>
      <x:c r="Q105" s="191"/>
      <x:c r="R105" s="191"/>
      <x:c r="S105" s="191"/>
      <x:c r="T105" s="191"/>
      <x:c r="U105" s="191"/>
      <x:c r="V105" s="191"/>
      <x:c r="W105" s="191"/>
      <x:c r="X105" s="191"/>
      <x:c r="Y105" s="191"/>
      <x:c r="Z105" s="191"/>
      <x:c r="AA105" s="191"/>
      <x:c r="AB105" s="191"/>
      <x:c r="AC105" s="191"/>
      <x:c r="AD105" s="191"/>
      <x:c r="AE105" s="191"/>
      <x:c r="AF105" s="191"/>
      <x:c r="AG105" s="191"/>
      <x:c r="AH105" s="191"/>
      <x:c r="AI105" s="191"/>
      <x:c r="AJ105" s="191"/>
      <x:c r="AK105" s="191"/>
    </x:row>
    <x:row r="106">
      <x:c r="A106" s="191"/>
      <x:c r="B106" s="191"/>
      <x:c r="C106" s="191"/>
      <x:c r="D106" s="191"/>
      <x:c r="E106" s="191"/>
      <x:c r="F106" s="191"/>
      <x:c r="G106" s="191"/>
      <x:c r="H106" s="191"/>
      <x:c r="I106" s="191"/>
      <x:c r="J106" s="191"/>
      <x:c r="K106" s="191"/>
      <x:c r="L106" s="191"/>
      <x:c r="M106" s="191"/>
      <x:c r="N106" s="191"/>
      <x:c r="O106" s="191"/>
      <x:c r="P106" s="191"/>
      <x:c r="Q106" s="191"/>
      <x:c r="R106" s="191"/>
      <x:c r="S106" s="191"/>
      <x:c r="T106" s="191"/>
      <x:c r="U106" s="191"/>
      <x:c r="V106" s="191"/>
      <x:c r="W106" s="191"/>
      <x:c r="X106" s="191"/>
      <x:c r="Y106" s="191"/>
      <x:c r="Z106" s="191"/>
      <x:c r="AA106" s="191"/>
      <x:c r="AB106" s="191"/>
      <x:c r="AC106" s="191"/>
      <x:c r="AD106" s="191"/>
      <x:c r="AE106" s="191"/>
      <x:c r="AF106" s="191"/>
      <x:c r="AG106" s="191"/>
      <x:c r="AH106" s="191"/>
      <x:c r="AI106" s="191"/>
      <x:c r="AJ106" s="191"/>
      <x:c r="AK106" s="191"/>
    </x:row>
    <x:row r="107">
      <x:c r="A107" s="191"/>
      <x:c r="B107" s="191"/>
      <x:c r="C107" s="191"/>
      <x:c r="D107" s="191"/>
      <x:c r="E107" s="191"/>
      <x:c r="F107" s="191"/>
      <x:c r="G107" s="191"/>
      <x:c r="H107" s="191"/>
      <x:c r="I107" s="191"/>
      <x:c r="J107" s="191"/>
      <x:c r="K107" s="191"/>
      <x:c r="L107" s="191"/>
      <x:c r="M107" s="191"/>
      <x:c r="N107" s="191"/>
      <x:c r="O107" s="191"/>
      <x:c r="P107" s="191"/>
      <x:c r="Q107" s="191"/>
      <x:c r="R107" s="191"/>
      <x:c r="S107" s="191"/>
      <x:c r="T107" s="191"/>
      <x:c r="U107" s="191"/>
      <x:c r="V107" s="191"/>
      <x:c r="W107" s="191"/>
      <x:c r="X107" s="191"/>
      <x:c r="Y107" s="191"/>
      <x:c r="Z107" s="191"/>
      <x:c r="AA107" s="191"/>
      <x:c r="AB107" s="191"/>
      <x:c r="AC107" s="191"/>
      <x:c r="AD107" s="191"/>
      <x:c r="AE107" s="191"/>
      <x:c r="AF107" s="191"/>
      <x:c r="AG107" s="191"/>
      <x:c r="AH107" s="191"/>
      <x:c r="AI107" s="191"/>
      <x:c r="AJ107" s="191"/>
      <x:c r="AK107" s="191"/>
    </x:row>
    <x:row r="108">
      <x:c r="A108" s="191"/>
      <x:c r="B108" s="191"/>
      <x:c r="C108" s="191"/>
      <x:c r="D108" s="191"/>
      <x:c r="E108" s="191"/>
      <x:c r="F108" s="191"/>
      <x:c r="G108" s="191"/>
      <x:c r="H108" s="191"/>
      <x:c r="I108" s="191"/>
      <x:c r="J108" s="191"/>
      <x:c r="K108" s="191"/>
      <x:c r="L108" s="191"/>
      <x:c r="M108" s="191"/>
      <x:c r="N108" s="191"/>
      <x:c r="O108" s="191"/>
      <x:c r="P108" s="191"/>
      <x:c r="Q108" s="191"/>
      <x:c r="R108" s="191"/>
      <x:c r="S108" s="191"/>
      <x:c r="T108" s="191"/>
      <x:c r="U108" s="191"/>
      <x:c r="V108" s="191"/>
      <x:c r="W108" s="191"/>
      <x:c r="X108" s="191"/>
      <x:c r="Y108" s="191"/>
      <x:c r="Z108" s="191"/>
      <x:c r="AA108" s="191"/>
      <x:c r="AB108" s="191"/>
      <x:c r="AC108" s="191"/>
      <x:c r="AD108" s="191"/>
      <x:c r="AE108" s="191"/>
      <x:c r="AF108" s="191"/>
      <x:c r="AG108" s="191"/>
      <x:c r="AH108" s="191"/>
      <x:c r="AI108" s="191"/>
      <x:c r="AJ108" s="191"/>
      <x:c r="AK108" s="191"/>
    </x:row>
    <x:row r="109">
      <x:c r="A109" s="191"/>
      <x:c r="B109" s="191"/>
      <x:c r="C109" s="191"/>
      <x:c r="D109" s="191"/>
      <x:c r="E109" s="191"/>
      <x:c r="F109" s="191"/>
      <x:c r="G109" s="191"/>
      <x:c r="H109" s="191"/>
      <x:c r="I109" s="191"/>
      <x:c r="J109" s="191"/>
      <x:c r="K109" s="191"/>
      <x:c r="L109" s="191"/>
      <x:c r="M109" s="191"/>
      <x:c r="N109" s="191"/>
      <x:c r="O109" s="191"/>
      <x:c r="P109" s="191"/>
      <x:c r="Q109" s="191"/>
      <x:c r="R109" s="191"/>
      <x:c r="S109" s="191"/>
      <x:c r="T109" s="191"/>
      <x:c r="U109" s="191"/>
      <x:c r="V109" s="191"/>
      <x:c r="W109" s="191"/>
      <x:c r="X109" s="191"/>
      <x:c r="Y109" s="191"/>
      <x:c r="Z109" s="191"/>
      <x:c r="AA109" s="191"/>
      <x:c r="AB109" s="191"/>
      <x:c r="AC109" s="191"/>
      <x:c r="AD109" s="191"/>
      <x:c r="AE109" s="191"/>
      <x:c r="AF109" s="191"/>
      <x:c r="AG109" s="191"/>
      <x:c r="AH109" s="191"/>
      <x:c r="AI109" s="191"/>
      <x:c r="AJ109" s="191"/>
      <x:c r="AK109" s="191"/>
    </x:row>
    <x:row r="110">
      <x:c r="A110" s="191"/>
      <x:c r="B110" s="191"/>
      <x:c r="C110" s="191"/>
      <x:c r="D110" s="191"/>
      <x:c r="E110" s="191"/>
      <x:c r="F110" s="191"/>
      <x:c r="G110" s="191"/>
      <x:c r="H110" s="191"/>
      <x:c r="I110" s="191"/>
      <x:c r="J110" s="191"/>
      <x:c r="K110" s="191"/>
      <x:c r="L110" s="191"/>
      <x:c r="M110" s="191"/>
      <x:c r="N110" s="191"/>
      <x:c r="O110" s="191"/>
      <x:c r="P110" s="191"/>
      <x:c r="Q110" s="191"/>
      <x:c r="R110" s="191"/>
      <x:c r="S110" s="191"/>
      <x:c r="T110" s="191"/>
      <x:c r="U110" s="191"/>
      <x:c r="V110" s="191"/>
      <x:c r="W110" s="191"/>
      <x:c r="X110" s="191"/>
      <x:c r="Y110" s="191"/>
      <x:c r="Z110" s="191"/>
      <x:c r="AA110" s="191"/>
      <x:c r="AB110" s="191"/>
      <x:c r="AC110" s="191"/>
      <x:c r="AD110" s="191"/>
      <x:c r="AE110" s="191"/>
      <x:c r="AF110" s="191"/>
      <x:c r="AG110" s="191"/>
      <x:c r="AH110" s="191"/>
      <x:c r="AI110" s="191"/>
      <x:c r="AJ110" s="191"/>
      <x:c r="AK110" s="191"/>
    </x:row>
    <x:row r="111">
      <x:c r="A111" s="191"/>
      <x:c r="B111" s="191"/>
      <x:c r="C111" s="191"/>
      <x:c r="D111" s="191"/>
      <x:c r="E111" s="191"/>
      <x:c r="F111" s="191"/>
      <x:c r="G111" s="191"/>
      <x:c r="H111" s="191"/>
      <x:c r="I111" s="191"/>
      <x:c r="J111" s="191"/>
      <x:c r="K111" s="191"/>
      <x:c r="L111" s="191"/>
      <x:c r="M111" s="191"/>
      <x:c r="N111" s="191"/>
      <x:c r="O111" s="191"/>
      <x:c r="P111" s="191"/>
      <x:c r="Q111" s="191"/>
      <x:c r="R111" s="191"/>
      <x:c r="S111" s="191"/>
      <x:c r="T111" s="191"/>
      <x:c r="U111" s="191"/>
      <x:c r="V111" s="191"/>
      <x:c r="W111" s="191"/>
      <x:c r="X111" s="191"/>
      <x:c r="Y111" s="191"/>
      <x:c r="Z111" s="191"/>
      <x:c r="AA111" s="191"/>
      <x:c r="AB111" s="191"/>
      <x:c r="AC111" s="191"/>
      <x:c r="AD111" s="191"/>
      <x:c r="AE111" s="191"/>
      <x:c r="AF111" s="191"/>
      <x:c r="AG111" s="191"/>
      <x:c r="AH111" s="191"/>
      <x:c r="AI111" s="191"/>
      <x:c r="AJ111" s="191"/>
      <x:c r="AK111" s="191"/>
    </x:row>
    <x:row r="112">
      <x:c r="A112" s="191"/>
      <x:c r="B112" s="191"/>
      <x:c r="C112" s="191"/>
      <x:c r="D112" s="191"/>
      <x:c r="E112" s="191"/>
      <x:c r="F112" s="191"/>
      <x:c r="G112" s="191"/>
      <x:c r="H112" s="191"/>
      <x:c r="I112" s="191"/>
      <x:c r="J112" s="191"/>
      <x:c r="K112" s="191"/>
      <x:c r="L112" s="191"/>
      <x:c r="M112" s="191"/>
      <x:c r="N112" s="191"/>
      <x:c r="O112" s="191"/>
      <x:c r="P112" s="191"/>
      <x:c r="Q112" s="191"/>
      <x:c r="R112" s="191"/>
      <x:c r="S112" s="191"/>
      <x:c r="T112" s="191"/>
      <x:c r="U112" s="191"/>
      <x:c r="V112" s="191"/>
      <x:c r="W112" s="191"/>
      <x:c r="X112" s="191"/>
      <x:c r="Y112" s="191"/>
      <x:c r="Z112" s="191"/>
      <x:c r="AA112" s="191"/>
      <x:c r="AB112" s="191"/>
      <x:c r="AC112" s="191"/>
      <x:c r="AD112" s="191"/>
      <x:c r="AE112" s="191"/>
      <x:c r="AF112" s="191"/>
      <x:c r="AG112" s="191"/>
      <x:c r="AH112" s="191"/>
      <x:c r="AI112" s="191"/>
      <x:c r="AJ112" s="191"/>
      <x:c r="AK112" s="191"/>
    </x:row>
    <x:row r="113">
      <x:c r="A113" s="191"/>
      <x:c r="B113" s="191"/>
      <x:c r="C113" s="191"/>
      <x:c r="D113" s="191"/>
      <x:c r="E113" s="191"/>
      <x:c r="F113" s="191"/>
      <x:c r="G113" s="191"/>
      <x:c r="H113" s="191"/>
      <x:c r="I113" s="191"/>
      <x:c r="J113" s="191"/>
      <x:c r="K113" s="191"/>
      <x:c r="L113" s="191"/>
      <x:c r="M113" s="191"/>
      <x:c r="N113" s="191"/>
      <x:c r="O113" s="191"/>
      <x:c r="P113" s="191"/>
      <x:c r="Q113" s="191"/>
      <x:c r="R113" s="191"/>
      <x:c r="S113" s="191"/>
      <x:c r="T113" s="191"/>
      <x:c r="U113" s="191"/>
      <x:c r="V113" s="191"/>
      <x:c r="W113" s="191"/>
      <x:c r="X113" s="191"/>
      <x:c r="Y113" s="191"/>
      <x:c r="Z113" s="191"/>
      <x:c r="AA113" s="191"/>
      <x:c r="AB113" s="191"/>
      <x:c r="AC113" s="191"/>
      <x:c r="AD113" s="191"/>
      <x:c r="AE113" s="191"/>
      <x:c r="AF113" s="191"/>
      <x:c r="AG113" s="191"/>
      <x:c r="AH113" s="191"/>
      <x:c r="AI113" s="191"/>
      <x:c r="AJ113" s="191"/>
      <x:c r="AK113" s="191"/>
    </x:row>
    <x:row r="114">
      <x:c r="A114" s="191"/>
      <x:c r="B114" s="191"/>
      <x:c r="C114" s="191"/>
      <x:c r="D114" s="191"/>
      <x:c r="E114" s="191"/>
      <x:c r="F114" s="191"/>
      <x:c r="G114" s="191"/>
      <x:c r="H114" s="191"/>
      <x:c r="I114" s="191"/>
      <x:c r="J114" s="191"/>
      <x:c r="K114" s="191"/>
      <x:c r="L114" s="191"/>
      <x:c r="M114" s="191"/>
      <x:c r="N114" s="191"/>
      <x:c r="O114" s="191"/>
      <x:c r="P114" s="191"/>
      <x:c r="Q114" s="191"/>
      <x:c r="R114" s="191"/>
      <x:c r="S114" s="191"/>
      <x:c r="T114" s="191"/>
      <x:c r="U114" s="191"/>
      <x:c r="V114" s="191"/>
      <x:c r="W114" s="191"/>
      <x:c r="X114" s="191"/>
      <x:c r="Y114" s="191"/>
      <x:c r="Z114" s="191"/>
      <x:c r="AA114" s="191"/>
      <x:c r="AB114" s="191"/>
      <x:c r="AC114" s="191"/>
      <x:c r="AD114" s="191"/>
      <x:c r="AE114" s="191"/>
      <x:c r="AF114" s="191"/>
      <x:c r="AG114" s="191"/>
      <x:c r="AH114" s="191"/>
      <x:c r="AI114" s="191"/>
      <x:c r="AJ114" s="191"/>
      <x:c r="AK114" s="191"/>
    </x:row>
    <x:row r="115">
      <x:c r="A115" s="191"/>
      <x:c r="B115" s="191"/>
      <x:c r="C115" s="191"/>
      <x:c r="D115" s="191"/>
      <x:c r="E115" s="191"/>
      <x:c r="F115" s="191"/>
      <x:c r="G115" s="191"/>
      <x:c r="H115" s="191"/>
      <x:c r="I115" s="191"/>
      <x:c r="J115" s="191"/>
      <x:c r="K115" s="191"/>
      <x:c r="L115" s="191"/>
      <x:c r="M115" s="191"/>
      <x:c r="N115" s="191"/>
      <x:c r="O115" s="191"/>
      <x:c r="P115" s="191"/>
      <x:c r="Q115" s="191"/>
      <x:c r="R115" s="191"/>
      <x:c r="S115" s="191"/>
      <x:c r="T115" s="191"/>
      <x:c r="U115" s="191"/>
      <x:c r="V115" s="191"/>
      <x:c r="W115" s="191"/>
      <x:c r="X115" s="191"/>
      <x:c r="Y115" s="191"/>
      <x:c r="Z115" s="191"/>
      <x:c r="AA115" s="191"/>
      <x:c r="AB115" s="191"/>
      <x:c r="AC115" s="191"/>
      <x:c r="AD115" s="191"/>
      <x:c r="AE115" s="191"/>
      <x:c r="AF115" s="191"/>
      <x:c r="AG115" s="191"/>
      <x:c r="AH115" s="191"/>
      <x:c r="AI115" s="191"/>
      <x:c r="AJ115" s="191"/>
      <x:c r="AK115" s="191"/>
    </x:row>
    <x:row r="116">
      <x:c r="A116" s="191"/>
      <x:c r="B116" s="191"/>
      <x:c r="C116" s="191"/>
      <x:c r="D116" s="191"/>
      <x:c r="E116" s="191"/>
      <x:c r="F116" s="191"/>
      <x:c r="G116" s="191"/>
      <x:c r="H116" s="191"/>
      <x:c r="I116" s="191"/>
      <x:c r="J116" s="191"/>
      <x:c r="K116" s="191"/>
      <x:c r="L116" s="191"/>
      <x:c r="M116" s="191"/>
      <x:c r="N116" s="191"/>
      <x:c r="O116" s="191"/>
      <x:c r="P116" s="191"/>
      <x:c r="Q116" s="191"/>
      <x:c r="R116" s="191"/>
      <x:c r="S116" s="191"/>
      <x:c r="T116" s="191"/>
      <x:c r="U116" s="191"/>
      <x:c r="V116" s="191"/>
      <x:c r="W116" s="191"/>
      <x:c r="X116" s="191"/>
      <x:c r="Y116" s="191"/>
      <x:c r="Z116" s="191"/>
      <x:c r="AA116" s="191"/>
      <x:c r="AB116" s="191"/>
      <x:c r="AC116" s="191"/>
      <x:c r="AD116" s="191"/>
      <x:c r="AE116" s="191"/>
      <x:c r="AF116" s="191"/>
      <x:c r="AG116" s="191"/>
      <x:c r="AH116" s="191"/>
      <x:c r="AI116" s="191"/>
      <x:c r="AJ116" s="191"/>
      <x:c r="AK116" s="191"/>
    </x:row>
    <x:row r="117">
      <x:c r="A117" s="191"/>
      <x:c r="B117" s="191"/>
      <x:c r="C117" s="191"/>
      <x:c r="D117" s="191"/>
      <x:c r="E117" s="191"/>
      <x:c r="F117" s="191"/>
      <x:c r="G117" s="191"/>
      <x:c r="H117" s="191"/>
      <x:c r="I117" s="191"/>
      <x:c r="J117" s="191"/>
      <x:c r="K117" s="191"/>
      <x:c r="L117" s="191"/>
      <x:c r="M117" s="191"/>
      <x:c r="N117" s="191"/>
      <x:c r="O117" s="191"/>
      <x:c r="P117" s="191"/>
      <x:c r="Q117" s="191"/>
      <x:c r="R117" s="191"/>
      <x:c r="S117" s="191"/>
      <x:c r="T117" s="191"/>
      <x:c r="U117" s="191"/>
      <x:c r="V117" s="191"/>
      <x:c r="W117" s="191"/>
      <x:c r="X117" s="191"/>
      <x:c r="Y117" s="191"/>
      <x:c r="Z117" s="191"/>
      <x:c r="AA117" s="191"/>
      <x:c r="AB117" s="191"/>
      <x:c r="AC117" s="191"/>
      <x:c r="AD117" s="191"/>
      <x:c r="AE117" s="191"/>
      <x:c r="AF117" s="191"/>
      <x:c r="AG117" s="191"/>
      <x:c r="AH117" s="191"/>
      <x:c r="AI117" s="191"/>
      <x:c r="AJ117" s="191"/>
      <x:c r="AK117" s="191"/>
    </x:row>
    <x:row r="118">
      <x:c r="A118" s="191"/>
      <x:c r="B118" s="191"/>
      <x:c r="C118" s="191"/>
      <x:c r="D118" s="191"/>
      <x:c r="E118" s="191"/>
      <x:c r="F118" s="191"/>
      <x:c r="G118" s="191"/>
      <x:c r="H118" s="191"/>
      <x:c r="I118" s="191"/>
      <x:c r="J118" s="191"/>
      <x:c r="K118" s="191"/>
      <x:c r="L118" s="191"/>
      <x:c r="M118" s="191"/>
      <x:c r="N118" s="191"/>
      <x:c r="O118" s="191"/>
      <x:c r="P118" s="191"/>
      <x:c r="Q118" s="191"/>
      <x:c r="R118" s="191"/>
      <x:c r="S118" s="191"/>
      <x:c r="T118" s="191"/>
      <x:c r="U118" s="191"/>
      <x:c r="V118" s="191"/>
      <x:c r="W118" s="191"/>
      <x:c r="X118" s="191"/>
      <x:c r="Y118" s="191"/>
      <x:c r="Z118" s="191"/>
      <x:c r="AA118" s="191"/>
      <x:c r="AB118" s="191"/>
      <x:c r="AC118" s="191"/>
      <x:c r="AD118" s="191"/>
      <x:c r="AE118" s="191"/>
      <x:c r="AF118" s="191"/>
      <x:c r="AG118" s="191"/>
      <x:c r="AH118" s="191"/>
      <x:c r="AI118" s="191"/>
      <x:c r="AJ118" s="191"/>
      <x:c r="AK118" s="191"/>
    </x:row>
    <x:row r="119">
      <x:c r="A119" s="191"/>
      <x:c r="B119" s="191"/>
      <x:c r="C119" s="191"/>
      <x:c r="D119" s="191"/>
      <x:c r="E119" s="191"/>
      <x:c r="F119" s="191"/>
      <x:c r="G119" s="191"/>
      <x:c r="H119" s="191"/>
      <x:c r="I119" s="191"/>
      <x:c r="J119" s="191"/>
      <x:c r="K119" s="191"/>
      <x:c r="L119" s="191"/>
      <x:c r="M119" s="191"/>
      <x:c r="N119" s="191"/>
      <x:c r="O119" s="191"/>
      <x:c r="P119" s="191"/>
      <x:c r="Q119" s="191"/>
      <x:c r="R119" s="191"/>
      <x:c r="S119" s="191"/>
      <x:c r="T119" s="191"/>
      <x:c r="U119" s="191"/>
      <x:c r="V119" s="191"/>
      <x:c r="W119" s="191"/>
      <x:c r="X119" s="191"/>
      <x:c r="Y119" s="191"/>
      <x:c r="Z119" s="191"/>
      <x:c r="AA119" s="191"/>
      <x:c r="AB119" s="191"/>
      <x:c r="AC119" s="191"/>
      <x:c r="AD119" s="191"/>
      <x:c r="AE119" s="191"/>
      <x:c r="AF119" s="191"/>
      <x:c r="AG119" s="191"/>
      <x:c r="AH119" s="191"/>
      <x:c r="AI119" s="191"/>
      <x:c r="AJ119" s="191"/>
      <x:c r="AK119" s="191"/>
    </x:row>
    <x:row r="120">
      <x:c r="A120" s="191"/>
      <x:c r="B120" s="191"/>
      <x:c r="C120" s="191"/>
      <x:c r="D120" s="191"/>
      <x:c r="E120" s="191"/>
      <x:c r="F120" s="191"/>
      <x:c r="G120" s="191"/>
      <x:c r="H120" s="191"/>
      <x:c r="I120" s="191"/>
      <x:c r="J120" s="191"/>
      <x:c r="K120" s="191"/>
      <x:c r="L120" s="191"/>
      <x:c r="M120" s="191"/>
      <x:c r="N120" s="191"/>
      <x:c r="O120" s="191"/>
      <x:c r="P120" s="191"/>
      <x:c r="Q120" s="191"/>
      <x:c r="R120" s="191"/>
      <x:c r="S120" s="191"/>
      <x:c r="T120" s="191"/>
      <x:c r="U120" s="191"/>
      <x:c r="V120" s="191"/>
      <x:c r="W120" s="191"/>
      <x:c r="X120" s="191"/>
      <x:c r="Y120" s="191"/>
      <x:c r="Z120" s="191"/>
      <x:c r="AA120" s="191"/>
      <x:c r="AB120" s="191"/>
      <x:c r="AC120" s="191"/>
      <x:c r="AD120" s="191"/>
      <x:c r="AE120" s="191"/>
      <x:c r="AF120" s="191"/>
      <x:c r="AG120" s="191"/>
      <x:c r="AH120" s="191"/>
      <x:c r="AI120" s="191"/>
      <x:c r="AJ120" s="191"/>
      <x:c r="AK120" s="191"/>
    </x:row>
    <x:row r="121">
      <x:c r="A121" s="191"/>
      <x:c r="B121" s="191"/>
      <x:c r="C121" s="191"/>
      <x:c r="D121" s="191"/>
      <x:c r="E121" s="191"/>
      <x:c r="F121" s="191"/>
      <x:c r="G121" s="191"/>
      <x:c r="H121" s="191"/>
      <x:c r="I121" s="191"/>
      <x:c r="J121" s="191"/>
      <x:c r="K121" s="191"/>
      <x:c r="L121" s="191"/>
      <x:c r="M121" s="191"/>
      <x:c r="N121" s="191"/>
      <x:c r="O121" s="191"/>
      <x:c r="P121" s="191"/>
      <x:c r="Q121" s="191"/>
      <x:c r="R121" s="191"/>
      <x:c r="S121" s="191"/>
      <x:c r="T121" s="191"/>
      <x:c r="U121" s="191"/>
      <x:c r="V121" s="191"/>
      <x:c r="W121" s="191"/>
      <x:c r="X121" s="191"/>
      <x:c r="Y121" s="191"/>
      <x:c r="Z121" s="191"/>
      <x:c r="AA121" s="191"/>
      <x:c r="AB121" s="191"/>
      <x:c r="AC121" s="191"/>
      <x:c r="AD121" s="191"/>
      <x:c r="AE121" s="191"/>
      <x:c r="AF121" s="191"/>
      <x:c r="AG121" s="191"/>
      <x:c r="AH121" s="191"/>
      <x:c r="AI121" s="191"/>
      <x:c r="AJ121" s="191"/>
      <x:c r="AK121" s="191"/>
    </x:row>
    <x:row r="122">
      <x:c r="A122" s="191"/>
      <x:c r="B122" s="191"/>
      <x:c r="C122" s="191"/>
      <x:c r="D122" s="191"/>
      <x:c r="E122" s="191"/>
      <x:c r="F122" s="191"/>
      <x:c r="G122" s="191"/>
      <x:c r="H122" s="191"/>
      <x:c r="I122" s="191"/>
      <x:c r="J122" s="191"/>
      <x:c r="K122" s="191"/>
      <x:c r="L122" s="191"/>
      <x:c r="M122" s="191"/>
      <x:c r="N122" s="191"/>
      <x:c r="O122" s="191"/>
      <x:c r="P122" s="191"/>
      <x:c r="Q122" s="191"/>
      <x:c r="R122" s="191"/>
      <x:c r="S122" s="191"/>
      <x:c r="T122" s="191"/>
      <x:c r="U122" s="191"/>
      <x:c r="V122" s="191"/>
      <x:c r="W122" s="191"/>
      <x:c r="X122" s="191"/>
      <x:c r="Y122" s="191"/>
      <x:c r="Z122" s="191"/>
      <x:c r="AA122" s="191"/>
      <x:c r="AB122" s="191"/>
      <x:c r="AC122" s="191"/>
      <x:c r="AD122" s="191"/>
      <x:c r="AE122" s="191"/>
      <x:c r="AF122" s="191"/>
      <x:c r="AG122" s="191"/>
      <x:c r="AH122" s="191"/>
      <x:c r="AI122" s="191"/>
      <x:c r="AJ122" s="191"/>
      <x:c r="AK122" s="191"/>
    </x:row>
    <x:row r="123">
      <x:c r="A123" s="191"/>
      <x:c r="B123" s="191"/>
      <x:c r="C123" s="191"/>
      <x:c r="D123" s="191"/>
      <x:c r="E123" s="191"/>
      <x:c r="F123" s="191"/>
      <x:c r="G123" s="191"/>
      <x:c r="H123" s="191"/>
      <x:c r="I123" s="191"/>
      <x:c r="J123" s="191"/>
      <x:c r="K123" s="191"/>
      <x:c r="L123" s="191"/>
      <x:c r="M123" s="191"/>
      <x:c r="N123" s="191"/>
      <x:c r="O123" s="191"/>
      <x:c r="P123" s="191"/>
      <x:c r="Q123" s="191"/>
      <x:c r="R123" s="191"/>
      <x:c r="S123" s="191"/>
      <x:c r="T123" s="191"/>
      <x:c r="U123" s="191"/>
      <x:c r="V123" s="191"/>
      <x:c r="W123" s="191"/>
      <x:c r="X123" s="191"/>
      <x:c r="Y123" s="191"/>
      <x:c r="Z123" s="191"/>
      <x:c r="AA123" s="191"/>
      <x:c r="AB123" s="191"/>
      <x:c r="AC123" s="191"/>
      <x:c r="AD123" s="191"/>
      <x:c r="AE123" s="191"/>
      <x:c r="AF123" s="191"/>
      <x:c r="AG123" s="191"/>
      <x:c r="AH123" s="191"/>
      <x:c r="AI123" s="191"/>
      <x:c r="AJ123" s="191"/>
      <x:c r="AK123" s="191"/>
    </x:row>
    <x:row r="124">
      <x:c r="A124" s="191"/>
      <x:c r="B124" s="191"/>
      <x:c r="C124" s="191"/>
      <x:c r="D124" s="191"/>
      <x:c r="E124" s="191"/>
      <x:c r="F124" s="191"/>
      <x:c r="G124" s="191"/>
      <x:c r="H124" s="191"/>
      <x:c r="I124" s="191"/>
      <x:c r="J124" s="191"/>
      <x:c r="K124" s="191"/>
      <x:c r="L124" s="191"/>
      <x:c r="M124" s="191"/>
      <x:c r="N124" s="191"/>
      <x:c r="O124" s="191"/>
      <x:c r="P124" s="191"/>
      <x:c r="Q124" s="191"/>
      <x:c r="R124" s="191"/>
      <x:c r="S124" s="191"/>
      <x:c r="T124" s="191"/>
      <x:c r="U124" s="191"/>
      <x:c r="V124" s="191"/>
      <x:c r="W124" s="191"/>
      <x:c r="X124" s="191"/>
      <x:c r="Y124" s="191"/>
      <x:c r="Z124" s="191"/>
      <x:c r="AA124" s="191"/>
      <x:c r="AB124" s="191"/>
      <x:c r="AC124" s="191"/>
      <x:c r="AD124" s="191"/>
      <x:c r="AE124" s="191"/>
      <x:c r="AF124" s="191"/>
      <x:c r="AG124" s="191"/>
      <x:c r="AH124" s="191"/>
      <x:c r="AI124" s="191"/>
      <x:c r="AJ124" s="191"/>
      <x:c r="AK124" s="191"/>
    </x:row>
    <x:row r="125">
      <x:c r="A125" s="191"/>
      <x:c r="B125" s="191"/>
      <x:c r="C125" s="191"/>
      <x:c r="D125" s="191"/>
      <x:c r="E125" s="191"/>
      <x:c r="F125" s="191"/>
      <x:c r="G125" s="191"/>
      <x:c r="H125" s="191"/>
      <x:c r="I125" s="191"/>
      <x:c r="J125" s="191"/>
      <x:c r="K125" s="191"/>
      <x:c r="L125" s="191"/>
      <x:c r="M125" s="191"/>
      <x:c r="N125" s="191"/>
      <x:c r="O125" s="191"/>
      <x:c r="P125" s="191"/>
      <x:c r="Q125" s="191"/>
      <x:c r="R125" s="191"/>
      <x:c r="S125" s="191"/>
      <x:c r="T125" s="191"/>
      <x:c r="U125" s="191"/>
      <x:c r="V125" s="191"/>
      <x:c r="W125" s="191"/>
      <x:c r="X125" s="191"/>
      <x:c r="Y125" s="191"/>
      <x:c r="Z125" s="191"/>
      <x:c r="AA125" s="191"/>
      <x:c r="AB125" s="191"/>
      <x:c r="AC125" s="191"/>
      <x:c r="AD125" s="191"/>
      <x:c r="AE125" s="191"/>
      <x:c r="AF125" s="191"/>
      <x:c r="AG125" s="191"/>
      <x:c r="AH125" s="191"/>
      <x:c r="AI125" s="191"/>
      <x:c r="AJ125" s="191"/>
      <x:c r="AK125" s="191"/>
    </x:row>
    <x:row r="126">
      <x:c r="A126" s="191"/>
      <x:c r="B126" s="191"/>
      <x:c r="C126" s="191"/>
      <x:c r="D126" s="191"/>
      <x:c r="E126" s="191"/>
      <x:c r="F126" s="191"/>
      <x:c r="G126" s="191"/>
      <x:c r="H126" s="191"/>
      <x:c r="I126" s="191"/>
      <x:c r="J126" s="191"/>
      <x:c r="K126" s="191"/>
      <x:c r="L126" s="191"/>
      <x:c r="M126" s="191"/>
      <x:c r="N126" s="191"/>
      <x:c r="O126" s="191"/>
      <x:c r="P126" s="191"/>
      <x:c r="Q126" s="191"/>
      <x:c r="R126" s="191"/>
      <x:c r="S126" s="191"/>
      <x:c r="T126" s="191"/>
      <x:c r="U126" s="191"/>
      <x:c r="V126" s="191"/>
      <x:c r="W126" s="191"/>
      <x:c r="X126" s="191"/>
      <x:c r="Y126" s="191"/>
      <x:c r="Z126" s="191"/>
      <x:c r="AA126" s="191"/>
      <x:c r="AB126" s="191"/>
      <x:c r="AC126" s="191"/>
      <x:c r="AD126" s="191"/>
      <x:c r="AE126" s="191"/>
      <x:c r="AF126" s="191"/>
      <x:c r="AG126" s="191"/>
      <x:c r="AH126" s="191"/>
      <x:c r="AI126" s="191"/>
      <x:c r="AJ126" s="191"/>
      <x:c r="AK126" s="191"/>
    </x:row>
    <x:row r="127">
      <x:c r="A127" s="191"/>
      <x:c r="B127" s="191"/>
      <x:c r="C127" s="191"/>
      <x:c r="D127" s="191"/>
      <x:c r="E127" s="191"/>
      <x:c r="F127" s="191"/>
      <x:c r="G127" s="191"/>
      <x:c r="H127" s="191"/>
      <x:c r="I127" s="191"/>
      <x:c r="J127" s="191"/>
      <x:c r="K127" s="191"/>
      <x:c r="L127" s="191"/>
      <x:c r="M127" s="191"/>
      <x:c r="N127" s="191"/>
      <x:c r="O127" s="191"/>
      <x:c r="P127" s="191"/>
      <x:c r="Q127" s="191"/>
      <x:c r="R127" s="191"/>
      <x:c r="S127" s="191"/>
      <x:c r="T127" s="191"/>
      <x:c r="U127" s="191"/>
      <x:c r="V127" s="191"/>
      <x:c r="W127" s="191"/>
      <x:c r="X127" s="191"/>
      <x:c r="Y127" s="191"/>
      <x:c r="Z127" s="191"/>
      <x:c r="AA127" s="191"/>
      <x:c r="AB127" s="191"/>
      <x:c r="AC127" s="191"/>
      <x:c r="AD127" s="191"/>
      <x:c r="AE127" s="191"/>
      <x:c r="AF127" s="191"/>
      <x:c r="AG127" s="191"/>
      <x:c r="AH127" s="191"/>
      <x:c r="AI127" s="191"/>
      <x:c r="AJ127" s="191"/>
      <x:c r="AK127" s="191"/>
    </x:row>
    <x:row r="128">
      <x:c r="A128" s="191"/>
      <x:c r="B128" s="191"/>
      <x:c r="C128" s="191"/>
      <x:c r="D128" s="191"/>
      <x:c r="E128" s="191"/>
      <x:c r="F128" s="191"/>
      <x:c r="G128" s="191"/>
      <x:c r="H128" s="191"/>
      <x:c r="I128" s="191"/>
      <x:c r="J128" s="191"/>
      <x:c r="K128" s="191"/>
      <x:c r="L128" s="191"/>
      <x:c r="M128" s="191"/>
      <x:c r="N128" s="191"/>
      <x:c r="O128" s="191"/>
      <x:c r="P128" s="191"/>
      <x:c r="Q128" s="191"/>
      <x:c r="R128" s="191"/>
      <x:c r="S128" s="191"/>
      <x:c r="T128" s="191"/>
      <x:c r="U128" s="191"/>
      <x:c r="V128" s="191"/>
      <x:c r="W128" s="191"/>
      <x:c r="X128" s="191"/>
      <x:c r="Y128" s="191"/>
      <x:c r="Z128" s="191"/>
      <x:c r="AA128" s="191"/>
      <x:c r="AB128" s="191"/>
      <x:c r="AC128" s="191"/>
      <x:c r="AD128" s="191"/>
      <x:c r="AE128" s="191"/>
      <x:c r="AF128" s="191"/>
      <x:c r="AG128" s="191"/>
      <x:c r="AH128" s="191"/>
      <x:c r="AI128" s="191"/>
      <x:c r="AJ128" s="191"/>
      <x:c r="AK128" s="191"/>
    </x:row>
    <x:row r="129">
      <x:c r="A129" s="191"/>
      <x:c r="B129" s="191"/>
      <x:c r="C129" s="191"/>
      <x:c r="D129" s="191"/>
      <x:c r="E129" s="191"/>
      <x:c r="F129" s="191"/>
      <x:c r="G129" s="191"/>
      <x:c r="H129" s="191"/>
      <x:c r="I129" s="191"/>
      <x:c r="J129" s="191"/>
      <x:c r="K129" s="191"/>
      <x:c r="L129" s="191"/>
      <x:c r="M129" s="191"/>
      <x:c r="N129" s="191"/>
      <x:c r="O129" s="191"/>
      <x:c r="P129" s="191"/>
      <x:c r="Q129" s="191"/>
      <x:c r="R129" s="191"/>
      <x:c r="S129" s="191"/>
      <x:c r="T129" s="191"/>
      <x:c r="U129" s="191"/>
      <x:c r="V129" s="191"/>
      <x:c r="W129" s="191"/>
      <x:c r="X129" s="191"/>
      <x:c r="Y129" s="191"/>
      <x:c r="Z129" s="191"/>
      <x:c r="AA129" s="191"/>
      <x:c r="AB129" s="191"/>
      <x:c r="AC129" s="191"/>
      <x:c r="AD129" s="191"/>
      <x:c r="AE129" s="191"/>
      <x:c r="AF129" s="191"/>
      <x:c r="AG129" s="191"/>
      <x:c r="AH129" s="191"/>
      <x:c r="AI129" s="191"/>
      <x:c r="AJ129" s="191"/>
      <x:c r="AK129" s="191"/>
    </x:row>
    <x:row r="130">
      <x:c r="A130" s="191"/>
      <x:c r="B130" s="191"/>
      <x:c r="C130" s="191"/>
      <x:c r="D130" s="191"/>
      <x:c r="E130" s="191"/>
      <x:c r="F130" s="191"/>
      <x:c r="G130" s="191"/>
      <x:c r="H130" s="191"/>
      <x:c r="I130" s="191"/>
      <x:c r="J130" s="191"/>
      <x:c r="K130" s="191"/>
      <x:c r="L130" s="191"/>
      <x:c r="M130" s="191"/>
      <x:c r="N130" s="191"/>
      <x:c r="O130" s="191"/>
      <x:c r="P130" s="191"/>
      <x:c r="Q130" s="191"/>
      <x:c r="R130" s="191"/>
      <x:c r="S130" s="191"/>
      <x:c r="T130" s="191"/>
      <x:c r="U130" s="191"/>
      <x:c r="V130" s="191"/>
      <x:c r="W130" s="191"/>
      <x:c r="X130" s="191"/>
      <x:c r="Y130" s="191"/>
      <x:c r="Z130" s="191"/>
      <x:c r="AA130" s="191"/>
      <x:c r="AB130" s="191"/>
      <x:c r="AC130" s="191"/>
      <x:c r="AD130" s="191"/>
      <x:c r="AE130" s="191"/>
      <x:c r="AF130" s="191"/>
      <x:c r="AG130" s="191"/>
      <x:c r="AH130" s="191"/>
      <x:c r="AI130" s="191"/>
      <x:c r="AJ130" s="191"/>
      <x:c r="AK130" s="191"/>
    </x:row>
    <x:row r="131">
      <x:c r="A131" s="191"/>
      <x:c r="B131" s="191"/>
      <x:c r="C131" s="191"/>
      <x:c r="D131" s="191"/>
      <x:c r="E131" s="191"/>
      <x:c r="F131" s="191"/>
      <x:c r="G131" s="191"/>
      <x:c r="H131" s="191"/>
      <x:c r="I131" s="191"/>
      <x:c r="J131" s="191"/>
      <x:c r="K131" s="191"/>
      <x:c r="L131" s="191"/>
      <x:c r="M131" s="191"/>
      <x:c r="N131" s="191"/>
      <x:c r="O131" s="191"/>
      <x:c r="P131" s="191"/>
      <x:c r="Q131" s="191"/>
      <x:c r="R131" s="191"/>
      <x:c r="S131" s="191"/>
      <x:c r="T131" s="191"/>
      <x:c r="U131" s="191"/>
      <x:c r="V131" s="191"/>
      <x:c r="W131" s="191"/>
      <x:c r="X131" s="191"/>
      <x:c r="Y131" s="191"/>
      <x:c r="Z131" s="191"/>
      <x:c r="AA131" s="191"/>
      <x:c r="AB131" s="191"/>
      <x:c r="AC131" s="191"/>
      <x:c r="AD131" s="191"/>
      <x:c r="AE131" s="191"/>
      <x:c r="AF131" s="191"/>
      <x:c r="AG131" s="191"/>
      <x:c r="AH131" s="191"/>
      <x:c r="AI131" s="191"/>
      <x:c r="AJ131" s="191"/>
      <x:c r="AK131" s="191"/>
    </x:row>
    <x:row r="132">
      <x:c r="A132" s="191"/>
      <x:c r="B132" s="191"/>
      <x:c r="C132" s="191"/>
      <x:c r="D132" s="191"/>
      <x:c r="E132" s="191"/>
      <x:c r="F132" s="191"/>
      <x:c r="G132" s="191"/>
      <x:c r="H132" s="191"/>
      <x:c r="I132" s="191"/>
      <x:c r="J132" s="191"/>
      <x:c r="K132" s="191"/>
      <x:c r="L132" s="191"/>
      <x:c r="M132" s="191"/>
      <x:c r="N132" s="191"/>
      <x:c r="O132" s="191"/>
      <x:c r="P132" s="191"/>
      <x:c r="Q132" s="191"/>
      <x:c r="R132" s="191"/>
      <x:c r="S132" s="191"/>
      <x:c r="T132" s="191"/>
      <x:c r="U132" s="191"/>
      <x:c r="V132" s="191"/>
      <x:c r="W132" s="191"/>
      <x:c r="X132" s="191"/>
      <x:c r="Y132" s="191"/>
      <x:c r="Z132" s="191"/>
      <x:c r="AA132" s="191"/>
      <x:c r="AB132" s="191"/>
      <x:c r="AC132" s="191"/>
      <x:c r="AD132" s="191"/>
      <x:c r="AE132" s="191"/>
      <x:c r="AF132" s="191"/>
      <x:c r="AG132" s="191"/>
      <x:c r="AH132" s="191"/>
      <x:c r="AI132" s="191"/>
      <x:c r="AJ132" s="191"/>
      <x:c r="AK132" s="191"/>
    </x:row>
    <x:row r="133">
      <x:c r="A133" s="191"/>
      <x:c r="B133" s="191"/>
      <x:c r="C133" s="191"/>
      <x:c r="D133" s="191"/>
      <x:c r="E133" s="191"/>
      <x:c r="F133" s="191"/>
      <x:c r="G133" s="191"/>
      <x:c r="H133" s="191"/>
      <x:c r="I133" s="191"/>
      <x:c r="J133" s="191"/>
      <x:c r="K133" s="191"/>
      <x:c r="L133" s="191"/>
      <x:c r="M133" s="191"/>
      <x:c r="N133" s="191"/>
      <x:c r="O133" s="191"/>
      <x:c r="P133" s="191"/>
      <x:c r="Q133" s="191"/>
      <x:c r="R133" s="191"/>
      <x:c r="S133" s="191"/>
      <x:c r="T133" s="191"/>
      <x:c r="U133" s="191"/>
      <x:c r="V133" s="191"/>
      <x:c r="W133" s="191"/>
      <x:c r="X133" s="191"/>
      <x:c r="Y133" s="191"/>
      <x:c r="Z133" s="191"/>
      <x:c r="AA133" s="191"/>
      <x:c r="AB133" s="191"/>
      <x:c r="AC133" s="191"/>
      <x:c r="AD133" s="191"/>
      <x:c r="AE133" s="191"/>
      <x:c r="AF133" s="191"/>
      <x:c r="AG133" s="191"/>
      <x:c r="AH133" s="191"/>
      <x:c r="AI133" s="191"/>
      <x:c r="AJ133" s="191"/>
      <x:c r="AK133" s="191"/>
    </x:row>
    <x:row r="134">
      <x:c r="A134" s="191"/>
      <x:c r="B134" s="191"/>
      <x:c r="C134" s="191"/>
      <x:c r="D134" s="191"/>
      <x:c r="E134" s="191"/>
      <x:c r="F134" s="191"/>
      <x:c r="G134" s="191"/>
      <x:c r="H134" s="191"/>
      <x:c r="I134" s="191"/>
      <x:c r="J134" s="191"/>
      <x:c r="K134" s="191"/>
      <x:c r="L134" s="191"/>
      <x:c r="M134" s="191"/>
      <x:c r="N134" s="191"/>
      <x:c r="O134" s="191"/>
      <x:c r="P134" s="191"/>
      <x:c r="Q134" s="191"/>
      <x:c r="R134" s="191"/>
      <x:c r="S134" s="191"/>
      <x:c r="T134" s="191"/>
      <x:c r="U134" s="191"/>
      <x:c r="V134" s="191"/>
      <x:c r="W134" s="191"/>
      <x:c r="X134" s="191"/>
      <x:c r="Y134" s="191"/>
      <x:c r="Z134" s="191"/>
      <x:c r="AA134" s="191"/>
      <x:c r="AB134" s="191"/>
      <x:c r="AC134" s="191"/>
      <x:c r="AD134" s="191"/>
      <x:c r="AE134" s="191"/>
      <x:c r="AF134" s="191"/>
      <x:c r="AG134" s="191"/>
      <x:c r="AH134" s="191"/>
      <x:c r="AI134" s="191"/>
      <x:c r="AJ134" s="191"/>
      <x:c r="AK134" s="191"/>
    </x:row>
    <x:row r="135">
      <x:c r="A135" s="191"/>
      <x:c r="B135" s="191"/>
      <x:c r="C135" s="191"/>
      <x:c r="D135" s="191"/>
      <x:c r="E135" s="191"/>
      <x:c r="F135" s="191"/>
      <x:c r="G135" s="191"/>
      <x:c r="H135" s="191"/>
      <x:c r="I135" s="191"/>
      <x:c r="J135" s="191"/>
      <x:c r="K135" s="191"/>
      <x:c r="L135" s="191"/>
      <x:c r="M135" s="191"/>
      <x:c r="N135" s="191"/>
      <x:c r="O135" s="191"/>
      <x:c r="P135" s="191"/>
      <x:c r="Q135" s="191"/>
      <x:c r="R135" s="191"/>
      <x:c r="S135" s="191"/>
      <x:c r="T135" s="191"/>
      <x:c r="U135" s="191"/>
      <x:c r="V135" s="191"/>
      <x:c r="W135" s="191"/>
      <x:c r="X135" s="191"/>
      <x:c r="Y135" s="191"/>
      <x:c r="Z135" s="191"/>
      <x:c r="AA135" s="191"/>
      <x:c r="AB135" s="191"/>
      <x:c r="AC135" s="191"/>
      <x:c r="AD135" s="191"/>
      <x:c r="AE135" s="191"/>
      <x:c r="AF135" s="191"/>
      <x:c r="AG135" s="191"/>
      <x:c r="AH135" s="191"/>
      <x:c r="AI135" s="191"/>
      <x:c r="AJ135" s="191"/>
      <x:c r="AK135" s="191"/>
    </x:row>
    <x:row r="136">
      <x:c r="A136" s="191"/>
      <x:c r="B136" s="191"/>
      <x:c r="C136" s="191"/>
      <x:c r="D136" s="191"/>
      <x:c r="E136" s="191"/>
      <x:c r="F136" s="191"/>
      <x:c r="G136" s="191"/>
      <x:c r="H136" s="191"/>
      <x:c r="I136" s="191"/>
      <x:c r="J136" s="191"/>
      <x:c r="K136" s="191"/>
      <x:c r="L136" s="191"/>
      <x:c r="M136" s="191"/>
      <x:c r="N136" s="191"/>
      <x:c r="O136" s="191"/>
      <x:c r="P136" s="191"/>
      <x:c r="Q136" s="191"/>
      <x:c r="R136" s="191"/>
      <x:c r="S136" s="191"/>
      <x:c r="T136" s="191"/>
      <x:c r="U136" s="191"/>
      <x:c r="V136" s="191"/>
      <x:c r="W136" s="191"/>
      <x:c r="X136" s="191"/>
      <x:c r="Y136" s="191"/>
      <x:c r="Z136" s="191"/>
      <x:c r="AA136" s="191"/>
      <x:c r="AB136" s="191"/>
      <x:c r="AC136" s="191"/>
      <x:c r="AD136" s="191"/>
      <x:c r="AE136" s="191"/>
      <x:c r="AF136" s="191"/>
      <x:c r="AG136" s="191"/>
      <x:c r="AH136" s="191"/>
      <x:c r="AI136" s="191"/>
      <x:c r="AJ136" s="191"/>
      <x:c r="AK136" s="191"/>
    </x:row>
    <x:row r="137">
      <x:c r="A137" s="191"/>
      <x:c r="B137" s="191"/>
      <x:c r="C137" s="191"/>
      <x:c r="D137" s="191"/>
      <x:c r="E137" s="191"/>
      <x:c r="F137" s="191"/>
      <x:c r="G137" s="191"/>
      <x:c r="H137" s="191"/>
      <x:c r="I137" s="191"/>
      <x:c r="J137" s="191"/>
      <x:c r="K137" s="191"/>
      <x:c r="L137" s="191"/>
      <x:c r="M137" s="191"/>
      <x:c r="N137" s="191"/>
      <x:c r="O137" s="191"/>
      <x:c r="P137" s="191"/>
      <x:c r="Q137" s="191"/>
      <x:c r="R137" s="191"/>
      <x:c r="S137" s="191"/>
      <x:c r="T137" s="191"/>
      <x:c r="U137" s="191"/>
      <x:c r="V137" s="191"/>
      <x:c r="W137" s="191"/>
      <x:c r="X137" s="191"/>
      <x:c r="Y137" s="191"/>
      <x:c r="Z137" s="191"/>
      <x:c r="AA137" s="191"/>
      <x:c r="AB137" s="191"/>
      <x:c r="AC137" s="191"/>
      <x:c r="AD137" s="191"/>
      <x:c r="AE137" s="191"/>
      <x:c r="AF137" s="191"/>
      <x:c r="AG137" s="191"/>
      <x:c r="AH137" s="191"/>
      <x:c r="AI137" s="191"/>
      <x:c r="AJ137" s="191"/>
      <x:c r="AK137" s="191"/>
    </x:row>
    <x:row r="138">
      <x:c r="A138" s="191"/>
      <x:c r="B138" s="191"/>
      <x:c r="C138" s="191"/>
      <x:c r="D138" s="191"/>
      <x:c r="E138" s="191"/>
      <x:c r="F138" s="191"/>
      <x:c r="G138" s="191"/>
      <x:c r="H138" s="191"/>
      <x:c r="I138" s="191"/>
      <x:c r="J138" s="191"/>
      <x:c r="K138" s="191"/>
      <x:c r="L138" s="191"/>
      <x:c r="M138" s="191"/>
      <x:c r="N138" s="191"/>
      <x:c r="O138" s="191"/>
      <x:c r="P138" s="191"/>
      <x:c r="Q138" s="191"/>
      <x:c r="R138" s="191"/>
      <x:c r="S138" s="191"/>
      <x:c r="T138" s="191"/>
      <x:c r="U138" s="191"/>
      <x:c r="V138" s="191"/>
      <x:c r="W138" s="191"/>
      <x:c r="X138" s="191"/>
      <x:c r="Y138" s="191"/>
      <x:c r="Z138" s="191"/>
      <x:c r="AA138" s="191"/>
      <x:c r="AB138" s="191"/>
      <x:c r="AC138" s="191"/>
      <x:c r="AD138" s="191"/>
      <x:c r="AE138" s="191"/>
      <x:c r="AF138" s="191"/>
      <x:c r="AG138" s="191"/>
      <x:c r="AH138" s="191"/>
      <x:c r="AI138" s="191"/>
      <x:c r="AJ138" s="191"/>
      <x:c r="AK138" s="191"/>
    </x:row>
    <x:row r="139">
      <x:c r="A139" s="191"/>
      <x:c r="B139" s="191"/>
      <x:c r="C139" s="191"/>
      <x:c r="D139" s="191"/>
      <x:c r="E139" s="191"/>
      <x:c r="F139" s="191"/>
      <x:c r="G139" s="191"/>
      <x:c r="H139" s="191"/>
      <x:c r="I139" s="191"/>
      <x:c r="J139" s="191"/>
      <x:c r="K139" s="191"/>
      <x:c r="L139" s="191"/>
      <x:c r="M139" s="191"/>
      <x:c r="N139" s="191"/>
      <x:c r="O139" s="191"/>
      <x:c r="P139" s="191"/>
      <x:c r="Q139" s="191"/>
      <x:c r="R139" s="191"/>
      <x:c r="S139" s="191"/>
      <x:c r="T139" s="191"/>
      <x:c r="U139" s="191"/>
      <x:c r="V139" s="191"/>
      <x:c r="W139" s="191"/>
      <x:c r="X139" s="191"/>
      <x:c r="Y139" s="191"/>
      <x:c r="Z139" s="191"/>
      <x:c r="AA139" s="191"/>
      <x:c r="AB139" s="191"/>
      <x:c r="AC139" s="191"/>
      <x:c r="AD139" s="191"/>
      <x:c r="AE139" s="191"/>
      <x:c r="AF139" s="191"/>
      <x:c r="AG139" s="191"/>
      <x:c r="AH139" s="191"/>
      <x:c r="AI139" s="191"/>
      <x:c r="AJ139" s="191"/>
      <x:c r="AK139" s="191"/>
    </x:row>
    <x:row r="140">
      <x:c r="A140" s="191"/>
      <x:c r="B140" s="191"/>
      <x:c r="C140" s="191"/>
      <x:c r="D140" s="191"/>
      <x:c r="E140" s="191"/>
      <x:c r="F140" s="191"/>
      <x:c r="G140" s="191"/>
      <x:c r="H140" s="191"/>
      <x:c r="I140" s="191"/>
      <x:c r="J140" s="191"/>
      <x:c r="K140" s="191"/>
      <x:c r="L140" s="191"/>
      <x:c r="M140" s="191"/>
      <x:c r="N140" s="191"/>
      <x:c r="O140" s="191"/>
      <x:c r="P140" s="191"/>
      <x:c r="Q140" s="191"/>
      <x:c r="R140" s="191"/>
      <x:c r="S140" s="191"/>
      <x:c r="T140" s="191"/>
      <x:c r="U140" s="191"/>
      <x:c r="V140" s="191"/>
      <x:c r="W140" s="191"/>
      <x:c r="X140" s="191"/>
      <x:c r="Y140" s="191"/>
      <x:c r="Z140" s="191"/>
      <x:c r="AA140" s="191"/>
      <x:c r="AB140" s="191"/>
      <x:c r="AC140" s="191"/>
      <x:c r="AD140" s="191"/>
      <x:c r="AE140" s="191"/>
      <x:c r="AF140" s="191"/>
      <x:c r="AG140" s="191"/>
      <x:c r="AH140" s="191"/>
      <x:c r="AI140" s="191"/>
      <x:c r="AJ140" s="191"/>
      <x:c r="AK140" s="191"/>
    </x:row>
    <x:row r="141">
      <x:c r="A141" s="191"/>
      <x:c r="B141" s="191"/>
      <x:c r="C141" s="191"/>
      <x:c r="D141" s="191"/>
      <x:c r="E141" s="191"/>
      <x:c r="F141" s="191"/>
      <x:c r="G141" s="191"/>
      <x:c r="H141" s="191"/>
      <x:c r="I141" s="191"/>
      <x:c r="J141" s="191"/>
      <x:c r="K141" s="191"/>
      <x:c r="L141" s="191"/>
      <x:c r="M141" s="191"/>
      <x:c r="N141" s="191"/>
      <x:c r="O141" s="191"/>
      <x:c r="P141" s="191"/>
      <x:c r="Q141" s="191"/>
      <x:c r="R141" s="191"/>
      <x:c r="S141" s="191"/>
      <x:c r="T141" s="191"/>
      <x:c r="U141" s="191"/>
      <x:c r="V141" s="191"/>
      <x:c r="W141" s="191"/>
      <x:c r="X141" s="191"/>
      <x:c r="Y141" s="191"/>
      <x:c r="Z141" s="191"/>
      <x:c r="AA141" s="191"/>
      <x:c r="AB141" s="191"/>
      <x:c r="AC141" s="191"/>
      <x:c r="AD141" s="191"/>
      <x:c r="AE141" s="191"/>
      <x:c r="AF141" s="191"/>
      <x:c r="AG141" s="191"/>
      <x:c r="AH141" s="191"/>
      <x:c r="AI141" s="191"/>
      <x:c r="AJ141" s="191"/>
      <x:c r="AK141" s="191"/>
    </x:row>
    <x:row r="142">
      <x:c r="A142" s="191"/>
      <x:c r="B142" s="191"/>
      <x:c r="C142" s="191"/>
      <x:c r="D142" s="191"/>
      <x:c r="E142" s="191"/>
      <x:c r="F142" s="191"/>
      <x:c r="G142" s="191"/>
      <x:c r="H142" s="191"/>
      <x:c r="I142" s="191"/>
      <x:c r="J142" s="191"/>
      <x:c r="K142" s="191"/>
      <x:c r="L142" s="191"/>
      <x:c r="M142" s="191"/>
      <x:c r="N142" s="191"/>
      <x:c r="O142" s="191"/>
      <x:c r="P142" s="191"/>
      <x:c r="Q142" s="191"/>
      <x:c r="R142" s="191"/>
      <x:c r="S142" s="191"/>
      <x:c r="T142" s="191"/>
      <x:c r="U142" s="191"/>
      <x:c r="V142" s="191"/>
      <x:c r="W142" s="191"/>
      <x:c r="X142" s="191"/>
      <x:c r="Y142" s="191"/>
      <x:c r="Z142" s="191"/>
      <x:c r="AA142" s="191"/>
      <x:c r="AB142" s="191"/>
      <x:c r="AC142" s="191"/>
      <x:c r="AD142" s="191"/>
      <x:c r="AE142" s="191"/>
      <x:c r="AF142" s="191"/>
      <x:c r="AG142" s="191"/>
      <x:c r="AH142" s="191"/>
      <x:c r="AI142" s="191"/>
      <x:c r="AJ142" s="191"/>
      <x:c r="AK142" s="191"/>
    </x:row>
    <x:row r="143">
      <x:c r="A143" s="191"/>
      <x:c r="B143" s="191"/>
      <x:c r="C143" s="191"/>
      <x:c r="D143" s="191"/>
      <x:c r="E143" s="191"/>
      <x:c r="F143" s="191"/>
      <x:c r="G143" s="191"/>
      <x:c r="H143" s="191"/>
      <x:c r="I143" s="191"/>
      <x:c r="J143" s="191"/>
      <x:c r="K143" s="191"/>
      <x:c r="L143" s="191"/>
      <x:c r="M143" s="191"/>
      <x:c r="N143" s="191"/>
      <x:c r="O143" s="191"/>
      <x:c r="P143" s="191"/>
      <x:c r="Q143" s="191"/>
      <x:c r="R143" s="191"/>
      <x:c r="S143" s="191"/>
      <x:c r="T143" s="191"/>
      <x:c r="U143" s="191"/>
      <x:c r="V143" s="191"/>
      <x:c r="W143" s="191"/>
      <x:c r="X143" s="191"/>
      <x:c r="Y143" s="191"/>
      <x:c r="Z143" s="191"/>
      <x:c r="AA143" s="191"/>
      <x:c r="AB143" s="191"/>
      <x:c r="AC143" s="191"/>
      <x:c r="AD143" s="191"/>
      <x:c r="AE143" s="191"/>
      <x:c r="AF143" s="191"/>
      <x:c r="AG143" s="191"/>
      <x:c r="AH143" s="191"/>
      <x:c r="AI143" s="191"/>
      <x:c r="AJ143" s="191"/>
      <x:c r="AK143" s="191"/>
    </x:row>
    <x:row r="144">
      <x:c r="A144" s="191"/>
      <x:c r="B144" s="191"/>
      <x:c r="C144" s="191"/>
      <x:c r="D144" s="191"/>
      <x:c r="E144" s="191"/>
      <x:c r="F144" s="191"/>
      <x:c r="G144" s="191"/>
      <x:c r="H144" s="191"/>
      <x:c r="I144" s="191"/>
      <x:c r="J144" s="191"/>
      <x:c r="K144" s="191"/>
      <x:c r="L144" s="191"/>
      <x:c r="M144" s="191"/>
      <x:c r="N144" s="191"/>
      <x:c r="O144" s="191"/>
      <x:c r="P144" s="191"/>
      <x:c r="Q144" s="191"/>
      <x:c r="R144" s="191"/>
      <x:c r="S144" s="191"/>
      <x:c r="T144" s="191"/>
      <x:c r="U144" s="191"/>
      <x:c r="V144" s="191"/>
      <x:c r="W144" s="191"/>
      <x:c r="X144" s="191"/>
      <x:c r="Y144" s="191"/>
      <x:c r="Z144" s="191"/>
      <x:c r="AA144" s="191"/>
      <x:c r="AB144" s="191"/>
      <x:c r="AC144" s="191"/>
      <x:c r="AD144" s="191"/>
      <x:c r="AE144" s="191"/>
      <x:c r="AF144" s="191"/>
      <x:c r="AG144" s="191"/>
      <x:c r="AH144" s="191"/>
      <x:c r="AI144" s="191"/>
      <x:c r="AJ144" s="191"/>
      <x:c r="AK144" s="191"/>
    </x:row>
    <x:row r="145">
      <x:c r="A145" s="191"/>
      <x:c r="B145" s="191"/>
      <x:c r="C145" s="191"/>
      <x:c r="D145" s="191"/>
      <x:c r="E145" s="191"/>
      <x:c r="F145" s="191"/>
      <x:c r="G145" s="191"/>
      <x:c r="H145" s="191"/>
      <x:c r="I145" s="191"/>
      <x:c r="J145" s="191"/>
      <x:c r="K145" s="191"/>
      <x:c r="L145" s="191"/>
      <x:c r="M145" s="191"/>
      <x:c r="N145" s="191"/>
      <x:c r="O145" s="191"/>
      <x:c r="P145" s="191"/>
      <x:c r="Q145" s="191"/>
      <x:c r="R145" s="191"/>
      <x:c r="S145" s="191"/>
      <x:c r="T145" s="191"/>
      <x:c r="U145" s="191"/>
      <x:c r="V145" s="191"/>
      <x:c r="W145" s="191"/>
      <x:c r="X145" s="191"/>
      <x:c r="Y145" s="191"/>
      <x:c r="Z145" s="191"/>
      <x:c r="AA145" s="191"/>
      <x:c r="AB145" s="191"/>
      <x:c r="AC145" s="191"/>
      <x:c r="AD145" s="191"/>
      <x:c r="AE145" s="191"/>
      <x:c r="AF145" s="191"/>
      <x:c r="AG145" s="191"/>
      <x:c r="AH145" s="191"/>
      <x:c r="AI145" s="191"/>
      <x:c r="AJ145" s="191"/>
      <x:c r="AK145" s="191"/>
    </x:row>
    <x:row r="146">
      <x:c r="A146" s="191"/>
      <x:c r="B146" s="191"/>
      <x:c r="C146" s="191"/>
      <x:c r="D146" s="191"/>
      <x:c r="E146" s="191"/>
      <x:c r="F146" s="191"/>
      <x:c r="G146" s="191"/>
      <x:c r="H146" s="191"/>
      <x:c r="I146" s="191"/>
      <x:c r="J146" s="191"/>
      <x:c r="K146" s="191"/>
      <x:c r="L146" s="191"/>
      <x:c r="M146" s="191"/>
      <x:c r="N146" s="191"/>
      <x:c r="O146" s="191"/>
      <x:c r="P146" s="191"/>
      <x:c r="Q146" s="191"/>
      <x:c r="R146" s="191"/>
      <x:c r="S146" s="191"/>
      <x:c r="T146" s="191"/>
      <x:c r="U146" s="191"/>
      <x:c r="V146" s="191"/>
      <x:c r="W146" s="191"/>
      <x:c r="X146" s="191"/>
      <x:c r="Y146" s="191"/>
      <x:c r="Z146" s="191"/>
      <x:c r="AA146" s="191"/>
      <x:c r="AB146" s="191"/>
      <x:c r="AC146" s="191"/>
      <x:c r="AD146" s="191"/>
      <x:c r="AE146" s="191"/>
      <x:c r="AF146" s="191"/>
      <x:c r="AG146" s="191"/>
      <x:c r="AH146" s="191"/>
      <x:c r="AI146" s="191"/>
      <x:c r="AJ146" s="191"/>
      <x:c r="AK146" s="191"/>
    </x:row>
    <x:row r="147">
      <x:c r="A147" s="191"/>
      <x:c r="B147" s="191"/>
      <x:c r="C147" s="191"/>
      <x:c r="D147" s="191"/>
      <x:c r="E147" s="191"/>
      <x:c r="F147" s="191"/>
      <x:c r="G147" s="191"/>
      <x:c r="H147" s="191"/>
      <x:c r="I147" s="191"/>
      <x:c r="J147" s="191"/>
      <x:c r="K147" s="191"/>
      <x:c r="L147" s="191"/>
      <x:c r="M147" s="191"/>
      <x:c r="N147" s="191"/>
      <x:c r="O147" s="191"/>
      <x:c r="P147" s="191"/>
      <x:c r="Q147" s="191"/>
      <x:c r="R147" s="191"/>
      <x:c r="S147" s="191"/>
      <x:c r="T147" s="191"/>
      <x:c r="U147" s="191"/>
      <x:c r="V147" s="191"/>
      <x:c r="W147" s="191"/>
      <x:c r="X147" s="191"/>
      <x:c r="Y147" s="191"/>
      <x:c r="Z147" s="191"/>
      <x:c r="AA147" s="191"/>
      <x:c r="AB147" s="191"/>
      <x:c r="AC147" s="191"/>
      <x:c r="AD147" s="191"/>
      <x:c r="AE147" s="191"/>
      <x:c r="AF147" s="191"/>
      <x:c r="AG147" s="191"/>
      <x:c r="AH147" s="191"/>
      <x:c r="AI147" s="191"/>
      <x:c r="AJ147" s="191"/>
      <x:c r="AK147" s="191"/>
    </x:row>
    <x:row r="148">
      <x:c r="A148" s="191"/>
      <x:c r="B148" s="191"/>
      <x:c r="C148" s="191"/>
      <x:c r="D148" s="191"/>
      <x:c r="E148" s="191"/>
      <x:c r="F148" s="191"/>
      <x:c r="G148" s="191"/>
      <x:c r="H148" s="191"/>
      <x:c r="I148" s="191"/>
      <x:c r="J148" s="191"/>
      <x:c r="K148" s="191"/>
      <x:c r="L148" s="191"/>
      <x:c r="M148" s="191"/>
      <x:c r="N148" s="191"/>
      <x:c r="O148" s="191"/>
      <x:c r="P148" s="191"/>
      <x:c r="Q148" s="191"/>
      <x:c r="R148" s="191"/>
      <x:c r="S148" s="191"/>
      <x:c r="T148" s="191"/>
      <x:c r="U148" s="191"/>
      <x:c r="V148" s="191"/>
      <x:c r="W148" s="191"/>
      <x:c r="X148" s="191"/>
      <x:c r="Y148" s="191"/>
      <x:c r="Z148" s="191"/>
      <x:c r="AA148" s="191"/>
      <x:c r="AB148" s="191"/>
      <x:c r="AC148" s="191"/>
      <x:c r="AD148" s="191"/>
      <x:c r="AE148" s="191"/>
      <x:c r="AF148" s="191"/>
      <x:c r="AG148" s="191"/>
      <x:c r="AH148" s="191"/>
      <x:c r="AI148" s="191"/>
      <x:c r="AJ148" s="191"/>
      <x:c r="AK148" s="191"/>
    </x:row>
    <x:row r="149">
      <x:c r="A149" s="191"/>
      <x:c r="B149" s="191"/>
      <x:c r="C149" s="191"/>
      <x:c r="D149" s="191"/>
      <x:c r="E149" s="191"/>
      <x:c r="F149" s="191"/>
      <x:c r="G149" s="191"/>
      <x:c r="H149" s="191"/>
      <x:c r="I149" s="191"/>
      <x:c r="J149" s="191"/>
      <x:c r="K149" s="191"/>
      <x:c r="L149" s="191"/>
      <x:c r="M149" s="191"/>
      <x:c r="N149" s="191"/>
      <x:c r="O149" s="191"/>
      <x:c r="P149" s="191"/>
      <x:c r="Q149" s="191"/>
      <x:c r="R149" s="191"/>
      <x:c r="S149" s="191"/>
      <x:c r="T149" s="191"/>
      <x:c r="U149" s="191"/>
      <x:c r="V149" s="191"/>
      <x:c r="W149" s="191"/>
      <x:c r="X149" s="191"/>
      <x:c r="Y149" s="191"/>
      <x:c r="Z149" s="191"/>
      <x:c r="AA149" s="191"/>
      <x:c r="AB149" s="191"/>
      <x:c r="AC149" s="191"/>
      <x:c r="AD149" s="191"/>
      <x:c r="AE149" s="191"/>
      <x:c r="AF149" s="191"/>
      <x:c r="AG149" s="191"/>
      <x:c r="AH149" s="191"/>
      <x:c r="AI149" s="191"/>
      <x:c r="AJ149" s="191"/>
      <x:c r="AK149" s="191"/>
    </x:row>
    <x:row r="150">
      <x:c r="A150" s="191"/>
      <x:c r="B150" s="191"/>
      <x:c r="C150" s="191"/>
      <x:c r="D150" s="191"/>
      <x:c r="E150" s="191"/>
      <x:c r="F150" s="191"/>
      <x:c r="G150" s="191"/>
      <x:c r="H150" s="191"/>
      <x:c r="I150" s="191"/>
      <x:c r="J150" s="191"/>
      <x:c r="K150" s="191"/>
      <x:c r="L150" s="191"/>
      <x:c r="M150" s="191"/>
      <x:c r="N150" s="191"/>
      <x:c r="O150" s="191"/>
      <x:c r="P150" s="191"/>
      <x:c r="Q150" s="191"/>
      <x:c r="R150" s="191"/>
      <x:c r="S150" s="191"/>
      <x:c r="T150" s="191"/>
      <x:c r="U150" s="191"/>
      <x:c r="V150" s="191"/>
      <x:c r="W150" s="191"/>
      <x:c r="X150" s="191"/>
      <x:c r="Y150" s="191"/>
      <x:c r="Z150" s="191"/>
      <x:c r="AA150" s="191"/>
      <x:c r="AB150" s="191"/>
      <x:c r="AC150" s="191"/>
      <x:c r="AD150" s="191"/>
      <x:c r="AE150" s="191"/>
      <x:c r="AF150" s="191"/>
      <x:c r="AG150" s="191"/>
      <x:c r="AH150" s="191"/>
      <x:c r="AI150" s="191"/>
      <x:c r="AJ150" s="191"/>
      <x:c r="AK150" s="191"/>
    </x:row>
    <x:row r="151">
      <x:c r="A151" s="191"/>
      <x:c r="B151" s="191"/>
      <x:c r="C151" s="191"/>
      <x:c r="D151" s="191"/>
      <x:c r="E151" s="191"/>
      <x:c r="F151" s="191"/>
      <x:c r="G151" s="191"/>
      <x:c r="H151" s="191"/>
      <x:c r="I151" s="191"/>
      <x:c r="J151" s="191"/>
      <x:c r="K151" s="191"/>
      <x:c r="L151" s="191"/>
      <x:c r="M151" s="191"/>
      <x:c r="N151" s="191"/>
      <x:c r="O151" s="191"/>
      <x:c r="P151" s="191"/>
      <x:c r="Q151" s="191"/>
      <x:c r="R151" s="191"/>
      <x:c r="S151" s="191"/>
      <x:c r="T151" s="191"/>
      <x:c r="U151" s="191"/>
      <x:c r="V151" s="191"/>
      <x:c r="W151" s="191"/>
      <x:c r="X151" s="191"/>
      <x:c r="Y151" s="191"/>
      <x:c r="Z151" s="191"/>
      <x:c r="AA151" s="191"/>
      <x:c r="AB151" s="191"/>
      <x:c r="AC151" s="191"/>
      <x:c r="AD151" s="191"/>
      <x:c r="AE151" s="191"/>
      <x:c r="AF151" s="191"/>
      <x:c r="AG151" s="191"/>
      <x:c r="AH151" s="191"/>
      <x:c r="AI151" s="191"/>
      <x:c r="AJ151" s="191"/>
      <x:c r="AK151" s="191"/>
    </x:row>
    <x:row r="152">
      <x:c r="A152" s="191"/>
      <x:c r="B152" s="191"/>
      <x:c r="C152" s="191"/>
      <x:c r="D152" s="191"/>
      <x:c r="E152" s="191"/>
      <x:c r="F152" s="191"/>
      <x:c r="G152" s="191"/>
      <x:c r="H152" s="191"/>
      <x:c r="I152" s="191"/>
      <x:c r="J152" s="191"/>
      <x:c r="K152" s="191"/>
      <x:c r="L152" s="191"/>
      <x:c r="M152" s="191"/>
      <x:c r="N152" s="191"/>
      <x:c r="O152" s="191"/>
      <x:c r="P152" s="191"/>
      <x:c r="Q152" s="191"/>
      <x:c r="R152" s="191"/>
      <x:c r="S152" s="191"/>
      <x:c r="T152" s="191"/>
      <x:c r="U152" s="191"/>
      <x:c r="V152" s="191"/>
      <x:c r="W152" s="191"/>
      <x:c r="X152" s="191"/>
      <x:c r="Y152" s="191"/>
      <x:c r="Z152" s="191"/>
      <x:c r="AA152" s="191"/>
      <x:c r="AB152" s="191"/>
      <x:c r="AC152" s="191"/>
      <x:c r="AD152" s="191"/>
      <x:c r="AE152" s="191"/>
      <x:c r="AF152" s="191"/>
      <x:c r="AG152" s="191"/>
      <x:c r="AH152" s="191"/>
      <x:c r="AI152" s="191"/>
      <x:c r="AJ152" s="191"/>
      <x:c r="AK152" s="191"/>
    </x:row>
    <x:row r="153">
      <x:c r="A153" s="191"/>
      <x:c r="B153" s="191"/>
      <x:c r="C153" s="191"/>
      <x:c r="D153" s="191"/>
      <x:c r="E153" s="191"/>
      <x:c r="F153" s="191"/>
      <x:c r="G153" s="191"/>
      <x:c r="H153" s="191"/>
      <x:c r="I153" s="191"/>
      <x:c r="J153" s="191"/>
      <x:c r="K153" s="191"/>
      <x:c r="L153" s="191"/>
      <x:c r="M153" s="191"/>
      <x:c r="N153" s="191"/>
      <x:c r="O153" s="191"/>
      <x:c r="P153" s="191"/>
      <x:c r="Q153" s="191"/>
      <x:c r="R153" s="191"/>
      <x:c r="S153" s="191"/>
      <x:c r="T153" s="191"/>
      <x:c r="U153" s="191"/>
      <x:c r="V153" s="191"/>
      <x:c r="W153" s="191"/>
      <x:c r="X153" s="191"/>
      <x:c r="Y153" s="191"/>
      <x:c r="Z153" s="191"/>
      <x:c r="AA153" s="191"/>
      <x:c r="AB153" s="191"/>
      <x:c r="AC153" s="191"/>
      <x:c r="AD153" s="191"/>
      <x:c r="AE153" s="191"/>
      <x:c r="AF153" s="191"/>
      <x:c r="AG153" s="191"/>
      <x:c r="AH153" s="191"/>
      <x:c r="AI153" s="191"/>
      <x:c r="AJ153" s="191"/>
      <x:c r="AK153" s="191"/>
    </x:row>
    <x:row r="154">
      <x:c r="A154" s="191"/>
      <x:c r="B154" s="191"/>
      <x:c r="C154" s="191"/>
      <x:c r="D154" s="191"/>
      <x:c r="E154" s="191"/>
      <x:c r="F154" s="191"/>
      <x:c r="G154" s="191"/>
      <x:c r="H154" s="191"/>
      <x:c r="I154" s="191"/>
      <x:c r="J154" s="191"/>
      <x:c r="K154" s="191"/>
      <x:c r="L154" s="191"/>
      <x:c r="M154" s="191"/>
      <x:c r="N154" s="191"/>
      <x:c r="O154" s="191"/>
      <x:c r="P154" s="191"/>
      <x:c r="Q154" s="191"/>
      <x:c r="R154" s="191"/>
      <x:c r="S154" s="191"/>
      <x:c r="T154" s="191"/>
      <x:c r="U154" s="191"/>
      <x:c r="V154" s="191"/>
      <x:c r="W154" s="191"/>
      <x:c r="X154" s="191"/>
      <x:c r="Y154" s="191"/>
      <x:c r="Z154" s="191"/>
      <x:c r="AA154" s="191"/>
      <x:c r="AB154" s="191"/>
      <x:c r="AC154" s="191"/>
      <x:c r="AD154" s="191"/>
      <x:c r="AE154" s="191"/>
      <x:c r="AF154" s="191"/>
      <x:c r="AG154" s="191"/>
      <x:c r="AH154" s="191"/>
      <x:c r="AI154" s="191"/>
      <x:c r="AJ154" s="191"/>
      <x:c r="AK154" s="191"/>
    </x:row>
    <x:row r="155">
      <x:c r="A155" s="191"/>
      <x:c r="B155" s="191"/>
      <x:c r="C155" s="191"/>
      <x:c r="D155" s="191"/>
      <x:c r="E155" s="191"/>
      <x:c r="F155" s="191"/>
      <x:c r="G155" s="191"/>
      <x:c r="H155" s="191"/>
      <x:c r="I155" s="191"/>
      <x:c r="J155" s="191"/>
      <x:c r="K155" s="191"/>
      <x:c r="L155" s="191"/>
      <x:c r="M155" s="191"/>
      <x:c r="N155" s="191"/>
      <x:c r="O155" s="191"/>
      <x:c r="P155" s="191"/>
      <x:c r="Q155" s="191"/>
      <x:c r="R155" s="191"/>
      <x:c r="S155" s="191"/>
      <x:c r="T155" s="191"/>
      <x:c r="U155" s="191"/>
      <x:c r="V155" s="191"/>
      <x:c r="W155" s="191"/>
      <x:c r="X155" s="191"/>
      <x:c r="Y155" s="191"/>
      <x:c r="Z155" s="191"/>
      <x:c r="AA155" s="191"/>
      <x:c r="AB155" s="191"/>
      <x:c r="AC155" s="191"/>
      <x:c r="AD155" s="191"/>
      <x:c r="AE155" s="191"/>
      <x:c r="AF155" s="191"/>
      <x:c r="AG155" s="191"/>
      <x:c r="AH155" s="191"/>
      <x:c r="AI155" s="191"/>
      <x:c r="AJ155" s="191"/>
      <x:c r="AK155" s="191"/>
    </x:row>
    <x:row r="156">
      <x:c r="A156" s="191"/>
      <x:c r="B156" s="191"/>
      <x:c r="C156" s="191"/>
      <x:c r="D156" s="191"/>
      <x:c r="E156" s="191"/>
      <x:c r="F156" s="191"/>
      <x:c r="G156" s="191"/>
      <x:c r="H156" s="191"/>
      <x:c r="I156" s="191"/>
      <x:c r="J156" s="191"/>
      <x:c r="K156" s="191"/>
      <x:c r="L156" s="191"/>
      <x:c r="M156" s="191"/>
      <x:c r="N156" s="191"/>
      <x:c r="O156" s="191"/>
      <x:c r="P156" s="191"/>
      <x:c r="Q156" s="191"/>
      <x:c r="R156" s="191"/>
      <x:c r="S156" s="191"/>
      <x:c r="T156" s="191"/>
      <x:c r="U156" s="191"/>
      <x:c r="V156" s="191"/>
      <x:c r="W156" s="191"/>
      <x:c r="X156" s="191"/>
      <x:c r="Y156" s="191"/>
      <x:c r="Z156" s="191"/>
      <x:c r="AA156" s="191"/>
      <x:c r="AB156" s="191"/>
      <x:c r="AC156" s="191"/>
      <x:c r="AD156" s="191"/>
      <x:c r="AE156" s="191"/>
      <x:c r="AF156" s="191"/>
      <x:c r="AG156" s="191"/>
      <x:c r="AH156" s="191"/>
      <x:c r="AI156" s="191"/>
      <x:c r="AJ156" s="191"/>
      <x:c r="AK156" s="191"/>
    </x:row>
    <x:row r="157">
      <x:c r="A157" s="191"/>
      <x:c r="B157" s="191"/>
      <x:c r="C157" s="191"/>
      <x:c r="D157" s="191"/>
      <x:c r="E157" s="191"/>
      <x:c r="F157" s="191"/>
      <x:c r="G157" s="191"/>
      <x:c r="H157" s="191"/>
      <x:c r="I157" s="191"/>
      <x:c r="J157" s="191"/>
      <x:c r="K157" s="191"/>
      <x:c r="L157" s="191"/>
      <x:c r="M157" s="191"/>
      <x:c r="N157" s="191"/>
      <x:c r="O157" s="191"/>
      <x:c r="P157" s="191"/>
      <x:c r="Q157" s="191"/>
      <x:c r="R157" s="191"/>
      <x:c r="S157" s="191"/>
      <x:c r="T157" s="191"/>
      <x:c r="U157" s="191"/>
      <x:c r="V157" s="191"/>
      <x:c r="W157" s="191"/>
      <x:c r="X157" s="191"/>
      <x:c r="Y157" s="191"/>
      <x:c r="Z157" s="191"/>
      <x:c r="AA157" s="191"/>
      <x:c r="AB157" s="191"/>
      <x:c r="AC157" s="191"/>
      <x:c r="AD157" s="191"/>
      <x:c r="AE157" s="191"/>
      <x:c r="AF157" s="191"/>
      <x:c r="AG157" s="191"/>
      <x:c r="AH157" s="191"/>
      <x:c r="AI157" s="191"/>
      <x:c r="AJ157" s="191"/>
      <x:c r="AK157" s="191"/>
    </x:row>
    <x:row r="158">
      <x:c r="A158" s="191"/>
      <x:c r="B158" s="191"/>
      <x:c r="C158" s="191"/>
      <x:c r="D158" s="191"/>
      <x:c r="E158" s="191"/>
      <x:c r="F158" s="191"/>
      <x:c r="G158" s="191"/>
      <x:c r="H158" s="191"/>
      <x:c r="I158" s="191"/>
      <x:c r="J158" s="191"/>
      <x:c r="K158" s="191"/>
      <x:c r="L158" s="191"/>
      <x:c r="M158" s="191"/>
      <x:c r="N158" s="191"/>
      <x:c r="O158" s="191"/>
      <x:c r="P158" s="191"/>
      <x:c r="Q158" s="191"/>
      <x:c r="R158" s="191"/>
      <x:c r="S158" s="191"/>
      <x:c r="T158" s="191"/>
      <x:c r="U158" s="191"/>
      <x:c r="V158" s="191"/>
      <x:c r="W158" s="191"/>
      <x:c r="X158" s="191"/>
      <x:c r="Y158" s="191"/>
      <x:c r="Z158" s="191"/>
      <x:c r="AA158" s="191"/>
      <x:c r="AB158" s="191"/>
      <x:c r="AC158" s="191"/>
      <x:c r="AD158" s="191"/>
      <x:c r="AE158" s="191"/>
      <x:c r="AF158" s="191"/>
      <x:c r="AG158" s="191"/>
      <x:c r="AH158" s="191"/>
      <x:c r="AI158" s="191"/>
      <x:c r="AJ158" s="191"/>
      <x:c r="AK158" s="191"/>
    </x:row>
    <x:row r="159">
      <x:c r="A159" s="191"/>
      <x:c r="B159" s="191"/>
      <x:c r="C159" s="191"/>
      <x:c r="D159" s="191"/>
      <x:c r="E159" s="191"/>
      <x:c r="F159" s="191"/>
      <x:c r="G159" s="191"/>
      <x:c r="H159" s="191"/>
      <x:c r="I159" s="191"/>
      <x:c r="J159" s="191"/>
      <x:c r="K159" s="191"/>
      <x:c r="L159" s="191"/>
      <x:c r="M159" s="191"/>
      <x:c r="N159" s="191"/>
      <x:c r="O159" s="191"/>
      <x:c r="P159" s="191"/>
      <x:c r="Q159" s="191"/>
      <x:c r="R159" s="191"/>
      <x:c r="S159" s="191"/>
      <x:c r="T159" s="191"/>
      <x:c r="U159" s="191"/>
      <x:c r="V159" s="191"/>
      <x:c r="W159" s="191"/>
      <x:c r="X159" s="191"/>
      <x:c r="Y159" s="191"/>
      <x:c r="Z159" s="191"/>
      <x:c r="AA159" s="191"/>
      <x:c r="AB159" s="191"/>
      <x:c r="AC159" s="191"/>
      <x:c r="AD159" s="191"/>
      <x:c r="AE159" s="191"/>
      <x:c r="AF159" s="191"/>
      <x:c r="AG159" s="191"/>
      <x:c r="AH159" s="191"/>
      <x:c r="AI159" s="191"/>
      <x:c r="AJ159" s="191"/>
      <x:c r="AK159" s="191"/>
    </x:row>
    <x:row r="160">
      <x:c r="A160" s="191"/>
      <x:c r="B160" s="191"/>
      <x:c r="C160" s="191"/>
      <x:c r="D160" s="191"/>
      <x:c r="E160" s="191"/>
      <x:c r="F160" s="191"/>
      <x:c r="G160" s="191"/>
      <x:c r="H160" s="191"/>
      <x:c r="I160" s="191"/>
      <x:c r="J160" s="191"/>
      <x:c r="K160" s="191"/>
      <x:c r="L160" s="191"/>
      <x:c r="M160" s="191"/>
      <x:c r="N160" s="191"/>
      <x:c r="O160" s="191"/>
      <x:c r="P160" s="191"/>
      <x:c r="Q160" s="191"/>
      <x:c r="R160" s="191"/>
      <x:c r="S160" s="191"/>
      <x:c r="T160" s="191"/>
      <x:c r="U160" s="191"/>
      <x:c r="V160" s="191"/>
      <x:c r="W160" s="191"/>
      <x:c r="X160" s="191"/>
      <x:c r="Y160" s="191"/>
      <x:c r="Z160" s="191"/>
      <x:c r="AA160" s="191"/>
      <x:c r="AB160" s="191"/>
      <x:c r="AC160" s="191"/>
      <x:c r="AD160" s="191"/>
      <x:c r="AE160" s="191"/>
      <x:c r="AF160" s="191"/>
      <x:c r="AG160" s="191"/>
      <x:c r="AH160" s="191"/>
      <x:c r="AI160" s="191"/>
      <x:c r="AJ160" s="191"/>
      <x:c r="AK160" s="191"/>
    </x:row>
    <x:row r="161">
      <x:c r="A161" s="191"/>
      <x:c r="B161" s="191"/>
      <x:c r="C161" s="191"/>
      <x:c r="D161" s="191"/>
      <x:c r="E161" s="191"/>
      <x:c r="F161" s="191"/>
      <x:c r="G161" s="191"/>
      <x:c r="H161" s="191"/>
      <x:c r="I161" s="191"/>
      <x:c r="J161" s="191"/>
      <x:c r="K161" s="191"/>
      <x:c r="L161" s="191"/>
      <x:c r="M161" s="191"/>
      <x:c r="N161" s="191"/>
      <x:c r="O161" s="191"/>
      <x:c r="P161" s="191"/>
      <x:c r="Q161" s="191"/>
      <x:c r="R161" s="191"/>
      <x:c r="S161" s="191"/>
      <x:c r="T161" s="191"/>
      <x:c r="U161" s="191"/>
      <x:c r="V161" s="191"/>
      <x:c r="W161" s="191"/>
      <x:c r="X161" s="191"/>
      <x:c r="Y161" s="191"/>
      <x:c r="Z161" s="191"/>
      <x:c r="AA161" s="191"/>
      <x:c r="AB161" s="191"/>
      <x:c r="AC161" s="191"/>
      <x:c r="AD161" s="191"/>
      <x:c r="AE161" s="191"/>
      <x:c r="AF161" s="191"/>
      <x:c r="AG161" s="191"/>
      <x:c r="AH161" s="191"/>
      <x:c r="AI161" s="191"/>
      <x:c r="AJ161" s="191"/>
      <x:c r="AK161" s="191"/>
    </x:row>
    <x:row r="162">
      <x:c r="A162" s="191"/>
      <x:c r="B162" s="191"/>
      <x:c r="C162" s="191"/>
      <x:c r="D162" s="191"/>
      <x:c r="E162" s="191"/>
      <x:c r="F162" s="191"/>
      <x:c r="G162" s="191"/>
      <x:c r="H162" s="191"/>
      <x:c r="I162" s="191"/>
      <x:c r="J162" s="191"/>
      <x:c r="K162" s="191"/>
      <x:c r="L162" s="191"/>
      <x:c r="M162" s="191"/>
      <x:c r="N162" s="191"/>
      <x:c r="O162" s="191"/>
      <x:c r="P162" s="191"/>
      <x:c r="Q162" s="191"/>
      <x:c r="R162" s="191"/>
      <x:c r="S162" s="191"/>
      <x:c r="T162" s="191"/>
      <x:c r="U162" s="191"/>
      <x:c r="V162" s="191"/>
      <x:c r="W162" s="191"/>
      <x:c r="X162" s="191"/>
      <x:c r="Y162" s="191"/>
      <x:c r="Z162" s="191"/>
      <x:c r="AA162" s="191"/>
      <x:c r="AB162" s="191"/>
      <x:c r="AC162" s="191"/>
      <x:c r="AD162" s="191"/>
      <x:c r="AE162" s="191"/>
      <x:c r="AF162" s="191"/>
      <x:c r="AG162" s="191"/>
      <x:c r="AH162" s="191"/>
      <x:c r="AI162" s="191"/>
      <x:c r="AJ162" s="191"/>
      <x:c r="AK162" s="191"/>
    </x:row>
    <x:row r="163">
      <x:c r="A163" s="191"/>
      <x:c r="B163" s="191"/>
      <x:c r="C163" s="191"/>
      <x:c r="D163" s="191"/>
      <x:c r="E163" s="191"/>
      <x:c r="F163" s="191"/>
      <x:c r="G163" s="191"/>
      <x:c r="H163" s="191"/>
      <x:c r="I163" s="191"/>
      <x:c r="J163" s="191"/>
      <x:c r="K163" s="191"/>
      <x:c r="L163" s="191"/>
      <x:c r="M163" s="191"/>
      <x:c r="N163" s="191"/>
      <x:c r="O163" s="191"/>
      <x:c r="P163" s="191"/>
      <x:c r="Q163" s="191"/>
      <x:c r="R163" s="191"/>
      <x:c r="S163" s="191"/>
      <x:c r="T163" s="191"/>
      <x:c r="U163" s="191"/>
      <x:c r="V163" s="191"/>
      <x:c r="W163" s="191"/>
      <x:c r="X163" s="191"/>
      <x:c r="Y163" s="191"/>
      <x:c r="Z163" s="191"/>
      <x:c r="AA163" s="191"/>
      <x:c r="AB163" s="191"/>
      <x:c r="AC163" s="191"/>
      <x:c r="AD163" s="191"/>
      <x:c r="AE163" s="191"/>
      <x:c r="AF163" s="191"/>
      <x:c r="AG163" s="191"/>
      <x:c r="AH163" s="191"/>
      <x:c r="AI163" s="191"/>
      <x:c r="AJ163" s="191"/>
      <x:c r="AK163" s="191"/>
    </x:row>
    <x:row r="164">
      <x:c r="A164" s="191"/>
      <x:c r="B164" s="191"/>
      <x:c r="C164" s="191"/>
      <x:c r="D164" s="191"/>
      <x:c r="E164" s="191"/>
      <x:c r="F164" s="191"/>
      <x:c r="G164" s="191"/>
      <x:c r="H164" s="191"/>
      <x:c r="I164" s="191"/>
      <x:c r="J164" s="191"/>
      <x:c r="K164" s="191"/>
      <x:c r="L164" s="191"/>
      <x:c r="M164" s="191"/>
      <x:c r="N164" s="191"/>
      <x:c r="O164" s="191"/>
      <x:c r="P164" s="191"/>
      <x:c r="Q164" s="191"/>
      <x:c r="R164" s="191"/>
      <x:c r="S164" s="191"/>
      <x:c r="T164" s="191"/>
      <x:c r="U164" s="191"/>
      <x:c r="V164" s="191"/>
      <x:c r="W164" s="191"/>
      <x:c r="X164" s="191"/>
      <x:c r="Y164" s="191"/>
      <x:c r="Z164" s="191"/>
      <x:c r="AA164" s="191"/>
      <x:c r="AB164" s="191"/>
      <x:c r="AC164" s="191"/>
      <x:c r="AD164" s="191"/>
      <x:c r="AE164" s="191"/>
      <x:c r="AF164" s="191"/>
      <x:c r="AG164" s="191"/>
      <x:c r="AH164" s="191"/>
      <x:c r="AI164" s="191"/>
      <x:c r="AJ164" s="191"/>
      <x:c r="AK164" s="191"/>
    </x:row>
    <x:row r="165">
      <x:c r="A165" s="191"/>
      <x:c r="B165" s="191"/>
      <x:c r="C165" s="191"/>
      <x:c r="D165" s="191"/>
      <x:c r="E165" s="191"/>
      <x:c r="F165" s="191"/>
      <x:c r="G165" s="191"/>
      <x:c r="H165" s="191"/>
      <x:c r="I165" s="191"/>
      <x:c r="J165" s="191"/>
      <x:c r="K165" s="191"/>
      <x:c r="L165" s="191"/>
      <x:c r="M165" s="191"/>
      <x:c r="N165" s="191"/>
      <x:c r="O165" s="191"/>
      <x:c r="P165" s="191"/>
      <x:c r="Q165" s="191"/>
      <x:c r="R165" s="191"/>
      <x:c r="S165" s="191"/>
      <x:c r="T165" s="191"/>
      <x:c r="U165" s="191"/>
      <x:c r="V165" s="191"/>
      <x:c r="W165" s="191"/>
      <x:c r="X165" s="191"/>
      <x:c r="Y165" s="191"/>
      <x:c r="Z165" s="191"/>
      <x:c r="AA165" s="191"/>
      <x:c r="AB165" s="191"/>
      <x:c r="AC165" s="191"/>
      <x:c r="AD165" s="191"/>
      <x:c r="AE165" s="191"/>
      <x:c r="AF165" s="191"/>
      <x:c r="AG165" s="191"/>
      <x:c r="AH165" s="191"/>
      <x:c r="AI165" s="191"/>
      <x:c r="AJ165" s="191"/>
      <x:c r="AK165" s="191"/>
    </x:row>
    <x:row r="166">
      <x:c r="A166" s="191"/>
      <x:c r="B166" s="191"/>
      <x:c r="C166" s="191"/>
      <x:c r="D166" s="191"/>
      <x:c r="E166" s="191"/>
      <x:c r="F166" s="191"/>
      <x:c r="G166" s="191"/>
      <x:c r="H166" s="191"/>
      <x:c r="I166" s="191"/>
      <x:c r="J166" s="191"/>
      <x:c r="K166" s="191"/>
      <x:c r="L166" s="191"/>
      <x:c r="M166" s="191"/>
      <x:c r="N166" s="191"/>
      <x:c r="O166" s="191"/>
      <x:c r="P166" s="191"/>
      <x:c r="Q166" s="191"/>
      <x:c r="R166" s="191"/>
      <x:c r="S166" s="191"/>
      <x:c r="T166" s="191"/>
      <x:c r="U166" s="191"/>
      <x:c r="V166" s="191"/>
      <x:c r="W166" s="191"/>
      <x:c r="X166" s="191"/>
      <x:c r="Y166" s="191"/>
      <x:c r="Z166" s="191"/>
      <x:c r="AA166" s="191"/>
      <x:c r="AB166" s="191"/>
      <x:c r="AC166" s="191"/>
      <x:c r="AD166" s="191"/>
      <x:c r="AE166" s="191"/>
      <x:c r="AF166" s="191"/>
      <x:c r="AG166" s="191"/>
      <x:c r="AH166" s="191"/>
      <x:c r="AI166" s="191"/>
      <x:c r="AJ166" s="191"/>
      <x:c r="AK166" s="191"/>
    </x:row>
    <x:row r="167">
      <x:c r="A167" s="191"/>
      <x:c r="B167" s="191"/>
      <x:c r="C167" s="191"/>
      <x:c r="D167" s="191"/>
      <x:c r="E167" s="191"/>
      <x:c r="F167" s="191"/>
      <x:c r="G167" s="191"/>
      <x:c r="H167" s="191"/>
      <x:c r="I167" s="191"/>
      <x:c r="J167" s="191"/>
      <x:c r="K167" s="191"/>
      <x:c r="L167" s="191"/>
      <x:c r="M167" s="191"/>
      <x:c r="N167" s="191"/>
      <x:c r="O167" s="191"/>
      <x:c r="P167" s="191"/>
      <x:c r="Q167" s="191"/>
      <x:c r="R167" s="191"/>
      <x:c r="S167" s="191"/>
      <x:c r="T167" s="191"/>
      <x:c r="U167" s="191"/>
      <x:c r="V167" s="191"/>
      <x:c r="W167" s="191"/>
      <x:c r="X167" s="191"/>
      <x:c r="Y167" s="191"/>
      <x:c r="Z167" s="191"/>
      <x:c r="AA167" s="191"/>
      <x:c r="AB167" s="191"/>
      <x:c r="AC167" s="191"/>
      <x:c r="AD167" s="191"/>
      <x:c r="AE167" s="191"/>
      <x:c r="AF167" s="191"/>
      <x:c r="AG167" s="191"/>
      <x:c r="AH167" s="191"/>
      <x:c r="AI167" s="191"/>
      <x:c r="AJ167" s="191"/>
      <x:c r="AK167" s="191"/>
    </x:row>
    <x:row r="168">
      <x:c r="A168" s="191"/>
      <x:c r="B168" s="191"/>
      <x:c r="C168" s="191"/>
      <x:c r="D168" s="191"/>
      <x:c r="E168" s="191"/>
      <x:c r="F168" s="191"/>
      <x:c r="G168" s="191"/>
      <x:c r="H168" s="191"/>
      <x:c r="I168" s="191"/>
      <x:c r="J168" s="191"/>
      <x:c r="K168" s="191"/>
      <x:c r="L168" s="191"/>
      <x:c r="M168" s="191"/>
      <x:c r="N168" s="191"/>
      <x:c r="O168" s="191"/>
      <x:c r="P168" s="191"/>
      <x:c r="Q168" s="191"/>
      <x:c r="R168" s="191"/>
      <x:c r="S168" s="191"/>
      <x:c r="T168" s="191"/>
      <x:c r="U168" s="191"/>
      <x:c r="V168" s="191"/>
      <x:c r="W168" s="191"/>
      <x:c r="X168" s="191"/>
      <x:c r="Y168" s="191"/>
      <x:c r="Z168" s="191"/>
      <x:c r="AA168" s="191"/>
      <x:c r="AB168" s="191"/>
      <x:c r="AC168" s="191"/>
      <x:c r="AD168" s="191"/>
      <x:c r="AE168" s="191"/>
      <x:c r="AF168" s="191"/>
      <x:c r="AG168" s="191"/>
      <x:c r="AH168" s="191"/>
      <x:c r="AI168" s="191"/>
      <x:c r="AJ168" s="191"/>
      <x:c r="AK168" s="191"/>
    </x:row>
    <x:row r="169">
      <x:c r="A169" s="191"/>
      <x:c r="B169" s="191"/>
      <x:c r="C169" s="191"/>
      <x:c r="D169" s="191"/>
      <x:c r="E169" s="191"/>
      <x:c r="F169" s="191"/>
      <x:c r="G169" s="191"/>
      <x:c r="H169" s="191"/>
      <x:c r="I169" s="191"/>
      <x:c r="J169" s="191"/>
      <x:c r="K169" s="191"/>
      <x:c r="L169" s="191"/>
      <x:c r="M169" s="191"/>
      <x:c r="N169" s="191"/>
      <x:c r="O169" s="191"/>
      <x:c r="P169" s="191"/>
      <x:c r="Q169" s="191"/>
      <x:c r="R169" s="191"/>
      <x:c r="S169" s="191"/>
      <x:c r="T169" s="191"/>
      <x:c r="U169" s="191"/>
      <x:c r="V169" s="191"/>
      <x:c r="W169" s="191"/>
      <x:c r="X169" s="191"/>
      <x:c r="Y169" s="191"/>
      <x:c r="Z169" s="191"/>
      <x:c r="AA169" s="191"/>
      <x:c r="AB169" s="191"/>
      <x:c r="AC169" s="191"/>
      <x:c r="AD169" s="191"/>
      <x:c r="AE169" s="191"/>
      <x:c r="AF169" s="191"/>
      <x:c r="AG169" s="191"/>
      <x:c r="AH169" s="191"/>
      <x:c r="AI169" s="191"/>
      <x:c r="AJ169" s="191"/>
      <x:c r="AK169" s="191"/>
    </x:row>
    <x:row r="170">
      <x:c r="A170" s="191"/>
      <x:c r="B170" s="191"/>
      <x:c r="C170" s="191"/>
      <x:c r="D170" s="191"/>
      <x:c r="E170" s="191"/>
      <x:c r="F170" s="191"/>
      <x:c r="G170" s="191"/>
      <x:c r="H170" s="191"/>
      <x:c r="I170" s="191"/>
      <x:c r="J170" s="191"/>
      <x:c r="K170" s="191"/>
      <x:c r="L170" s="191"/>
      <x:c r="M170" s="191"/>
      <x:c r="N170" s="191"/>
      <x:c r="O170" s="191"/>
      <x:c r="P170" s="191"/>
      <x:c r="Q170" s="191"/>
      <x:c r="R170" s="191"/>
      <x:c r="S170" s="191"/>
      <x:c r="T170" s="191"/>
      <x:c r="U170" s="191"/>
      <x:c r="V170" s="191"/>
      <x:c r="W170" s="191"/>
      <x:c r="X170" s="191"/>
      <x:c r="Y170" s="191"/>
      <x:c r="Z170" s="191"/>
      <x:c r="AA170" s="191"/>
      <x:c r="AB170" s="191"/>
      <x:c r="AC170" s="191"/>
      <x:c r="AD170" s="191"/>
      <x:c r="AE170" s="191"/>
      <x:c r="AF170" s="191"/>
      <x:c r="AG170" s="191"/>
      <x:c r="AH170" s="191"/>
      <x:c r="AI170" s="191"/>
      <x:c r="AJ170" s="191"/>
      <x:c r="AK170" s="191"/>
    </x:row>
    <x:row r="171">
      <x:c r="A171" s="191"/>
      <x:c r="B171" s="191"/>
      <x:c r="C171" s="191"/>
      <x:c r="D171" s="191"/>
      <x:c r="E171" s="191"/>
      <x:c r="F171" s="191"/>
      <x:c r="G171" s="191"/>
      <x:c r="H171" s="191"/>
      <x:c r="I171" s="191"/>
      <x:c r="J171" s="191"/>
      <x:c r="K171" s="191"/>
      <x:c r="L171" s="191"/>
      <x:c r="M171" s="191"/>
      <x:c r="N171" s="191"/>
      <x:c r="O171" s="191"/>
      <x:c r="P171" s="191"/>
      <x:c r="Q171" s="191"/>
      <x:c r="R171" s="191"/>
      <x:c r="S171" s="191"/>
      <x:c r="T171" s="191"/>
      <x:c r="U171" s="191"/>
      <x:c r="V171" s="191"/>
      <x:c r="W171" s="191"/>
      <x:c r="X171" s="191"/>
      <x:c r="Y171" s="191"/>
      <x:c r="Z171" s="191"/>
      <x:c r="AA171" s="191"/>
      <x:c r="AB171" s="191"/>
      <x:c r="AC171" s="191"/>
      <x:c r="AD171" s="191"/>
      <x:c r="AE171" s="191"/>
      <x:c r="AF171" s="191"/>
      <x:c r="AG171" s="191"/>
      <x:c r="AH171" s="191"/>
      <x:c r="AI171" s="191"/>
      <x:c r="AJ171" s="191"/>
      <x:c r="AK171" s="191"/>
    </x:row>
    <x:row r="172">
      <x:c r="A172" s="191"/>
      <x:c r="B172" s="191"/>
      <x:c r="C172" s="191"/>
      <x:c r="D172" s="191"/>
      <x:c r="E172" s="191"/>
      <x:c r="F172" s="191"/>
      <x:c r="G172" s="191"/>
      <x:c r="H172" s="191"/>
      <x:c r="I172" s="191"/>
      <x:c r="J172" s="191"/>
      <x:c r="K172" s="191"/>
      <x:c r="L172" s="191"/>
      <x:c r="M172" s="191"/>
      <x:c r="N172" s="191"/>
      <x:c r="O172" s="191"/>
      <x:c r="P172" s="191"/>
      <x:c r="Q172" s="191"/>
      <x:c r="R172" s="191"/>
      <x:c r="S172" s="191"/>
      <x:c r="T172" s="191"/>
      <x:c r="U172" s="191"/>
      <x:c r="V172" s="191"/>
      <x:c r="W172" s="191"/>
      <x:c r="X172" s="191"/>
      <x:c r="Y172" s="191"/>
      <x:c r="Z172" s="191"/>
      <x:c r="AA172" s="191"/>
      <x:c r="AB172" s="191"/>
      <x:c r="AC172" s="191"/>
      <x:c r="AD172" s="191"/>
      <x:c r="AE172" s="191"/>
      <x:c r="AF172" s="191"/>
      <x:c r="AG172" s="191"/>
      <x:c r="AH172" s="191"/>
      <x:c r="AI172" s="191"/>
      <x:c r="AJ172" s="191"/>
      <x:c r="AK172" s="191"/>
    </x:row>
    <x:row r="173">
      <x:c r="A173" s="191"/>
      <x:c r="B173" s="191"/>
      <x:c r="C173" s="191"/>
      <x:c r="D173" s="191"/>
      <x:c r="E173" s="191"/>
      <x:c r="F173" s="191"/>
      <x:c r="G173" s="191"/>
      <x:c r="H173" s="191"/>
      <x:c r="I173" s="191"/>
      <x:c r="J173" s="191"/>
      <x:c r="K173" s="191"/>
      <x:c r="L173" s="191"/>
      <x:c r="M173" s="191"/>
      <x:c r="N173" s="191"/>
      <x:c r="O173" s="191"/>
      <x:c r="P173" s="191"/>
      <x:c r="Q173" s="191"/>
      <x:c r="R173" s="191"/>
      <x:c r="S173" s="191"/>
      <x:c r="T173" s="191"/>
      <x:c r="U173" s="191"/>
      <x:c r="V173" s="191"/>
      <x:c r="W173" s="191"/>
      <x:c r="X173" s="191"/>
      <x:c r="Y173" s="191"/>
      <x:c r="Z173" s="191"/>
      <x:c r="AA173" s="191"/>
      <x:c r="AB173" s="191"/>
      <x:c r="AC173" s="191"/>
      <x:c r="AD173" s="191"/>
      <x:c r="AE173" s="191"/>
      <x:c r="AF173" s="191"/>
      <x:c r="AG173" s="191"/>
      <x:c r="AH173" s="191"/>
      <x:c r="AI173" s="191"/>
      <x:c r="AJ173" s="191"/>
      <x:c r="AK173" s="191"/>
    </x:row>
    <x:row r="174">
      <x:c r="A174" s="191"/>
      <x:c r="B174" s="191"/>
      <x:c r="C174" s="191"/>
      <x:c r="D174" s="191"/>
      <x:c r="E174" s="191"/>
      <x:c r="F174" s="191"/>
      <x:c r="G174" s="191"/>
      <x:c r="H174" s="191"/>
      <x:c r="I174" s="191"/>
      <x:c r="J174" s="191"/>
      <x:c r="K174" s="191"/>
      <x:c r="L174" s="191"/>
      <x:c r="M174" s="191"/>
      <x:c r="N174" s="191"/>
      <x:c r="O174" s="191"/>
      <x:c r="P174" s="191"/>
      <x:c r="Q174" s="191"/>
      <x:c r="R174" s="191"/>
      <x:c r="S174" s="191"/>
      <x:c r="T174" s="191"/>
      <x:c r="U174" s="191"/>
      <x:c r="V174" s="191"/>
      <x:c r="W174" s="191"/>
      <x:c r="X174" s="191"/>
      <x:c r="Y174" s="191"/>
      <x:c r="Z174" s="191"/>
      <x:c r="AA174" s="191"/>
      <x:c r="AB174" s="191"/>
      <x:c r="AC174" s="191"/>
      <x:c r="AD174" s="191"/>
      <x:c r="AE174" s="191"/>
      <x:c r="AF174" s="191"/>
      <x:c r="AG174" s="191"/>
      <x:c r="AH174" s="191"/>
      <x:c r="AI174" s="191"/>
      <x:c r="AJ174" s="191"/>
      <x:c r="AK174" s="191"/>
    </x:row>
    <x:row r="175">
      <x:c r="A175" s="191"/>
      <x:c r="B175" s="191"/>
      <x:c r="C175" s="191"/>
      <x:c r="D175" s="191"/>
      <x:c r="E175" s="191"/>
      <x:c r="F175" s="191"/>
      <x:c r="G175" s="191"/>
      <x:c r="H175" s="191"/>
      <x:c r="I175" s="191"/>
      <x:c r="J175" s="191"/>
      <x:c r="K175" s="191"/>
      <x:c r="L175" s="191"/>
      <x:c r="M175" s="191"/>
      <x:c r="N175" s="191"/>
      <x:c r="O175" s="191"/>
      <x:c r="P175" s="191"/>
      <x:c r="Q175" s="191"/>
      <x:c r="R175" s="191"/>
      <x:c r="S175" s="191"/>
      <x:c r="T175" s="191"/>
      <x:c r="U175" s="191"/>
      <x:c r="V175" s="191"/>
      <x:c r="W175" s="191"/>
      <x:c r="X175" s="191"/>
      <x:c r="Y175" s="191"/>
      <x:c r="Z175" s="191"/>
      <x:c r="AA175" s="191"/>
      <x:c r="AB175" s="191"/>
      <x:c r="AC175" s="191"/>
      <x:c r="AD175" s="191"/>
      <x:c r="AE175" s="191"/>
      <x:c r="AF175" s="191"/>
      <x:c r="AG175" s="191"/>
      <x:c r="AH175" s="191"/>
      <x:c r="AI175" s="191"/>
      <x:c r="AJ175" s="191"/>
      <x:c r="AK175" s="191"/>
    </x:row>
    <x:row r="176">
      <x:c r="A176" s="191"/>
      <x:c r="B176" s="191"/>
      <x:c r="C176" s="191"/>
      <x:c r="D176" s="191"/>
      <x:c r="E176" s="191"/>
      <x:c r="F176" s="191"/>
      <x:c r="G176" s="191"/>
      <x:c r="H176" s="191"/>
      <x:c r="I176" s="191"/>
      <x:c r="J176" s="191"/>
      <x:c r="K176" s="191"/>
      <x:c r="L176" s="191"/>
      <x:c r="M176" s="191"/>
      <x:c r="N176" s="191"/>
      <x:c r="O176" s="191"/>
      <x:c r="P176" s="191"/>
      <x:c r="Q176" s="191"/>
      <x:c r="R176" s="191"/>
      <x:c r="S176" s="191"/>
      <x:c r="T176" s="191"/>
      <x:c r="U176" s="191"/>
      <x:c r="V176" s="191"/>
      <x:c r="W176" s="191"/>
      <x:c r="X176" s="191"/>
      <x:c r="Y176" s="191"/>
      <x:c r="Z176" s="191"/>
      <x:c r="AA176" s="191"/>
      <x:c r="AB176" s="191"/>
      <x:c r="AC176" s="191"/>
      <x:c r="AD176" s="191"/>
      <x:c r="AE176" s="191"/>
      <x:c r="AF176" s="191"/>
      <x:c r="AG176" s="191"/>
      <x:c r="AH176" s="191"/>
      <x:c r="AI176" s="191"/>
      <x:c r="AJ176" s="191"/>
      <x:c r="AK176" s="191"/>
    </x:row>
    <x:row r="177">
      <x:c r="A177" s="191"/>
      <x:c r="B177" s="191"/>
      <x:c r="C177" s="191"/>
      <x:c r="D177" s="191"/>
      <x:c r="E177" s="191"/>
      <x:c r="F177" s="191"/>
      <x:c r="G177" s="191"/>
      <x:c r="H177" s="191"/>
      <x:c r="I177" s="191"/>
      <x:c r="J177" s="191"/>
      <x:c r="K177" s="191"/>
      <x:c r="L177" s="191"/>
      <x:c r="M177" s="191"/>
      <x:c r="N177" s="191"/>
      <x:c r="O177" s="191"/>
      <x:c r="P177" s="191"/>
      <x:c r="Q177" s="191"/>
      <x:c r="R177" s="191"/>
      <x:c r="S177" s="191"/>
      <x:c r="T177" s="191"/>
      <x:c r="U177" s="191"/>
      <x:c r="V177" s="191"/>
      <x:c r="W177" s="191"/>
      <x:c r="X177" s="191"/>
      <x:c r="Y177" s="191"/>
      <x:c r="Z177" s="191"/>
      <x:c r="AA177" s="191"/>
      <x:c r="AB177" s="191"/>
      <x:c r="AC177" s="191"/>
      <x:c r="AD177" s="191"/>
      <x:c r="AE177" s="191"/>
      <x:c r="AF177" s="191"/>
      <x:c r="AG177" s="191"/>
      <x:c r="AH177" s="191"/>
      <x:c r="AI177" s="191"/>
      <x:c r="AJ177" s="191"/>
      <x:c r="AK177" s="191"/>
    </x:row>
    <x:row r="178">
      <x:c r="A178" s="191"/>
      <x:c r="B178" s="191"/>
      <x:c r="C178" s="191"/>
      <x:c r="D178" s="191"/>
      <x:c r="E178" s="191"/>
      <x:c r="F178" s="191"/>
      <x:c r="G178" s="191"/>
      <x:c r="H178" s="191"/>
      <x:c r="I178" s="191"/>
      <x:c r="J178" s="191"/>
      <x:c r="K178" s="191"/>
      <x:c r="L178" s="191"/>
      <x:c r="M178" s="191"/>
      <x:c r="N178" s="191"/>
      <x:c r="O178" s="191"/>
      <x:c r="P178" s="191"/>
      <x:c r="Q178" s="191"/>
      <x:c r="R178" s="191"/>
      <x:c r="S178" s="191"/>
      <x:c r="T178" s="191"/>
      <x:c r="U178" s="191"/>
      <x:c r="V178" s="191"/>
      <x:c r="W178" s="191"/>
      <x:c r="X178" s="191"/>
      <x:c r="Y178" s="191"/>
      <x:c r="Z178" s="191"/>
      <x:c r="AA178" s="191"/>
      <x:c r="AB178" s="191"/>
      <x:c r="AC178" s="191"/>
      <x:c r="AD178" s="191"/>
      <x:c r="AE178" s="191"/>
      <x:c r="AF178" s="191"/>
      <x:c r="AG178" s="191"/>
      <x:c r="AH178" s="191"/>
      <x:c r="AI178" s="191"/>
      <x:c r="AJ178" s="191"/>
      <x:c r="AK178" s="191"/>
    </x:row>
    <x:row r="179">
      <x:c r="A179" s="191"/>
      <x:c r="B179" s="191"/>
      <x:c r="C179" s="191"/>
      <x:c r="D179" s="191"/>
      <x:c r="E179" s="191"/>
      <x:c r="F179" s="191"/>
      <x:c r="G179" s="191"/>
      <x:c r="H179" s="191"/>
      <x:c r="I179" s="191"/>
      <x:c r="J179" s="191"/>
      <x:c r="K179" s="191"/>
      <x:c r="L179" s="191"/>
      <x:c r="M179" s="191"/>
      <x:c r="N179" s="191"/>
      <x:c r="O179" s="191"/>
      <x:c r="P179" s="191"/>
      <x:c r="Q179" s="191"/>
      <x:c r="R179" s="191"/>
      <x:c r="S179" s="191"/>
      <x:c r="T179" s="191"/>
      <x:c r="U179" s="191"/>
      <x:c r="V179" s="191"/>
      <x:c r="W179" s="191"/>
      <x:c r="X179" s="191"/>
      <x:c r="Y179" s="191"/>
      <x:c r="Z179" s="191"/>
      <x:c r="AA179" s="191"/>
      <x:c r="AB179" s="191"/>
      <x:c r="AC179" s="191"/>
      <x:c r="AD179" s="191"/>
      <x:c r="AE179" s="191"/>
      <x:c r="AF179" s="191"/>
      <x:c r="AG179" s="191"/>
      <x:c r="AH179" s="191"/>
      <x:c r="AI179" s="191"/>
      <x:c r="AJ179" s="191"/>
      <x:c r="AK179" s="191"/>
    </x:row>
    <x:row r="180">
      <x:c r="A180" s="191"/>
      <x:c r="B180" s="191"/>
      <x:c r="C180" s="191"/>
      <x:c r="D180" s="191"/>
      <x:c r="E180" s="191"/>
      <x:c r="F180" s="191"/>
      <x:c r="G180" s="191"/>
      <x:c r="H180" s="191"/>
      <x:c r="I180" s="191"/>
      <x:c r="J180" s="191"/>
      <x:c r="K180" s="191"/>
      <x:c r="L180" s="191"/>
      <x:c r="M180" s="191"/>
      <x:c r="N180" s="191"/>
      <x:c r="O180" s="191"/>
      <x:c r="P180" s="191"/>
      <x:c r="Q180" s="191"/>
      <x:c r="R180" s="191"/>
      <x:c r="S180" s="191"/>
      <x:c r="T180" s="191"/>
      <x:c r="U180" s="191"/>
      <x:c r="V180" s="191"/>
      <x:c r="W180" s="191"/>
      <x:c r="X180" s="191"/>
      <x:c r="Y180" s="191"/>
      <x:c r="Z180" s="191"/>
      <x:c r="AA180" s="191"/>
      <x:c r="AB180" s="191"/>
      <x:c r="AC180" s="191"/>
      <x:c r="AD180" s="191"/>
      <x:c r="AE180" s="191"/>
      <x:c r="AF180" s="191"/>
      <x:c r="AG180" s="191"/>
      <x:c r="AH180" s="191"/>
      <x:c r="AI180" s="191"/>
      <x:c r="AJ180" s="191"/>
      <x:c r="AK180" s="191"/>
    </x:row>
    <x:row r="181">
      <x:c r="A181" s="191"/>
      <x:c r="B181" s="191"/>
      <x:c r="C181" s="191"/>
      <x:c r="D181" s="191"/>
      <x:c r="E181" s="191"/>
      <x:c r="F181" s="191"/>
      <x:c r="G181" s="191"/>
      <x:c r="H181" s="191"/>
      <x:c r="I181" s="191"/>
      <x:c r="J181" s="191"/>
      <x:c r="K181" s="191"/>
      <x:c r="L181" s="191"/>
      <x:c r="M181" s="191"/>
      <x:c r="N181" s="191"/>
      <x:c r="O181" s="191"/>
      <x:c r="P181" s="191"/>
      <x:c r="Q181" s="191"/>
      <x:c r="R181" s="191"/>
      <x:c r="S181" s="191"/>
      <x:c r="T181" s="191"/>
      <x:c r="U181" s="191"/>
      <x:c r="V181" s="191"/>
      <x:c r="W181" s="191"/>
      <x:c r="X181" s="191"/>
      <x:c r="Y181" s="191"/>
      <x:c r="Z181" s="191"/>
      <x:c r="AA181" s="191"/>
      <x:c r="AB181" s="191"/>
      <x:c r="AC181" s="191"/>
      <x:c r="AD181" s="191"/>
      <x:c r="AE181" s="191"/>
      <x:c r="AF181" s="191"/>
      <x:c r="AG181" s="191"/>
      <x:c r="AH181" s="191"/>
      <x:c r="AI181" s="191"/>
      <x:c r="AJ181" s="191"/>
      <x:c r="AK181" s="191"/>
    </x:row>
    <x:row r="182">
      <x:c r="A182" s="191"/>
      <x:c r="B182" s="191"/>
      <x:c r="C182" s="191"/>
      <x:c r="D182" s="191"/>
      <x:c r="E182" s="191"/>
      <x:c r="F182" s="191"/>
      <x:c r="G182" s="191"/>
      <x:c r="H182" s="191"/>
      <x:c r="I182" s="191"/>
      <x:c r="J182" s="191"/>
      <x:c r="K182" s="191"/>
      <x:c r="L182" s="191"/>
      <x:c r="M182" s="191"/>
      <x:c r="N182" s="191"/>
      <x:c r="O182" s="191"/>
      <x:c r="P182" s="191"/>
      <x:c r="Q182" s="191"/>
      <x:c r="R182" s="191"/>
      <x:c r="S182" s="191"/>
      <x:c r="T182" s="191"/>
      <x:c r="U182" s="191"/>
      <x:c r="V182" s="191"/>
      <x:c r="W182" s="191"/>
      <x:c r="X182" s="191"/>
      <x:c r="Y182" s="191"/>
      <x:c r="Z182" s="191"/>
      <x:c r="AA182" s="191"/>
      <x:c r="AB182" s="191"/>
      <x:c r="AC182" s="191"/>
      <x:c r="AD182" s="191"/>
      <x:c r="AE182" s="191"/>
      <x:c r="AF182" s="191"/>
      <x:c r="AG182" s="191"/>
      <x:c r="AH182" s="191"/>
      <x:c r="AI182" s="191"/>
      <x:c r="AJ182" s="191"/>
      <x:c r="AK182" s="191"/>
    </x:row>
    <x:row r="183">
      <x:c r="A183" s="191"/>
      <x:c r="B183" s="191"/>
      <x:c r="C183" s="191"/>
      <x:c r="D183" s="191"/>
      <x:c r="E183" s="191"/>
      <x:c r="F183" s="191"/>
      <x:c r="G183" s="191"/>
      <x:c r="H183" s="191"/>
      <x:c r="I183" s="191"/>
      <x:c r="J183" s="191"/>
      <x:c r="K183" s="191"/>
      <x:c r="L183" s="191"/>
      <x:c r="M183" s="191"/>
      <x:c r="N183" s="191"/>
      <x:c r="O183" s="191"/>
      <x:c r="P183" s="191"/>
      <x:c r="Q183" s="191"/>
      <x:c r="R183" s="191"/>
      <x:c r="S183" s="191"/>
      <x:c r="T183" s="191"/>
      <x:c r="U183" s="191"/>
      <x:c r="V183" s="191"/>
      <x:c r="W183" s="191"/>
      <x:c r="X183" s="191"/>
      <x:c r="Y183" s="191"/>
      <x:c r="Z183" s="191"/>
      <x:c r="AA183" s="191"/>
      <x:c r="AB183" s="191"/>
      <x:c r="AC183" s="191"/>
      <x:c r="AD183" s="191"/>
      <x:c r="AE183" s="191"/>
      <x:c r="AF183" s="191"/>
      <x:c r="AG183" s="191"/>
      <x:c r="AH183" s="191"/>
      <x:c r="AI183" s="191"/>
      <x:c r="AJ183" s="191"/>
      <x:c r="AK183" s="191"/>
    </x:row>
    <x:row r="184">
      <x:c r="A184" s="191"/>
      <x:c r="B184" s="191"/>
      <x:c r="C184" s="191"/>
      <x:c r="D184" s="191"/>
      <x:c r="E184" s="191"/>
      <x:c r="F184" s="191"/>
      <x:c r="G184" s="191"/>
      <x:c r="H184" s="191"/>
      <x:c r="I184" s="191"/>
      <x:c r="J184" s="191"/>
      <x:c r="K184" s="191"/>
      <x:c r="L184" s="191"/>
      <x:c r="M184" s="191"/>
      <x:c r="N184" s="191"/>
      <x:c r="O184" s="191"/>
      <x:c r="P184" s="191"/>
      <x:c r="Q184" s="191"/>
      <x:c r="R184" s="191"/>
      <x:c r="S184" s="191"/>
      <x:c r="T184" s="191"/>
      <x:c r="U184" s="191"/>
      <x:c r="V184" s="191"/>
      <x:c r="W184" s="191"/>
      <x:c r="X184" s="191"/>
      <x:c r="Y184" s="191"/>
      <x:c r="Z184" s="191"/>
      <x:c r="AA184" s="191"/>
      <x:c r="AB184" s="191"/>
      <x:c r="AC184" s="191"/>
      <x:c r="AD184" s="191"/>
      <x:c r="AE184" s="191"/>
      <x:c r="AF184" s="191"/>
      <x:c r="AG184" s="191"/>
      <x:c r="AH184" s="191"/>
      <x:c r="AI184" s="191"/>
      <x:c r="AJ184" s="191"/>
      <x:c r="AK184" s="191"/>
    </x:row>
    <x:row r="185">
      <x:c r="A185" s="191"/>
      <x:c r="B185" s="191"/>
      <x:c r="C185" s="191"/>
      <x:c r="D185" s="191"/>
      <x:c r="E185" s="191"/>
      <x:c r="F185" s="191"/>
      <x:c r="G185" s="191"/>
      <x:c r="H185" s="191"/>
      <x:c r="I185" s="191"/>
      <x:c r="J185" s="191"/>
      <x:c r="K185" s="191"/>
      <x:c r="L185" s="191"/>
      <x:c r="M185" s="191"/>
      <x:c r="N185" s="191"/>
      <x:c r="O185" s="191"/>
      <x:c r="P185" s="191"/>
      <x:c r="Q185" s="191"/>
      <x:c r="R185" s="191"/>
      <x:c r="S185" s="191"/>
      <x:c r="T185" s="191"/>
      <x:c r="U185" s="191"/>
      <x:c r="V185" s="191"/>
      <x:c r="W185" s="191"/>
      <x:c r="X185" s="191"/>
      <x:c r="Y185" s="191"/>
      <x:c r="Z185" s="191"/>
      <x:c r="AA185" s="191"/>
      <x:c r="AB185" s="191"/>
      <x:c r="AC185" s="191"/>
      <x:c r="AD185" s="191"/>
      <x:c r="AE185" s="191"/>
      <x:c r="AF185" s="191"/>
      <x:c r="AG185" s="191"/>
      <x:c r="AH185" s="191"/>
      <x:c r="AI185" s="191"/>
      <x:c r="AJ185" s="191"/>
      <x:c r="AK185" s="191"/>
    </x:row>
    <x:row r="186">
      <x:c r="A186" s="191"/>
      <x:c r="B186" s="191"/>
      <x:c r="C186" s="191"/>
      <x:c r="D186" s="191"/>
      <x:c r="E186" s="191"/>
      <x:c r="F186" s="191"/>
      <x:c r="G186" s="191"/>
      <x:c r="H186" s="191"/>
      <x:c r="I186" s="191"/>
      <x:c r="J186" s="191"/>
      <x:c r="K186" s="191"/>
      <x:c r="L186" s="191"/>
      <x:c r="M186" s="191"/>
      <x:c r="N186" s="191"/>
      <x:c r="O186" s="191"/>
      <x:c r="P186" s="191"/>
      <x:c r="Q186" s="191"/>
      <x:c r="R186" s="191"/>
      <x:c r="S186" s="191"/>
      <x:c r="T186" s="191"/>
      <x:c r="U186" s="191"/>
      <x:c r="V186" s="191"/>
      <x:c r="W186" s="191"/>
      <x:c r="X186" s="191"/>
      <x:c r="Y186" s="191"/>
      <x:c r="Z186" s="191"/>
      <x:c r="AA186" s="191"/>
      <x:c r="AB186" s="191"/>
      <x:c r="AC186" s="191"/>
      <x:c r="AD186" s="191"/>
      <x:c r="AE186" s="191"/>
      <x:c r="AF186" s="191"/>
      <x:c r="AG186" s="191"/>
      <x:c r="AH186" s="191"/>
      <x:c r="AI186" s="191"/>
      <x:c r="AJ186" s="191"/>
      <x:c r="AK186" s="191"/>
    </x:row>
    <x:row r="187">
      <x:c r="A187" s="191"/>
      <x:c r="B187" s="191"/>
      <x:c r="C187" s="191"/>
      <x:c r="D187" s="191"/>
      <x:c r="E187" s="191"/>
      <x:c r="F187" s="191"/>
      <x:c r="G187" s="191"/>
      <x:c r="H187" s="191"/>
      <x:c r="I187" s="191"/>
      <x:c r="J187" s="191"/>
      <x:c r="K187" s="191"/>
      <x:c r="L187" s="191"/>
      <x:c r="M187" s="191"/>
      <x:c r="N187" s="191"/>
      <x:c r="O187" s="191"/>
      <x:c r="P187" s="191"/>
      <x:c r="Q187" s="191"/>
      <x:c r="R187" s="191"/>
      <x:c r="S187" s="191"/>
      <x:c r="T187" s="191"/>
      <x:c r="U187" s="191"/>
      <x:c r="V187" s="191"/>
      <x:c r="W187" s="191"/>
      <x:c r="X187" s="191"/>
      <x:c r="Y187" s="191"/>
      <x:c r="Z187" s="191"/>
      <x:c r="AA187" s="191"/>
      <x:c r="AB187" s="191"/>
      <x:c r="AC187" s="191"/>
      <x:c r="AD187" s="191"/>
      <x:c r="AE187" s="191"/>
      <x:c r="AF187" s="191"/>
      <x:c r="AG187" s="191"/>
      <x:c r="AH187" s="191"/>
      <x:c r="AI187" s="191"/>
      <x:c r="AJ187" s="191"/>
      <x:c r="AK187" s="191"/>
    </x:row>
    <x:row r="188">
      <x:c r="A188" s="191"/>
      <x:c r="B188" s="191"/>
      <x:c r="C188" s="191"/>
      <x:c r="D188" s="191"/>
      <x:c r="E188" s="191"/>
      <x:c r="F188" s="191"/>
      <x:c r="G188" s="191"/>
      <x:c r="H188" s="191"/>
      <x:c r="I188" s="191"/>
      <x:c r="J188" s="191"/>
      <x:c r="K188" s="191"/>
      <x:c r="L188" s="191"/>
      <x:c r="M188" s="191"/>
      <x:c r="N188" s="191"/>
      <x:c r="O188" s="191"/>
      <x:c r="P188" s="191"/>
      <x:c r="Q188" s="191"/>
      <x:c r="R188" s="191"/>
      <x:c r="S188" s="191"/>
      <x:c r="T188" s="191"/>
      <x:c r="U188" s="191"/>
      <x:c r="V188" s="191"/>
      <x:c r="W188" s="191"/>
      <x:c r="X188" s="191"/>
      <x:c r="Y188" s="191"/>
      <x:c r="Z188" s="191"/>
      <x:c r="AA188" s="191"/>
      <x:c r="AB188" s="191"/>
      <x:c r="AC188" s="191"/>
      <x:c r="AD188" s="191"/>
      <x:c r="AE188" s="191"/>
      <x:c r="AF188" s="191"/>
      <x:c r="AG188" s="191"/>
      <x:c r="AH188" s="191"/>
      <x:c r="AI188" s="191"/>
      <x:c r="AJ188" s="191"/>
      <x:c r="AK188" s="191"/>
    </x:row>
    <x:row r="189">
      <x:c r="A189" s="191"/>
      <x:c r="B189" s="191"/>
      <x:c r="C189" s="191"/>
      <x:c r="D189" s="191"/>
      <x:c r="E189" s="191"/>
      <x:c r="F189" s="191"/>
      <x:c r="G189" s="191"/>
      <x:c r="H189" s="191"/>
      <x:c r="I189" s="191"/>
      <x:c r="J189" s="191"/>
      <x:c r="K189" s="191"/>
      <x:c r="L189" s="191"/>
      <x:c r="M189" s="191"/>
      <x:c r="N189" s="191"/>
      <x:c r="O189" s="191"/>
      <x:c r="P189" s="191"/>
      <x:c r="Q189" s="191"/>
      <x:c r="R189" s="191"/>
      <x:c r="S189" s="191"/>
      <x:c r="T189" s="191"/>
      <x:c r="U189" s="191"/>
      <x:c r="V189" s="191"/>
      <x:c r="W189" s="191"/>
      <x:c r="X189" s="191"/>
      <x:c r="Y189" s="191"/>
      <x:c r="Z189" s="191"/>
      <x:c r="AA189" s="191"/>
      <x:c r="AB189" s="191"/>
      <x:c r="AC189" s="191"/>
      <x:c r="AD189" s="191"/>
      <x:c r="AE189" s="191"/>
      <x:c r="AF189" s="191"/>
      <x:c r="AG189" s="191"/>
      <x:c r="AH189" s="191"/>
      <x:c r="AI189" s="191"/>
      <x:c r="AJ189" s="191"/>
      <x:c r="AK189" s="191"/>
    </x:row>
    <x:row r="190">
      <x:c r="A190" s="191"/>
      <x:c r="B190" s="191"/>
      <x:c r="C190" s="191"/>
      <x:c r="D190" s="191"/>
      <x:c r="E190" s="191"/>
      <x:c r="F190" s="191"/>
      <x:c r="G190" s="191"/>
      <x:c r="H190" s="191"/>
      <x:c r="I190" s="191"/>
      <x:c r="J190" s="191"/>
      <x:c r="K190" s="191"/>
      <x:c r="L190" s="191"/>
      <x:c r="M190" s="191"/>
      <x:c r="N190" s="191"/>
      <x:c r="O190" s="191"/>
      <x:c r="P190" s="191"/>
      <x:c r="Q190" s="191"/>
      <x:c r="R190" s="191"/>
      <x:c r="S190" s="191"/>
      <x:c r="T190" s="191"/>
      <x:c r="U190" s="191"/>
      <x:c r="V190" s="191"/>
      <x:c r="W190" s="191"/>
      <x:c r="X190" s="191"/>
      <x:c r="Y190" s="191"/>
      <x:c r="Z190" s="191"/>
      <x:c r="AA190" s="191"/>
      <x:c r="AB190" s="191"/>
      <x:c r="AC190" s="191"/>
      <x:c r="AD190" s="191"/>
      <x:c r="AE190" s="191"/>
      <x:c r="AF190" s="191"/>
      <x:c r="AG190" s="191"/>
      <x:c r="AH190" s="191"/>
      <x:c r="AI190" s="191"/>
      <x:c r="AJ190" s="191"/>
      <x:c r="AK190" s="191"/>
    </x:row>
    <x:row r="191">
      <x:c r="A191" s="191"/>
      <x:c r="B191" s="191"/>
      <x:c r="C191" s="191"/>
      <x:c r="D191" s="191"/>
      <x:c r="E191" s="191"/>
      <x:c r="F191" s="191"/>
      <x:c r="G191" s="191"/>
      <x:c r="H191" s="191"/>
      <x:c r="I191" s="191"/>
      <x:c r="J191" s="191"/>
      <x:c r="K191" s="191"/>
      <x:c r="L191" s="191"/>
      <x:c r="M191" s="191"/>
      <x:c r="N191" s="191"/>
      <x:c r="O191" s="191"/>
      <x:c r="P191" s="191"/>
      <x:c r="Q191" s="191"/>
      <x:c r="R191" s="191"/>
      <x:c r="S191" s="191"/>
      <x:c r="T191" s="191"/>
      <x:c r="U191" s="191"/>
      <x:c r="V191" s="191"/>
      <x:c r="W191" s="191"/>
      <x:c r="X191" s="191"/>
      <x:c r="Y191" s="191"/>
      <x:c r="Z191" s="191"/>
      <x:c r="AA191" s="191"/>
      <x:c r="AB191" s="191"/>
      <x:c r="AC191" s="191"/>
      <x:c r="AD191" s="191"/>
      <x:c r="AE191" s="191"/>
      <x:c r="AF191" s="191"/>
      <x:c r="AG191" s="191"/>
      <x:c r="AH191" s="191"/>
      <x:c r="AI191" s="191"/>
      <x:c r="AJ191" s="191"/>
      <x:c r="AK191" s="191"/>
    </x:row>
    <x:row r="192">
      <x:c r="A192" s="191"/>
      <x:c r="B192" s="191"/>
      <x:c r="C192" s="191"/>
      <x:c r="D192" s="191"/>
      <x:c r="E192" s="191"/>
      <x:c r="F192" s="191"/>
      <x:c r="G192" s="191"/>
      <x:c r="H192" s="191"/>
      <x:c r="I192" s="191"/>
      <x:c r="J192" s="191"/>
      <x:c r="K192" s="191"/>
      <x:c r="L192" s="191"/>
      <x:c r="M192" s="191"/>
      <x:c r="N192" s="191"/>
      <x:c r="O192" s="191"/>
      <x:c r="P192" s="191"/>
      <x:c r="Q192" s="191"/>
      <x:c r="R192" s="191"/>
      <x:c r="S192" s="191"/>
      <x:c r="T192" s="191"/>
      <x:c r="U192" s="191"/>
      <x:c r="V192" s="191"/>
      <x:c r="W192" s="191"/>
      <x:c r="X192" s="191"/>
      <x:c r="Y192" s="191"/>
      <x:c r="Z192" s="191"/>
      <x:c r="AA192" s="191"/>
      <x:c r="AB192" s="191"/>
      <x:c r="AC192" s="191"/>
      <x:c r="AD192" s="191"/>
      <x:c r="AE192" s="191"/>
      <x:c r="AF192" s="191"/>
      <x:c r="AG192" s="191"/>
      <x:c r="AH192" s="191"/>
      <x:c r="AI192" s="191"/>
      <x:c r="AJ192" s="191"/>
      <x:c r="AK192" s="191"/>
    </x:row>
    <x:row r="193">
      <x:c r="A193" s="191"/>
      <x:c r="B193" s="191"/>
      <x:c r="C193" s="191"/>
      <x:c r="D193" s="191"/>
      <x:c r="E193" s="191"/>
      <x:c r="F193" s="191"/>
      <x:c r="G193" s="191"/>
      <x:c r="H193" s="191"/>
      <x:c r="I193" s="191"/>
      <x:c r="J193" s="191"/>
      <x:c r="K193" s="191"/>
      <x:c r="L193" s="191"/>
      <x:c r="M193" s="191"/>
      <x:c r="N193" s="191"/>
      <x:c r="O193" s="191"/>
      <x:c r="P193" s="191"/>
      <x:c r="Q193" s="191"/>
      <x:c r="R193" s="191"/>
      <x:c r="S193" s="191"/>
      <x:c r="T193" s="191"/>
      <x:c r="U193" s="191"/>
      <x:c r="V193" s="191"/>
      <x:c r="W193" s="191"/>
      <x:c r="X193" s="191"/>
      <x:c r="Y193" s="191"/>
      <x:c r="Z193" s="191"/>
      <x:c r="AA193" s="191"/>
      <x:c r="AB193" s="191"/>
      <x:c r="AC193" s="191"/>
      <x:c r="AD193" s="191"/>
      <x:c r="AE193" s="191"/>
      <x:c r="AF193" s="191"/>
      <x:c r="AG193" s="191"/>
      <x:c r="AH193" s="191"/>
      <x:c r="AI193" s="191"/>
      <x:c r="AJ193" s="191"/>
      <x:c r="AK193" s="191"/>
    </x:row>
    <x:row r="194">
      <x:c r="A194" s="191"/>
      <x:c r="B194" s="191"/>
      <x:c r="C194" s="191"/>
      <x:c r="D194" s="191"/>
      <x:c r="E194" s="191"/>
      <x:c r="F194" s="191"/>
      <x:c r="G194" s="191"/>
      <x:c r="H194" s="191"/>
      <x:c r="I194" s="191"/>
      <x:c r="J194" s="191"/>
      <x:c r="K194" s="191"/>
      <x:c r="L194" s="191"/>
      <x:c r="M194" s="191"/>
      <x:c r="N194" s="191"/>
      <x:c r="O194" s="191"/>
      <x:c r="P194" s="191"/>
      <x:c r="Q194" s="191"/>
      <x:c r="R194" s="191"/>
      <x:c r="S194" s="191"/>
      <x:c r="T194" s="191"/>
      <x:c r="U194" s="191"/>
      <x:c r="V194" s="191"/>
      <x:c r="W194" s="191"/>
      <x:c r="X194" s="191"/>
      <x:c r="Y194" s="191"/>
      <x:c r="Z194" s="191"/>
      <x:c r="AA194" s="191"/>
      <x:c r="AB194" s="191"/>
      <x:c r="AC194" s="191"/>
      <x:c r="AD194" s="191"/>
      <x:c r="AE194" s="191"/>
      <x:c r="AF194" s="191"/>
      <x:c r="AG194" s="191"/>
      <x:c r="AH194" s="191"/>
      <x:c r="AI194" s="191"/>
      <x:c r="AJ194" s="191"/>
      <x:c r="AK194" s="191"/>
    </x:row>
    <x:row r="195">
      <x:c r="A195" s="191"/>
      <x:c r="B195" s="191"/>
      <x:c r="C195" s="191"/>
      <x:c r="D195" s="191"/>
      <x:c r="E195" s="191"/>
      <x:c r="F195" s="191"/>
      <x:c r="G195" s="191"/>
      <x:c r="H195" s="191"/>
      <x:c r="I195" s="191"/>
      <x:c r="J195" s="191"/>
      <x:c r="K195" s="191"/>
      <x:c r="L195" s="191"/>
      <x:c r="M195" s="191"/>
      <x:c r="N195" s="191"/>
      <x:c r="O195" s="191"/>
      <x:c r="P195" s="191"/>
      <x:c r="Q195" s="191"/>
      <x:c r="R195" s="191"/>
      <x:c r="S195" s="191"/>
      <x:c r="T195" s="191"/>
      <x:c r="U195" s="191"/>
      <x:c r="V195" s="191"/>
      <x:c r="W195" s="191"/>
      <x:c r="X195" s="191"/>
      <x:c r="Y195" s="191"/>
      <x:c r="Z195" s="191"/>
      <x:c r="AA195" s="191"/>
      <x:c r="AB195" s="191"/>
      <x:c r="AC195" s="191"/>
      <x:c r="AD195" s="191"/>
      <x:c r="AE195" s="191"/>
      <x:c r="AF195" s="191"/>
      <x:c r="AG195" s="191"/>
      <x:c r="AH195" s="191"/>
      <x:c r="AI195" s="191"/>
      <x:c r="AJ195" s="191"/>
      <x:c r="AK195" s="191"/>
    </x:row>
    <x:row r="196">
      <x:c r="A196" s="191"/>
      <x:c r="B196" s="191"/>
      <x:c r="C196" s="191"/>
      <x:c r="D196" s="191"/>
      <x:c r="E196" s="191"/>
      <x:c r="F196" s="191"/>
      <x:c r="G196" s="191"/>
      <x:c r="H196" s="191"/>
      <x:c r="I196" s="191"/>
      <x:c r="J196" s="191"/>
      <x:c r="K196" s="191"/>
      <x:c r="L196" s="191"/>
      <x:c r="M196" s="191"/>
      <x:c r="N196" s="191"/>
      <x:c r="O196" s="191"/>
      <x:c r="P196" s="191"/>
      <x:c r="Q196" s="191"/>
      <x:c r="R196" s="191"/>
      <x:c r="S196" s="191"/>
      <x:c r="T196" s="191"/>
      <x:c r="U196" s="191"/>
      <x:c r="V196" s="191"/>
      <x:c r="W196" s="191"/>
      <x:c r="X196" s="191"/>
      <x:c r="Y196" s="191"/>
      <x:c r="Z196" s="191"/>
      <x:c r="AA196" s="191"/>
      <x:c r="AB196" s="191"/>
      <x:c r="AC196" s="191"/>
      <x:c r="AD196" s="191"/>
      <x:c r="AE196" s="191"/>
      <x:c r="AF196" s="191"/>
      <x:c r="AG196" s="191"/>
      <x:c r="AH196" s="191"/>
      <x:c r="AI196" s="191"/>
      <x:c r="AJ196" s="191"/>
      <x:c r="AK196" s="191"/>
    </x:row>
    <x:row r="197">
      <x:c r="A197" s="191"/>
      <x:c r="B197" s="191"/>
      <x:c r="C197" s="191"/>
      <x:c r="D197" s="191"/>
      <x:c r="E197" s="191"/>
      <x:c r="F197" s="191"/>
      <x:c r="G197" s="191"/>
      <x:c r="H197" s="191"/>
      <x:c r="I197" s="191"/>
      <x:c r="J197" s="191"/>
      <x:c r="K197" s="191"/>
      <x:c r="L197" s="191"/>
      <x:c r="M197" s="191"/>
      <x:c r="N197" s="191"/>
      <x:c r="O197" s="191"/>
      <x:c r="P197" s="191"/>
      <x:c r="Q197" s="191"/>
      <x:c r="R197" s="191"/>
      <x:c r="S197" s="191"/>
      <x:c r="T197" s="191"/>
      <x:c r="U197" s="191"/>
      <x:c r="V197" s="191"/>
      <x:c r="W197" s="191"/>
      <x:c r="X197" s="191"/>
      <x:c r="Y197" s="191"/>
      <x:c r="Z197" s="191"/>
      <x:c r="AA197" s="191"/>
      <x:c r="AB197" s="191"/>
      <x:c r="AC197" s="191"/>
      <x:c r="AD197" s="191"/>
      <x:c r="AE197" s="191"/>
      <x:c r="AF197" s="191"/>
      <x:c r="AG197" s="191"/>
      <x:c r="AH197" s="191"/>
      <x:c r="AI197" s="191"/>
      <x:c r="AJ197" s="191"/>
      <x:c r="AK197" s="191"/>
    </x:row>
    <x:row r="198">
      <x:c r="A198" s="191"/>
      <x:c r="B198" s="191"/>
      <x:c r="C198" s="191"/>
      <x:c r="D198" s="191"/>
      <x:c r="E198" s="191"/>
      <x:c r="F198" s="191"/>
      <x:c r="G198" s="191"/>
      <x:c r="H198" s="191"/>
      <x:c r="I198" s="191"/>
      <x:c r="J198" s="191"/>
      <x:c r="K198" s="191"/>
      <x:c r="L198" s="191"/>
      <x:c r="M198" s="191"/>
      <x:c r="N198" s="191"/>
      <x:c r="O198" s="191"/>
      <x:c r="P198" s="191"/>
      <x:c r="Q198" s="191"/>
      <x:c r="R198" s="191"/>
      <x:c r="S198" s="191"/>
      <x:c r="T198" s="191"/>
      <x:c r="U198" s="191"/>
      <x:c r="V198" s="191"/>
      <x:c r="W198" s="191"/>
      <x:c r="X198" s="191"/>
      <x:c r="Y198" s="191"/>
      <x:c r="Z198" s="191"/>
      <x:c r="AA198" s="191"/>
      <x:c r="AB198" s="191"/>
      <x:c r="AC198" s="191"/>
      <x:c r="AD198" s="191"/>
      <x:c r="AE198" s="191"/>
      <x:c r="AF198" s="191"/>
      <x:c r="AG198" s="191"/>
      <x:c r="AH198" s="191"/>
      <x:c r="AI198" s="191"/>
      <x:c r="AJ198" s="191"/>
      <x:c r="AK198" s="191"/>
    </x:row>
    <x:row r="199">
      <x:c r="A199" s="191"/>
      <x:c r="B199" s="191"/>
      <x:c r="C199" s="191"/>
      <x:c r="D199" s="191"/>
      <x:c r="E199" s="191"/>
      <x:c r="F199" s="191"/>
      <x:c r="G199" s="191"/>
      <x:c r="H199" s="191"/>
      <x:c r="I199" s="191"/>
      <x:c r="J199" s="191"/>
      <x:c r="K199" s="191"/>
      <x:c r="L199" s="191"/>
      <x:c r="M199" s="191"/>
      <x:c r="N199" s="191"/>
      <x:c r="O199" s="191"/>
      <x:c r="P199" s="191"/>
      <x:c r="Q199" s="191"/>
      <x:c r="R199" s="191"/>
      <x:c r="S199" s="191"/>
      <x:c r="T199" s="191"/>
      <x:c r="U199" s="191"/>
      <x:c r="V199" s="191"/>
      <x:c r="W199" s="191"/>
      <x:c r="X199" s="191"/>
      <x:c r="Y199" s="191"/>
      <x:c r="Z199" s="191"/>
      <x:c r="AA199" s="191"/>
      <x:c r="AB199" s="191"/>
      <x:c r="AC199" s="191"/>
      <x:c r="AD199" s="191"/>
      <x:c r="AE199" s="191"/>
      <x:c r="AF199" s="191"/>
      <x:c r="AG199" s="191"/>
      <x:c r="AH199" s="191"/>
      <x:c r="AI199" s="191"/>
      <x:c r="AJ199" s="191"/>
      <x:c r="AK199" s="191"/>
    </x:row>
    <x:row r="200">
      <x:c r="A200" s="191"/>
      <x:c r="B200" s="191"/>
      <x:c r="C200" s="191"/>
      <x:c r="D200" s="191"/>
      <x:c r="E200" s="191"/>
      <x:c r="F200" s="191"/>
      <x:c r="G200" s="191"/>
      <x:c r="H200" s="191"/>
      <x:c r="I200" s="191"/>
      <x:c r="J200" s="191"/>
      <x:c r="K200" s="191"/>
      <x:c r="L200" s="191"/>
      <x:c r="M200" s="191"/>
      <x:c r="N200" s="191"/>
      <x:c r="O200" s="191"/>
      <x:c r="P200" s="191"/>
      <x:c r="Q200" s="191"/>
      <x:c r="R200" s="191"/>
      <x:c r="S200" s="191"/>
      <x:c r="T200" s="191"/>
      <x:c r="U200" s="191"/>
      <x:c r="V200" s="191"/>
      <x:c r="W200" s="191"/>
      <x:c r="X200" s="191"/>
      <x:c r="Y200" s="191"/>
      <x:c r="Z200" s="191"/>
      <x:c r="AA200" s="191"/>
      <x:c r="AB200" s="191"/>
      <x:c r="AC200" s="191"/>
      <x:c r="AD200" s="191"/>
      <x:c r="AE200" s="191"/>
      <x:c r="AF200" s="191"/>
      <x:c r="AG200" s="191"/>
      <x:c r="AH200" s="191"/>
      <x:c r="AI200" s="191"/>
      <x:c r="AJ200" s="191"/>
      <x:c r="AK200" s="191"/>
    </x:row>
    <x:row r="201">
      <x:c r="A201" s="191"/>
      <x:c r="B201" s="191"/>
      <x:c r="C201" s="191"/>
      <x:c r="D201" s="191"/>
      <x:c r="E201" s="191"/>
      <x:c r="F201" s="191"/>
      <x:c r="G201" s="191"/>
      <x:c r="H201" s="191"/>
      <x:c r="I201" s="191"/>
      <x:c r="J201" s="191"/>
      <x:c r="K201" s="191"/>
      <x:c r="L201" s="191"/>
      <x:c r="M201" s="191"/>
      <x:c r="N201" s="191"/>
      <x:c r="O201" s="191"/>
      <x:c r="P201" s="191"/>
      <x:c r="Q201" s="191"/>
      <x:c r="R201" s="191"/>
      <x:c r="S201" s="191"/>
      <x:c r="T201" s="191"/>
      <x:c r="U201" s="191"/>
      <x:c r="V201" s="191"/>
      <x:c r="W201" s="191"/>
      <x:c r="X201" s="191"/>
      <x:c r="Y201" s="191"/>
      <x:c r="Z201" s="191"/>
      <x:c r="AA201" s="191"/>
      <x:c r="AB201" s="191"/>
      <x:c r="AC201" s="191"/>
      <x:c r="AD201" s="191"/>
      <x:c r="AE201" s="191"/>
      <x:c r="AF201" s="191"/>
      <x:c r="AG201" s="191"/>
      <x:c r="AH201" s="191"/>
      <x:c r="AI201" s="191"/>
      <x:c r="AJ201" s="191"/>
      <x:c r="AK201" s="191"/>
    </x:row>
    <x:row r="202">
      <x:c r="A202" s="191"/>
      <x:c r="B202" s="191"/>
      <x:c r="C202" s="191"/>
      <x:c r="D202" s="191"/>
      <x:c r="E202" s="191"/>
      <x:c r="F202" s="191"/>
      <x:c r="G202" s="191"/>
      <x:c r="H202" s="191"/>
      <x:c r="I202" s="191"/>
      <x:c r="J202" s="191"/>
      <x:c r="K202" s="191"/>
      <x:c r="L202" s="191"/>
      <x:c r="M202" s="191"/>
      <x:c r="N202" s="191"/>
      <x:c r="O202" s="191"/>
      <x:c r="P202" s="191"/>
      <x:c r="Q202" s="191"/>
      <x:c r="R202" s="191"/>
      <x:c r="S202" s="191"/>
      <x:c r="T202" s="191"/>
      <x:c r="U202" s="191"/>
      <x:c r="V202" s="191"/>
      <x:c r="W202" s="191"/>
      <x:c r="X202" s="191"/>
      <x:c r="Y202" s="191"/>
      <x:c r="Z202" s="191"/>
      <x:c r="AA202" s="191"/>
      <x:c r="AB202" s="191"/>
      <x:c r="AC202" s="191"/>
      <x:c r="AD202" s="191"/>
      <x:c r="AE202" s="191"/>
      <x:c r="AF202" s="191"/>
      <x:c r="AG202" s="191"/>
      <x:c r="AH202" s="191"/>
      <x:c r="AI202" s="191"/>
      <x:c r="AJ202" s="191"/>
      <x:c r="AK202" s="191"/>
    </x:row>
    <x:row r="203">
      <x:c r="A203" s="191"/>
      <x:c r="B203" s="191"/>
      <x:c r="C203" s="191"/>
      <x:c r="D203" s="191"/>
      <x:c r="E203" s="191"/>
      <x:c r="F203" s="191"/>
      <x:c r="G203" s="191"/>
      <x:c r="H203" s="191"/>
      <x:c r="I203" s="191"/>
      <x:c r="J203" s="191"/>
      <x:c r="K203" s="191"/>
      <x:c r="L203" s="191"/>
      <x:c r="M203" s="191"/>
      <x:c r="N203" s="191"/>
      <x:c r="O203" s="191"/>
      <x:c r="P203" s="191"/>
      <x:c r="Q203" s="191"/>
      <x:c r="R203" s="191"/>
      <x:c r="S203" s="191"/>
      <x:c r="T203" s="191"/>
      <x:c r="U203" s="191"/>
      <x:c r="V203" s="191"/>
      <x:c r="W203" s="191"/>
      <x:c r="X203" s="191"/>
      <x:c r="Y203" s="191"/>
      <x:c r="Z203" s="191"/>
      <x:c r="AA203" s="191"/>
      <x:c r="AB203" s="191"/>
      <x:c r="AC203" s="191"/>
      <x:c r="AD203" s="191"/>
      <x:c r="AE203" s="191"/>
      <x:c r="AF203" s="191"/>
      <x:c r="AG203" s="191"/>
      <x:c r="AH203" s="191"/>
      <x:c r="AI203" s="191"/>
      <x:c r="AJ203" s="191"/>
      <x:c r="AK203" s="191"/>
    </x:row>
    <x:row r="204">
      <x:c r="A204" s="191"/>
      <x:c r="B204" s="191"/>
      <x:c r="C204" s="191"/>
      <x:c r="D204" s="191"/>
      <x:c r="E204" s="191"/>
      <x:c r="F204" s="191"/>
      <x:c r="G204" s="191"/>
      <x:c r="H204" s="191"/>
      <x:c r="I204" s="191"/>
      <x:c r="J204" s="191"/>
      <x:c r="K204" s="191"/>
      <x:c r="L204" s="191"/>
      <x:c r="M204" s="191"/>
      <x:c r="N204" s="191"/>
      <x:c r="O204" s="191"/>
      <x:c r="P204" s="191"/>
      <x:c r="Q204" s="191"/>
      <x:c r="R204" s="191"/>
      <x:c r="S204" s="191"/>
      <x:c r="T204" s="191"/>
      <x:c r="U204" s="191"/>
      <x:c r="V204" s="191"/>
      <x:c r="W204" s="191"/>
      <x:c r="X204" s="191"/>
      <x:c r="Y204" s="191"/>
      <x:c r="Z204" s="191"/>
      <x:c r="AA204" s="191"/>
      <x:c r="AB204" s="191"/>
      <x:c r="AC204" s="191"/>
      <x:c r="AD204" s="191"/>
      <x:c r="AE204" s="191"/>
      <x:c r="AF204" s="191"/>
      <x:c r="AG204" s="191"/>
      <x:c r="AH204" s="191"/>
      <x:c r="AI204" s="191"/>
      <x:c r="AJ204" s="191"/>
      <x:c r="AK204" s="191"/>
    </x:row>
    <x:row r="205">
      <x:c r="A205" s="191"/>
      <x:c r="B205" s="191"/>
      <x:c r="C205" s="191"/>
      <x:c r="D205" s="191"/>
      <x:c r="E205" s="191"/>
      <x:c r="F205" s="191"/>
      <x:c r="G205" s="191"/>
      <x:c r="H205" s="191"/>
      <x:c r="I205" s="191"/>
      <x:c r="J205" s="191"/>
      <x:c r="K205" s="191"/>
      <x:c r="L205" s="191"/>
      <x:c r="M205" s="191"/>
      <x:c r="N205" s="191"/>
      <x:c r="O205" s="191"/>
      <x:c r="P205" s="191"/>
      <x:c r="Q205" s="191"/>
      <x:c r="R205" s="191"/>
      <x:c r="S205" s="191"/>
      <x:c r="T205" s="191"/>
      <x:c r="U205" s="191"/>
      <x:c r="V205" s="191"/>
      <x:c r="W205" s="191"/>
      <x:c r="X205" s="191"/>
      <x:c r="Y205" s="191"/>
      <x:c r="Z205" s="191"/>
      <x:c r="AA205" s="191"/>
      <x:c r="AB205" s="191"/>
      <x:c r="AC205" s="191"/>
      <x:c r="AD205" s="191"/>
      <x:c r="AE205" s="191"/>
      <x:c r="AF205" s="191"/>
      <x:c r="AG205" s="191"/>
      <x:c r="AH205" s="191"/>
      <x:c r="AI205" s="191"/>
      <x:c r="AJ205" s="191"/>
      <x:c r="AK205" s="191"/>
    </x:row>
    <x:row r="206">
      <x:c r="A206" s="191"/>
      <x:c r="B206" s="191"/>
      <x:c r="C206" s="191"/>
      <x:c r="D206" s="191"/>
      <x:c r="E206" s="191"/>
      <x:c r="F206" s="191"/>
      <x:c r="G206" s="191"/>
      <x:c r="H206" s="191"/>
      <x:c r="I206" s="191"/>
      <x:c r="J206" s="191"/>
      <x:c r="K206" s="191"/>
      <x:c r="L206" s="191"/>
      <x:c r="M206" s="191"/>
      <x:c r="N206" s="191"/>
      <x:c r="O206" s="191"/>
      <x:c r="P206" s="191"/>
      <x:c r="Q206" s="191"/>
      <x:c r="R206" s="191"/>
      <x:c r="S206" s="191"/>
      <x:c r="T206" s="191"/>
      <x:c r="U206" s="191"/>
      <x:c r="V206" s="191"/>
      <x:c r="W206" s="191"/>
      <x:c r="X206" s="191"/>
      <x:c r="Y206" s="191"/>
      <x:c r="Z206" s="191"/>
      <x:c r="AA206" s="191"/>
      <x:c r="AB206" s="191"/>
      <x:c r="AC206" s="191"/>
      <x:c r="AD206" s="191"/>
      <x:c r="AE206" s="191"/>
      <x:c r="AF206" s="191"/>
      <x:c r="AG206" s="191"/>
      <x:c r="AH206" s="191"/>
      <x:c r="AI206" s="191"/>
      <x:c r="AJ206" s="191"/>
      <x:c r="AK206" s="191"/>
    </x:row>
    <x:row r="207">
      <x:c r="A207" s="191"/>
      <x:c r="B207" s="191"/>
      <x:c r="C207" s="191"/>
      <x:c r="D207" s="191"/>
      <x:c r="E207" s="191"/>
      <x:c r="F207" s="191"/>
      <x:c r="G207" s="191"/>
      <x:c r="H207" s="191"/>
      <x:c r="I207" s="191"/>
      <x:c r="J207" s="191"/>
      <x:c r="K207" s="191"/>
      <x:c r="L207" s="191"/>
      <x:c r="M207" s="191"/>
      <x:c r="N207" s="191"/>
      <x:c r="O207" s="191"/>
      <x:c r="P207" s="191"/>
      <x:c r="Q207" s="191"/>
      <x:c r="R207" s="191"/>
      <x:c r="S207" s="191"/>
      <x:c r="T207" s="191"/>
      <x:c r="U207" s="191"/>
      <x:c r="V207" s="191"/>
      <x:c r="W207" s="191"/>
      <x:c r="X207" s="191"/>
      <x:c r="Y207" s="191"/>
      <x:c r="Z207" s="191"/>
      <x:c r="AA207" s="191"/>
      <x:c r="AB207" s="191"/>
      <x:c r="AC207" s="191"/>
      <x:c r="AD207" s="191"/>
      <x:c r="AE207" s="191"/>
      <x:c r="AF207" s="191"/>
      <x:c r="AG207" s="191"/>
      <x:c r="AH207" s="191"/>
      <x:c r="AI207" s="191"/>
      <x:c r="AJ207" s="191"/>
      <x:c r="AK207" s="191"/>
    </x:row>
    <x:row r="208">
      <x:c r="A208" s="191"/>
      <x:c r="B208" s="191"/>
      <x:c r="C208" s="191"/>
      <x:c r="D208" s="191"/>
      <x:c r="E208" s="191"/>
      <x:c r="F208" s="191"/>
      <x:c r="G208" s="191"/>
      <x:c r="H208" s="191"/>
      <x:c r="I208" s="191"/>
      <x:c r="J208" s="191"/>
      <x:c r="K208" s="191"/>
      <x:c r="L208" s="191"/>
      <x:c r="M208" s="191"/>
      <x:c r="N208" s="191"/>
      <x:c r="O208" s="191"/>
      <x:c r="P208" s="191"/>
      <x:c r="Q208" s="191"/>
      <x:c r="R208" s="191"/>
      <x:c r="S208" s="191"/>
      <x:c r="T208" s="191"/>
      <x:c r="U208" s="191"/>
      <x:c r="V208" s="191"/>
      <x:c r="W208" s="191"/>
      <x:c r="X208" s="191"/>
      <x:c r="Y208" s="191"/>
      <x:c r="Z208" s="191"/>
      <x:c r="AA208" s="191"/>
      <x:c r="AB208" s="191"/>
      <x:c r="AC208" s="191"/>
      <x:c r="AD208" s="191"/>
      <x:c r="AE208" s="191"/>
      <x:c r="AF208" s="191"/>
      <x:c r="AG208" s="191"/>
      <x:c r="AH208" s="191"/>
      <x:c r="AI208" s="191"/>
      <x:c r="AJ208" s="191"/>
      <x:c r="AK208" s="191"/>
    </x:row>
    <x:row r="209">
      <x:c r="A209" s="191"/>
      <x:c r="B209" s="191"/>
      <x:c r="C209" s="191"/>
      <x:c r="D209" s="191"/>
      <x:c r="E209" s="191"/>
      <x:c r="F209" s="191"/>
      <x:c r="G209" s="191"/>
      <x:c r="H209" s="191"/>
      <x:c r="I209" s="191"/>
      <x:c r="J209" s="191"/>
      <x:c r="K209" s="191"/>
      <x:c r="L209" s="191"/>
      <x:c r="M209" s="191"/>
      <x:c r="N209" s="191"/>
      <x:c r="O209" s="191"/>
      <x:c r="P209" s="191"/>
      <x:c r="Q209" s="191"/>
      <x:c r="R209" s="191"/>
      <x:c r="S209" s="191"/>
      <x:c r="T209" s="191"/>
      <x:c r="U209" s="191"/>
      <x:c r="V209" s="191"/>
      <x:c r="W209" s="191"/>
      <x:c r="X209" s="191"/>
      <x:c r="Y209" s="191"/>
      <x:c r="Z209" s="191"/>
      <x:c r="AA209" s="191"/>
      <x:c r="AB209" s="191"/>
      <x:c r="AC209" s="191"/>
      <x:c r="AD209" s="191"/>
      <x:c r="AE209" s="191"/>
      <x:c r="AF209" s="191"/>
      <x:c r="AG209" s="191"/>
      <x:c r="AH209" s="191"/>
      <x:c r="AI209" s="191"/>
      <x:c r="AJ209" s="191"/>
      <x:c r="AK209" s="191"/>
    </x:row>
    <x:row r="210">
      <x:c r="A210" s="191"/>
      <x:c r="B210" s="191"/>
      <x:c r="C210" s="191"/>
      <x:c r="D210" s="191"/>
      <x:c r="E210" s="191"/>
      <x:c r="F210" s="191"/>
      <x:c r="G210" s="191"/>
      <x:c r="H210" s="191"/>
      <x:c r="I210" s="191"/>
      <x:c r="J210" s="191"/>
      <x:c r="K210" s="191"/>
      <x:c r="L210" s="191"/>
      <x:c r="M210" s="191"/>
      <x:c r="N210" s="191"/>
      <x:c r="O210" s="191"/>
      <x:c r="P210" s="191"/>
      <x:c r="Q210" s="191"/>
      <x:c r="R210" s="191"/>
      <x:c r="S210" s="191"/>
      <x:c r="T210" s="191"/>
      <x:c r="U210" s="191"/>
      <x:c r="V210" s="191"/>
      <x:c r="W210" s="191"/>
      <x:c r="X210" s="191"/>
      <x:c r="Y210" s="191"/>
      <x:c r="Z210" s="191"/>
      <x:c r="AA210" s="191"/>
      <x:c r="AB210" s="191"/>
      <x:c r="AC210" s="191"/>
      <x:c r="AD210" s="191"/>
      <x:c r="AE210" s="191"/>
      <x:c r="AF210" s="191"/>
      <x:c r="AG210" s="191"/>
      <x:c r="AH210" s="191"/>
      <x:c r="AI210" s="191"/>
      <x:c r="AJ210" s="191"/>
      <x:c r="AK210" s="191"/>
    </x:row>
    <x:row r="211">
      <x:c r="A211" s="191"/>
      <x:c r="B211" s="191"/>
      <x:c r="C211" s="191"/>
      <x:c r="D211" s="191"/>
      <x:c r="E211" s="191"/>
      <x:c r="F211" s="191"/>
      <x:c r="G211" s="191"/>
      <x:c r="H211" s="191"/>
      <x:c r="I211" s="191"/>
      <x:c r="J211" s="191"/>
      <x:c r="K211" s="191"/>
      <x:c r="L211" s="191"/>
      <x:c r="M211" s="191"/>
      <x:c r="N211" s="191"/>
      <x:c r="O211" s="191"/>
      <x:c r="P211" s="191"/>
      <x:c r="Q211" s="191"/>
      <x:c r="R211" s="191"/>
      <x:c r="S211" s="191"/>
      <x:c r="T211" s="191"/>
      <x:c r="U211" s="191"/>
      <x:c r="V211" s="191"/>
      <x:c r="W211" s="191"/>
      <x:c r="X211" s="191"/>
      <x:c r="Y211" s="191"/>
      <x:c r="Z211" s="191"/>
      <x:c r="AA211" s="191"/>
      <x:c r="AB211" s="191"/>
      <x:c r="AC211" s="191"/>
      <x:c r="AD211" s="191"/>
      <x:c r="AE211" s="191"/>
      <x:c r="AF211" s="191"/>
      <x:c r="AG211" s="191"/>
      <x:c r="AH211" s="191"/>
      <x:c r="AI211" s="191"/>
      <x:c r="AJ211" s="191"/>
      <x:c r="AK211" s="191"/>
    </x:row>
    <x:row r="212">
      <x:c r="A212" s="191"/>
      <x:c r="B212" s="191"/>
      <x:c r="C212" s="191"/>
      <x:c r="D212" s="191"/>
      <x:c r="E212" s="191"/>
      <x:c r="F212" s="191"/>
      <x:c r="G212" s="191"/>
      <x:c r="H212" s="191"/>
      <x:c r="I212" s="191"/>
      <x:c r="J212" s="191"/>
      <x:c r="K212" s="191"/>
      <x:c r="L212" s="191"/>
      <x:c r="M212" s="191"/>
      <x:c r="N212" s="191"/>
      <x:c r="O212" s="191"/>
      <x:c r="P212" s="191"/>
      <x:c r="Q212" s="191"/>
      <x:c r="R212" s="191"/>
      <x:c r="S212" s="191"/>
      <x:c r="T212" s="191"/>
      <x:c r="U212" s="191"/>
      <x:c r="V212" s="191"/>
      <x:c r="W212" s="191"/>
      <x:c r="X212" s="191"/>
      <x:c r="Y212" s="191"/>
      <x:c r="Z212" s="191"/>
      <x:c r="AA212" s="191"/>
      <x:c r="AB212" s="191"/>
      <x:c r="AC212" s="191"/>
      <x:c r="AD212" s="191"/>
      <x:c r="AE212" s="191"/>
      <x:c r="AF212" s="191"/>
      <x:c r="AG212" s="191"/>
      <x:c r="AH212" s="191"/>
      <x:c r="AI212" s="191"/>
      <x:c r="AJ212" s="191"/>
      <x:c r="AK212" s="191"/>
    </x:row>
    <x:row r="213">
      <x:c r="A213" s="191"/>
      <x:c r="B213" s="191"/>
      <x:c r="C213" s="191"/>
      <x:c r="D213" s="191"/>
      <x:c r="E213" s="191"/>
      <x:c r="F213" s="191"/>
      <x:c r="G213" s="191"/>
      <x:c r="H213" s="191"/>
      <x:c r="I213" s="191"/>
      <x:c r="J213" s="191"/>
      <x:c r="K213" s="191"/>
      <x:c r="L213" s="191"/>
      <x:c r="M213" s="191"/>
      <x:c r="N213" s="191"/>
      <x:c r="O213" s="191"/>
      <x:c r="P213" s="191"/>
      <x:c r="Q213" s="191"/>
      <x:c r="R213" s="191"/>
      <x:c r="S213" s="191"/>
      <x:c r="T213" s="191"/>
      <x:c r="U213" s="191"/>
      <x:c r="V213" s="191"/>
      <x:c r="W213" s="191"/>
      <x:c r="X213" s="191"/>
      <x:c r="Y213" s="191"/>
      <x:c r="Z213" s="191"/>
      <x:c r="AA213" s="191"/>
      <x:c r="AB213" s="191"/>
      <x:c r="AC213" s="191"/>
      <x:c r="AD213" s="191"/>
      <x:c r="AE213" s="191"/>
      <x:c r="AF213" s="191"/>
      <x:c r="AG213" s="191"/>
      <x:c r="AH213" s="191"/>
      <x:c r="AI213" s="191"/>
      <x:c r="AJ213" s="191"/>
      <x:c r="AK213" s="191"/>
    </x:row>
    <x:row r="214">
      <x:c r="A214" s="191"/>
      <x:c r="B214" s="191"/>
      <x:c r="C214" s="191"/>
      <x:c r="D214" s="191"/>
      <x:c r="E214" s="191"/>
      <x:c r="F214" s="191"/>
      <x:c r="G214" s="191"/>
      <x:c r="H214" s="191"/>
      <x:c r="I214" s="191"/>
      <x:c r="J214" s="191"/>
      <x:c r="K214" s="191"/>
      <x:c r="L214" s="191"/>
      <x:c r="M214" s="191"/>
      <x:c r="N214" s="191"/>
      <x:c r="O214" s="191"/>
      <x:c r="P214" s="191"/>
      <x:c r="Q214" s="191"/>
      <x:c r="R214" s="191"/>
      <x:c r="S214" s="191"/>
      <x:c r="T214" s="191"/>
      <x:c r="U214" s="191"/>
      <x:c r="V214" s="191"/>
      <x:c r="W214" s="191"/>
      <x:c r="X214" s="191"/>
      <x:c r="Y214" s="191"/>
      <x:c r="Z214" s="191"/>
      <x:c r="AA214" s="191"/>
      <x:c r="AB214" s="191"/>
      <x:c r="AC214" s="191"/>
      <x:c r="AD214" s="191"/>
      <x:c r="AE214" s="191"/>
      <x:c r="AF214" s="191"/>
      <x:c r="AG214" s="191"/>
      <x:c r="AH214" s="191"/>
      <x:c r="AI214" s="191"/>
      <x:c r="AJ214" s="191"/>
      <x:c r="AK214" s="191"/>
    </x:row>
    <x:row r="215">
      <x:c r="A215" s="191"/>
      <x:c r="B215" s="191"/>
      <x:c r="C215" s="191"/>
      <x:c r="D215" s="191"/>
      <x:c r="E215" s="191"/>
      <x:c r="F215" s="191"/>
      <x:c r="G215" s="191"/>
      <x:c r="H215" s="191"/>
      <x:c r="I215" s="191"/>
      <x:c r="J215" s="191"/>
      <x:c r="K215" s="191"/>
      <x:c r="L215" s="191"/>
      <x:c r="M215" s="191"/>
      <x:c r="N215" s="191"/>
      <x:c r="O215" s="191"/>
      <x:c r="P215" s="191"/>
      <x:c r="Q215" s="191"/>
      <x:c r="R215" s="191"/>
      <x:c r="S215" s="191"/>
      <x:c r="T215" s="191"/>
      <x:c r="U215" s="191"/>
      <x:c r="V215" s="191"/>
      <x:c r="W215" s="191"/>
      <x:c r="X215" s="191"/>
      <x:c r="Y215" s="191"/>
      <x:c r="Z215" s="191"/>
      <x:c r="AA215" s="191"/>
      <x:c r="AB215" s="191"/>
      <x:c r="AC215" s="191"/>
      <x:c r="AD215" s="191"/>
      <x:c r="AE215" s="191"/>
      <x:c r="AF215" s="191"/>
      <x:c r="AG215" s="191"/>
      <x:c r="AH215" s="191"/>
      <x:c r="AI215" s="191"/>
      <x:c r="AJ215" s="191"/>
      <x:c r="AK215" s="191"/>
    </x:row>
    <x:row r="216">
      <x:c r="A216" s="191"/>
      <x:c r="B216" s="191"/>
      <x:c r="C216" s="191"/>
      <x:c r="D216" s="191"/>
      <x:c r="E216" s="191"/>
      <x:c r="F216" s="191"/>
      <x:c r="G216" s="191"/>
      <x:c r="H216" s="191"/>
      <x:c r="I216" s="191"/>
      <x:c r="J216" s="191"/>
      <x:c r="K216" s="191"/>
      <x:c r="L216" s="191"/>
      <x:c r="M216" s="191"/>
      <x:c r="N216" s="191"/>
      <x:c r="O216" s="191"/>
      <x:c r="P216" s="191"/>
      <x:c r="Q216" s="191"/>
      <x:c r="R216" s="191"/>
      <x:c r="S216" s="191"/>
      <x:c r="T216" s="191"/>
      <x:c r="U216" s="191"/>
      <x:c r="V216" s="191"/>
      <x:c r="W216" s="191"/>
      <x:c r="X216" s="191"/>
      <x:c r="Y216" s="191"/>
      <x:c r="Z216" s="191"/>
      <x:c r="AA216" s="191"/>
      <x:c r="AB216" s="191"/>
      <x:c r="AC216" s="191"/>
      <x:c r="AD216" s="191"/>
      <x:c r="AE216" s="191"/>
      <x:c r="AF216" s="191"/>
      <x:c r="AG216" s="191"/>
      <x:c r="AH216" s="191"/>
      <x:c r="AI216" s="191"/>
      <x:c r="AJ216" s="191"/>
      <x:c r="AK216" s="191"/>
    </x:row>
    <x:row r="217">
      <x:c r="A217" s="191"/>
      <x:c r="B217" s="191"/>
      <x:c r="C217" s="191"/>
      <x:c r="D217" s="191"/>
      <x:c r="E217" s="191"/>
      <x:c r="F217" s="191"/>
      <x:c r="G217" s="191"/>
      <x:c r="H217" s="191"/>
      <x:c r="I217" s="191"/>
      <x:c r="J217" s="191"/>
      <x:c r="K217" s="191"/>
      <x:c r="L217" s="191"/>
      <x:c r="M217" s="191"/>
      <x:c r="N217" s="191"/>
      <x:c r="O217" s="191"/>
      <x:c r="P217" s="191"/>
      <x:c r="Q217" s="191"/>
      <x:c r="R217" s="191"/>
      <x:c r="S217" s="191"/>
      <x:c r="T217" s="191"/>
      <x:c r="U217" s="191"/>
      <x:c r="V217" s="191"/>
      <x:c r="W217" s="191"/>
      <x:c r="X217" s="191"/>
      <x:c r="Y217" s="191"/>
      <x:c r="Z217" s="191"/>
      <x:c r="AA217" s="191"/>
      <x:c r="AB217" s="191"/>
      <x:c r="AC217" s="191"/>
      <x:c r="AD217" s="191"/>
      <x:c r="AE217" s="191"/>
      <x:c r="AF217" s="191"/>
      <x:c r="AG217" s="191"/>
      <x:c r="AH217" s="191"/>
      <x:c r="AI217" s="191"/>
      <x:c r="AJ217" s="191"/>
      <x:c r="AK217" s="191"/>
    </x:row>
    <x:row r="218">
      <x:c r="A218" s="191"/>
      <x:c r="B218" s="191"/>
      <x:c r="C218" s="191"/>
      <x:c r="D218" s="191"/>
      <x:c r="E218" s="191"/>
      <x:c r="F218" s="191"/>
      <x:c r="G218" s="191"/>
      <x:c r="H218" s="191"/>
      <x:c r="I218" s="191"/>
      <x:c r="J218" s="191"/>
      <x:c r="K218" s="191"/>
      <x:c r="L218" s="191"/>
      <x:c r="M218" s="191"/>
      <x:c r="N218" s="191"/>
      <x:c r="O218" s="191"/>
      <x:c r="P218" s="191"/>
      <x:c r="Q218" s="191"/>
      <x:c r="R218" s="191"/>
      <x:c r="S218" s="191"/>
      <x:c r="T218" s="191"/>
      <x:c r="U218" s="191"/>
      <x:c r="V218" s="191"/>
      <x:c r="W218" s="191"/>
      <x:c r="X218" s="191"/>
      <x:c r="Y218" s="191"/>
      <x:c r="Z218" s="191"/>
      <x:c r="AA218" s="191"/>
      <x:c r="AB218" s="191"/>
      <x:c r="AC218" s="191"/>
      <x:c r="AD218" s="191"/>
      <x:c r="AE218" s="191"/>
      <x:c r="AF218" s="191"/>
      <x:c r="AG218" s="191"/>
      <x:c r="AH218" s="191"/>
      <x:c r="AI218" s="191"/>
      <x:c r="AJ218" s="191"/>
      <x:c r="AK218" s="191"/>
    </x:row>
    <x:row r="219">
      <x:c r="A219" s="191"/>
      <x:c r="B219" s="191"/>
      <x:c r="C219" s="191"/>
      <x:c r="D219" s="191"/>
      <x:c r="E219" s="191"/>
      <x:c r="F219" s="191"/>
      <x:c r="G219" s="191"/>
      <x:c r="H219" s="191"/>
      <x:c r="I219" s="191"/>
      <x:c r="J219" s="191"/>
      <x:c r="K219" s="191"/>
      <x:c r="L219" s="191"/>
      <x:c r="M219" s="191"/>
      <x:c r="N219" s="191"/>
      <x:c r="O219" s="191"/>
      <x:c r="P219" s="191"/>
      <x:c r="Q219" s="191"/>
      <x:c r="R219" s="191"/>
      <x:c r="S219" s="191"/>
      <x:c r="T219" s="191"/>
      <x:c r="U219" s="191"/>
      <x:c r="V219" s="191"/>
      <x:c r="W219" s="191"/>
      <x:c r="X219" s="191"/>
      <x:c r="Y219" s="191"/>
      <x:c r="Z219" s="191"/>
      <x:c r="AA219" s="191"/>
      <x:c r="AB219" s="191"/>
      <x:c r="AC219" s="191"/>
      <x:c r="AD219" s="191"/>
      <x:c r="AE219" s="191"/>
      <x:c r="AF219" s="191"/>
      <x:c r="AG219" s="191"/>
      <x:c r="AH219" s="191"/>
      <x:c r="AI219" s="191"/>
      <x:c r="AJ219" s="191"/>
      <x:c r="AK219" s="191"/>
    </x:row>
    <x:row r="220">
      <x:c r="A220" s="191"/>
      <x:c r="B220" s="191"/>
      <x:c r="C220" s="191"/>
      <x:c r="D220" s="191"/>
      <x:c r="E220" s="191"/>
      <x:c r="F220" s="191"/>
      <x:c r="G220" s="191"/>
      <x:c r="H220" s="191"/>
      <x:c r="I220" s="191"/>
      <x:c r="J220" s="191"/>
      <x:c r="K220" s="191"/>
      <x:c r="L220" s="191"/>
      <x:c r="M220" s="191"/>
      <x:c r="N220" s="191"/>
      <x:c r="O220" s="191"/>
      <x:c r="P220" s="191"/>
      <x:c r="Q220" s="191"/>
      <x:c r="R220" s="191"/>
      <x:c r="S220" s="191"/>
      <x:c r="T220" s="191"/>
      <x:c r="U220" s="191"/>
      <x:c r="V220" s="191"/>
      <x:c r="W220" s="191"/>
      <x:c r="X220" s="191"/>
      <x:c r="Y220" s="191"/>
      <x:c r="Z220" s="191"/>
      <x:c r="AA220" s="191"/>
      <x:c r="AB220" s="191"/>
      <x:c r="AC220" s="191"/>
      <x:c r="AD220" s="191"/>
      <x:c r="AE220" s="191"/>
      <x:c r="AF220" s="191"/>
      <x:c r="AG220" s="191"/>
      <x:c r="AH220" s="191"/>
      <x:c r="AI220" s="191"/>
      <x:c r="AJ220" s="191"/>
      <x:c r="AK220" s="191"/>
    </x:row>
    <x:row r="221">
      <x:c r="A221" s="191"/>
      <x:c r="B221" s="191"/>
      <x:c r="C221" s="191"/>
      <x:c r="D221" s="191"/>
      <x:c r="E221" s="191"/>
      <x:c r="F221" s="191"/>
      <x:c r="G221" s="191"/>
      <x:c r="H221" s="191"/>
      <x:c r="I221" s="191"/>
      <x:c r="J221" s="191"/>
      <x:c r="K221" s="191"/>
      <x:c r="L221" s="191"/>
      <x:c r="M221" s="191"/>
      <x:c r="N221" s="191"/>
      <x:c r="O221" s="191"/>
      <x:c r="P221" s="191"/>
      <x:c r="Q221" s="191"/>
      <x:c r="R221" s="191"/>
      <x:c r="S221" s="191"/>
      <x:c r="T221" s="191"/>
      <x:c r="U221" s="191"/>
      <x:c r="V221" s="191"/>
      <x:c r="W221" s="191"/>
      <x:c r="X221" s="191"/>
      <x:c r="Y221" s="191"/>
      <x:c r="Z221" s="191"/>
      <x:c r="AA221" s="191"/>
      <x:c r="AB221" s="191"/>
      <x:c r="AC221" s="191"/>
      <x:c r="AD221" s="191"/>
      <x:c r="AE221" s="191"/>
      <x:c r="AF221" s="191"/>
      <x:c r="AG221" s="191"/>
      <x:c r="AH221" s="191"/>
      <x:c r="AI221" s="191"/>
      <x:c r="AJ221" s="191"/>
      <x:c r="AK221" s="191"/>
    </x:row>
    <x:row r="222">
      <x:c r="A222" s="191"/>
      <x:c r="B222" s="191"/>
      <x:c r="C222" s="191"/>
      <x:c r="D222" s="191"/>
      <x:c r="E222" s="191"/>
      <x:c r="F222" s="191"/>
      <x:c r="G222" s="191"/>
      <x:c r="H222" s="191"/>
      <x:c r="I222" s="191"/>
      <x:c r="J222" s="191"/>
      <x:c r="K222" s="191"/>
      <x:c r="L222" s="191"/>
      <x:c r="M222" s="191"/>
      <x:c r="N222" s="191"/>
      <x:c r="O222" s="191"/>
      <x:c r="P222" s="191"/>
      <x:c r="Q222" s="191"/>
      <x:c r="R222" s="191"/>
      <x:c r="S222" s="191"/>
      <x:c r="T222" s="191"/>
      <x:c r="U222" s="191"/>
      <x:c r="V222" s="191"/>
      <x:c r="W222" s="191"/>
      <x:c r="X222" s="191"/>
      <x:c r="Y222" s="191"/>
      <x:c r="Z222" s="191"/>
      <x:c r="AA222" s="191"/>
      <x:c r="AB222" s="191"/>
      <x:c r="AC222" s="191"/>
      <x:c r="AD222" s="191"/>
      <x:c r="AE222" s="191"/>
      <x:c r="AF222" s="191"/>
      <x:c r="AG222" s="191"/>
      <x:c r="AH222" s="191"/>
      <x:c r="AI222" s="191"/>
      <x:c r="AJ222" s="191"/>
      <x:c r="AK222" s="191"/>
    </x:row>
    <x:row r="223">
      <x:c r="A223" s="191"/>
      <x:c r="B223" s="191"/>
      <x:c r="C223" s="191"/>
      <x:c r="D223" s="191"/>
      <x:c r="E223" s="191"/>
      <x:c r="F223" s="191"/>
      <x:c r="G223" s="191"/>
      <x:c r="H223" s="191"/>
      <x:c r="I223" s="191"/>
      <x:c r="J223" s="191"/>
      <x:c r="K223" s="191"/>
      <x:c r="L223" s="191"/>
      <x:c r="M223" s="191"/>
      <x:c r="N223" s="191"/>
      <x:c r="O223" s="191"/>
      <x:c r="P223" s="191"/>
      <x:c r="Q223" s="191"/>
      <x:c r="R223" s="191"/>
      <x:c r="S223" s="191"/>
      <x:c r="T223" s="191"/>
      <x:c r="U223" s="191"/>
      <x:c r="V223" s="191"/>
      <x:c r="W223" s="191"/>
      <x:c r="X223" s="191"/>
      <x:c r="Y223" s="191"/>
      <x:c r="Z223" s="191"/>
      <x:c r="AA223" s="191"/>
      <x:c r="AB223" s="191"/>
      <x:c r="AC223" s="191"/>
      <x:c r="AD223" s="191"/>
      <x:c r="AE223" s="191"/>
      <x:c r="AF223" s="191"/>
      <x:c r="AG223" s="191"/>
      <x:c r="AH223" s="191"/>
      <x:c r="AI223" s="191"/>
      <x:c r="AJ223" s="191"/>
      <x:c r="AK223" s="191"/>
    </x:row>
    <x:row r="224">
      <x:c r="A224" s="191"/>
      <x:c r="B224" s="191"/>
      <x:c r="C224" s="191"/>
      <x:c r="D224" s="191"/>
      <x:c r="E224" s="191"/>
      <x:c r="F224" s="191"/>
      <x:c r="G224" s="191"/>
      <x:c r="H224" s="191"/>
      <x:c r="I224" s="191"/>
      <x:c r="J224" s="191"/>
      <x:c r="K224" s="191"/>
      <x:c r="L224" s="191"/>
      <x:c r="M224" s="191"/>
      <x:c r="N224" s="191"/>
      <x:c r="O224" s="191"/>
      <x:c r="P224" s="191"/>
      <x:c r="Q224" s="191"/>
      <x:c r="R224" s="191"/>
      <x:c r="S224" s="191"/>
      <x:c r="T224" s="191"/>
      <x:c r="U224" s="191"/>
      <x:c r="V224" s="191"/>
      <x:c r="W224" s="191"/>
      <x:c r="X224" s="191"/>
      <x:c r="Y224" s="191"/>
      <x:c r="Z224" s="191"/>
      <x:c r="AA224" s="191"/>
      <x:c r="AB224" s="191"/>
      <x:c r="AC224" s="191"/>
      <x:c r="AD224" s="191"/>
      <x:c r="AE224" s="191"/>
      <x:c r="AF224" s="191"/>
      <x:c r="AG224" s="191"/>
      <x:c r="AH224" s="191"/>
      <x:c r="AI224" s="191"/>
      <x:c r="AJ224" s="191"/>
      <x:c r="AK224" s="191"/>
    </x:row>
    <x:row r="225">
      <x:c r="A225" s="191"/>
      <x:c r="B225" s="191"/>
      <x:c r="C225" s="191"/>
      <x:c r="D225" s="191"/>
      <x:c r="E225" s="191"/>
      <x:c r="F225" s="191"/>
      <x:c r="G225" s="191"/>
      <x:c r="H225" s="191"/>
      <x:c r="I225" s="191"/>
      <x:c r="J225" s="191"/>
      <x:c r="K225" s="191"/>
      <x:c r="L225" s="191"/>
      <x:c r="M225" s="191"/>
      <x:c r="N225" s="191"/>
      <x:c r="O225" s="191"/>
      <x:c r="P225" s="191"/>
      <x:c r="Q225" s="191"/>
      <x:c r="R225" s="191"/>
      <x:c r="S225" s="191"/>
      <x:c r="T225" s="191"/>
      <x:c r="U225" s="191"/>
      <x:c r="V225" s="191"/>
      <x:c r="W225" s="191"/>
      <x:c r="X225" s="191"/>
      <x:c r="Y225" s="191"/>
      <x:c r="Z225" s="191"/>
      <x:c r="AA225" s="191"/>
      <x:c r="AB225" s="191"/>
      <x:c r="AC225" s="191"/>
      <x:c r="AD225" s="191"/>
      <x:c r="AE225" s="191"/>
      <x:c r="AF225" s="191"/>
      <x:c r="AG225" s="191"/>
      <x:c r="AH225" s="191"/>
      <x:c r="AI225" s="191"/>
      <x:c r="AJ225" s="191"/>
      <x:c r="AK225" s="191"/>
    </x:row>
    <x:row r="226">
      <x:c r="A226" s="191"/>
      <x:c r="B226" s="191"/>
      <x:c r="C226" s="191"/>
      <x:c r="D226" s="191"/>
      <x:c r="E226" s="191"/>
      <x:c r="F226" s="191"/>
      <x:c r="G226" s="191"/>
      <x:c r="H226" s="191"/>
      <x:c r="I226" s="191"/>
      <x:c r="J226" s="191"/>
      <x:c r="K226" s="191"/>
      <x:c r="L226" s="191"/>
      <x:c r="M226" s="191"/>
      <x:c r="N226" s="191"/>
      <x:c r="O226" s="191"/>
      <x:c r="P226" s="191"/>
      <x:c r="Q226" s="191"/>
      <x:c r="R226" s="191"/>
      <x:c r="S226" s="191"/>
      <x:c r="T226" s="191"/>
      <x:c r="U226" s="191"/>
      <x:c r="V226" s="191"/>
      <x:c r="W226" s="191"/>
      <x:c r="X226" s="191"/>
      <x:c r="Y226" s="191"/>
      <x:c r="Z226" s="191"/>
      <x:c r="AA226" s="191"/>
      <x:c r="AB226" s="191"/>
      <x:c r="AC226" s="191"/>
      <x:c r="AD226" s="191"/>
      <x:c r="AE226" s="191"/>
      <x:c r="AF226" s="191"/>
      <x:c r="AG226" s="191"/>
      <x:c r="AH226" s="191"/>
      <x:c r="AI226" s="191"/>
      <x:c r="AJ226" s="191"/>
      <x:c r="AK226" s="191"/>
    </x:row>
    <x:row r="227">
      <x:c r="A227" s="191"/>
      <x:c r="B227" s="191"/>
      <x:c r="C227" s="191"/>
      <x:c r="D227" s="191"/>
      <x:c r="E227" s="191"/>
      <x:c r="F227" s="191"/>
      <x:c r="G227" s="191"/>
      <x:c r="H227" s="191"/>
      <x:c r="I227" s="191"/>
      <x:c r="J227" s="191"/>
      <x:c r="K227" s="191"/>
      <x:c r="L227" s="191"/>
      <x:c r="M227" s="191"/>
      <x:c r="N227" s="191"/>
      <x:c r="O227" s="191"/>
      <x:c r="P227" s="191"/>
      <x:c r="Q227" s="191"/>
      <x:c r="R227" s="191"/>
      <x:c r="S227" s="191"/>
      <x:c r="T227" s="191"/>
      <x:c r="U227" s="191"/>
      <x:c r="V227" s="191"/>
      <x:c r="W227" s="191"/>
      <x:c r="X227" s="191"/>
      <x:c r="Y227" s="191"/>
      <x:c r="Z227" s="191"/>
      <x:c r="AA227" s="191"/>
      <x:c r="AB227" s="191"/>
      <x:c r="AC227" s="191"/>
      <x:c r="AD227" s="191"/>
      <x:c r="AE227" s="191"/>
      <x:c r="AF227" s="191"/>
      <x:c r="AG227" s="191"/>
      <x:c r="AH227" s="191"/>
      <x:c r="AI227" s="191"/>
      <x:c r="AJ227" s="191"/>
      <x:c r="AK227" s="191"/>
    </x:row>
    <x:row r="228">
      <x:c r="A228" s="191"/>
      <x:c r="B228" s="191"/>
      <x:c r="C228" s="191"/>
      <x:c r="D228" s="191"/>
      <x:c r="E228" s="191"/>
      <x:c r="F228" s="191"/>
      <x:c r="G228" s="191"/>
      <x:c r="H228" s="191"/>
      <x:c r="I228" s="191"/>
      <x:c r="J228" s="191"/>
      <x:c r="K228" s="191"/>
      <x:c r="L228" s="191"/>
      <x:c r="M228" s="191"/>
      <x:c r="N228" s="191"/>
      <x:c r="O228" s="191"/>
      <x:c r="P228" s="191"/>
      <x:c r="Q228" s="191"/>
      <x:c r="R228" s="191"/>
      <x:c r="S228" s="191"/>
      <x:c r="T228" s="191"/>
      <x:c r="U228" s="191"/>
      <x:c r="V228" s="191"/>
      <x:c r="W228" s="191"/>
      <x:c r="X228" s="191"/>
      <x:c r="Y228" s="191"/>
      <x:c r="Z228" s="191"/>
      <x:c r="AA228" s="191"/>
      <x:c r="AB228" s="191"/>
      <x:c r="AC228" s="191"/>
      <x:c r="AD228" s="191"/>
      <x:c r="AE228" s="191"/>
      <x:c r="AF228" s="191"/>
      <x:c r="AG228" s="191"/>
      <x:c r="AH228" s="191"/>
      <x:c r="AI228" s="191"/>
      <x:c r="AJ228" s="191"/>
      <x:c r="AK228" s="191"/>
    </x:row>
    <x:row r="229">
      <x:c r="A229" s="191"/>
      <x:c r="B229" s="191"/>
      <x:c r="C229" s="191"/>
      <x:c r="D229" s="191"/>
      <x:c r="E229" s="191"/>
      <x:c r="F229" s="191"/>
      <x:c r="G229" s="191"/>
      <x:c r="H229" s="191"/>
      <x:c r="I229" s="191"/>
      <x:c r="J229" s="191"/>
      <x:c r="K229" s="191"/>
      <x:c r="L229" s="191"/>
      <x:c r="M229" s="191"/>
      <x:c r="N229" s="191"/>
      <x:c r="O229" s="191"/>
      <x:c r="P229" s="191"/>
      <x:c r="Q229" s="191"/>
      <x:c r="R229" s="191"/>
      <x:c r="S229" s="191"/>
      <x:c r="T229" s="191"/>
      <x:c r="U229" s="191"/>
      <x:c r="V229" s="191"/>
      <x:c r="W229" s="191"/>
      <x:c r="X229" s="191"/>
      <x:c r="Y229" s="191"/>
      <x:c r="Z229" s="191"/>
      <x:c r="AA229" s="191"/>
      <x:c r="AB229" s="191"/>
      <x:c r="AC229" s="191"/>
      <x:c r="AD229" s="191"/>
      <x:c r="AE229" s="191"/>
      <x:c r="AF229" s="191"/>
      <x:c r="AG229" s="191"/>
      <x:c r="AH229" s="191"/>
      <x:c r="AI229" s="191"/>
      <x:c r="AJ229" s="191"/>
      <x:c r="AK229" s="191"/>
    </x:row>
    <x:row r="230">
      <x:c r="A230" s="191"/>
      <x:c r="B230" s="191"/>
      <x:c r="C230" s="191"/>
      <x:c r="D230" s="191"/>
      <x:c r="E230" s="191"/>
      <x:c r="F230" s="191"/>
      <x:c r="G230" s="191"/>
      <x:c r="H230" s="191"/>
      <x:c r="I230" s="191"/>
      <x:c r="J230" s="191"/>
      <x:c r="K230" s="191"/>
      <x:c r="L230" s="191"/>
      <x:c r="M230" s="191"/>
      <x:c r="N230" s="191"/>
      <x:c r="O230" s="191"/>
      <x:c r="P230" s="191"/>
      <x:c r="Q230" s="191"/>
      <x:c r="R230" s="191"/>
      <x:c r="S230" s="191"/>
      <x:c r="T230" s="191"/>
      <x:c r="U230" s="191"/>
      <x:c r="V230" s="191"/>
      <x:c r="W230" s="191"/>
      <x:c r="X230" s="191"/>
      <x:c r="Y230" s="191"/>
      <x:c r="Z230" s="191"/>
      <x:c r="AA230" s="191"/>
      <x:c r="AB230" s="191"/>
      <x:c r="AC230" s="191"/>
      <x:c r="AD230" s="191"/>
      <x:c r="AE230" s="191"/>
      <x:c r="AF230" s="191"/>
      <x:c r="AG230" s="191"/>
      <x:c r="AH230" s="191"/>
      <x:c r="AI230" s="191"/>
      <x:c r="AJ230" s="191"/>
      <x:c r="AK230" s="191"/>
    </x:row>
    <x:row r="231">
      <x:c r="A231" s="191"/>
      <x:c r="B231" s="191"/>
      <x:c r="C231" s="191"/>
      <x:c r="D231" s="191"/>
      <x:c r="E231" s="191"/>
      <x:c r="F231" s="191"/>
      <x:c r="G231" s="191"/>
      <x:c r="H231" s="191"/>
      <x:c r="I231" s="191"/>
      <x:c r="J231" s="191"/>
      <x:c r="K231" s="191"/>
      <x:c r="L231" s="191"/>
      <x:c r="M231" s="191"/>
      <x:c r="N231" s="191"/>
      <x:c r="O231" s="191"/>
      <x:c r="P231" s="191"/>
      <x:c r="Q231" s="191"/>
      <x:c r="R231" s="191"/>
      <x:c r="S231" s="191"/>
      <x:c r="T231" s="191"/>
      <x:c r="U231" s="191"/>
      <x:c r="V231" s="191"/>
      <x:c r="W231" s="191"/>
      <x:c r="X231" s="191"/>
      <x:c r="Y231" s="191"/>
      <x:c r="Z231" s="191"/>
      <x:c r="AA231" s="191"/>
      <x:c r="AB231" s="191"/>
      <x:c r="AC231" s="191"/>
      <x:c r="AD231" s="191"/>
      <x:c r="AE231" s="191"/>
      <x:c r="AF231" s="191"/>
      <x:c r="AG231" s="191"/>
      <x:c r="AH231" s="191"/>
      <x:c r="AI231" s="191"/>
      <x:c r="AJ231" s="191"/>
      <x:c r="AK231" s="191"/>
    </x:row>
    <x:row r="232">
      <x:c r="A232" s="191"/>
      <x:c r="B232" s="191"/>
      <x:c r="C232" s="191"/>
      <x:c r="D232" s="191"/>
      <x:c r="E232" s="191"/>
      <x:c r="F232" s="191"/>
      <x:c r="G232" s="191"/>
      <x:c r="H232" s="191"/>
      <x:c r="I232" s="191"/>
      <x:c r="J232" s="191"/>
      <x:c r="K232" s="191"/>
      <x:c r="L232" s="191"/>
      <x:c r="M232" s="191"/>
      <x:c r="N232" s="191"/>
      <x:c r="O232" s="191"/>
      <x:c r="P232" s="191"/>
      <x:c r="Q232" s="191"/>
      <x:c r="R232" s="191"/>
      <x:c r="S232" s="191"/>
      <x:c r="T232" s="191"/>
      <x:c r="U232" s="191"/>
      <x:c r="V232" s="191"/>
      <x:c r="W232" s="191"/>
      <x:c r="X232" s="191"/>
      <x:c r="Y232" s="191"/>
      <x:c r="Z232" s="191"/>
      <x:c r="AA232" s="191"/>
      <x:c r="AB232" s="191"/>
      <x:c r="AC232" s="191"/>
      <x:c r="AD232" s="191"/>
      <x:c r="AE232" s="191"/>
      <x:c r="AF232" s="191"/>
      <x:c r="AG232" s="191"/>
      <x:c r="AH232" s="191"/>
      <x:c r="AI232" s="191"/>
      <x:c r="AJ232" s="191"/>
      <x:c r="AK232" s="191"/>
    </x:row>
    <x:row r="233">
      <x:c r="A233" s="191"/>
      <x:c r="B233" s="191"/>
      <x:c r="C233" s="191"/>
      <x:c r="D233" s="191"/>
      <x:c r="E233" s="191"/>
      <x:c r="F233" s="191"/>
      <x:c r="G233" s="191"/>
      <x:c r="H233" s="191"/>
      <x:c r="I233" s="191"/>
      <x:c r="J233" s="191"/>
      <x:c r="K233" s="191"/>
      <x:c r="L233" s="191"/>
      <x:c r="M233" s="191"/>
      <x:c r="N233" s="191"/>
      <x:c r="O233" s="191"/>
      <x:c r="P233" s="191"/>
      <x:c r="Q233" s="191"/>
      <x:c r="R233" s="191"/>
      <x:c r="S233" s="191"/>
      <x:c r="T233" s="191"/>
      <x:c r="U233" s="191"/>
      <x:c r="V233" s="191"/>
      <x:c r="W233" s="191"/>
      <x:c r="X233" s="191"/>
      <x:c r="Y233" s="191"/>
      <x:c r="Z233" s="191"/>
      <x:c r="AA233" s="191"/>
      <x:c r="AB233" s="191"/>
      <x:c r="AC233" s="191"/>
      <x:c r="AD233" s="191"/>
      <x:c r="AE233" s="191"/>
      <x:c r="AF233" s="191"/>
      <x:c r="AG233" s="191"/>
      <x:c r="AH233" s="191"/>
      <x:c r="AI233" s="191"/>
      <x:c r="AJ233" s="191"/>
      <x:c r="AK233" s="191"/>
    </x:row>
    <x:row r="234">
      <x:c r="A234" s="191"/>
      <x:c r="B234" s="191"/>
      <x:c r="C234" s="191"/>
      <x:c r="D234" s="191"/>
      <x:c r="E234" s="191"/>
      <x:c r="F234" s="191"/>
      <x:c r="G234" s="191"/>
      <x:c r="H234" s="191"/>
      <x:c r="I234" s="191"/>
      <x:c r="J234" s="191"/>
      <x:c r="K234" s="191"/>
      <x:c r="L234" s="191"/>
      <x:c r="M234" s="191"/>
      <x:c r="N234" s="191"/>
      <x:c r="O234" s="191"/>
      <x:c r="P234" s="191"/>
      <x:c r="Q234" s="191"/>
      <x:c r="R234" s="191"/>
      <x:c r="S234" s="191"/>
      <x:c r="T234" s="191"/>
      <x:c r="U234" s="191"/>
      <x:c r="V234" s="191"/>
      <x:c r="W234" s="191"/>
      <x:c r="X234" s="191"/>
      <x:c r="Y234" s="191"/>
      <x:c r="Z234" s="191"/>
      <x:c r="AA234" s="191"/>
      <x:c r="AB234" s="191"/>
      <x:c r="AC234" s="191"/>
      <x:c r="AD234" s="191"/>
      <x:c r="AE234" s="191"/>
      <x:c r="AF234" s="191"/>
      <x:c r="AG234" s="191"/>
      <x:c r="AH234" s="191"/>
      <x:c r="AI234" s="191"/>
      <x:c r="AJ234" s="191"/>
      <x:c r="AK234" s="191"/>
    </x:row>
    <x:row r="235">
      <x:c r="A235" s="191"/>
      <x:c r="B235" s="191"/>
      <x:c r="C235" s="191"/>
      <x:c r="D235" s="191"/>
      <x:c r="E235" s="191"/>
      <x:c r="F235" s="191"/>
      <x:c r="G235" s="191"/>
      <x:c r="H235" s="191"/>
      <x:c r="I235" s="191"/>
      <x:c r="J235" s="191"/>
      <x:c r="K235" s="191"/>
      <x:c r="L235" s="191"/>
      <x:c r="M235" s="191"/>
      <x:c r="N235" s="191"/>
      <x:c r="O235" s="191"/>
      <x:c r="P235" s="191"/>
      <x:c r="Q235" s="191"/>
      <x:c r="R235" s="191"/>
      <x:c r="S235" s="191"/>
      <x:c r="T235" s="191"/>
      <x:c r="U235" s="191"/>
      <x:c r="V235" s="191"/>
      <x:c r="W235" s="191"/>
      <x:c r="X235" s="191"/>
      <x:c r="Y235" s="191"/>
      <x:c r="Z235" s="191"/>
      <x:c r="AA235" s="191"/>
      <x:c r="AB235" s="191"/>
      <x:c r="AC235" s="191"/>
      <x:c r="AD235" s="191"/>
      <x:c r="AE235" s="191"/>
      <x:c r="AF235" s="191"/>
      <x:c r="AG235" s="191"/>
      <x:c r="AH235" s="191"/>
      <x:c r="AI235" s="191"/>
      <x:c r="AJ235" s="191"/>
      <x:c r="AK235" s="191"/>
    </x:row>
    <x:row r="236">
      <x:c r="A236" s="191"/>
      <x:c r="B236" s="191"/>
      <x:c r="C236" s="191"/>
      <x:c r="D236" s="191"/>
      <x:c r="E236" s="191"/>
      <x:c r="F236" s="191"/>
      <x:c r="G236" s="191"/>
      <x:c r="H236" s="191"/>
      <x:c r="I236" s="191"/>
      <x:c r="J236" s="191"/>
      <x:c r="K236" s="191"/>
      <x:c r="L236" s="191"/>
      <x:c r="M236" s="191"/>
      <x:c r="N236" s="191"/>
      <x:c r="O236" s="191"/>
      <x:c r="P236" s="191"/>
      <x:c r="Q236" s="191"/>
      <x:c r="R236" s="191"/>
      <x:c r="S236" s="191"/>
      <x:c r="T236" s="191"/>
      <x:c r="U236" s="191"/>
      <x:c r="V236" s="191"/>
      <x:c r="W236" s="191"/>
      <x:c r="X236" s="191"/>
      <x:c r="Y236" s="191"/>
      <x:c r="Z236" s="191"/>
      <x:c r="AA236" s="191"/>
      <x:c r="AB236" s="191"/>
      <x:c r="AC236" s="191"/>
      <x:c r="AD236" s="191"/>
      <x:c r="AE236" s="191"/>
      <x:c r="AF236" s="191"/>
      <x:c r="AG236" s="191"/>
      <x:c r="AH236" s="191"/>
      <x:c r="AI236" s="191"/>
      <x:c r="AJ236" s="191"/>
      <x:c r="AK236" s="191"/>
    </x:row>
    <x:row r="237">
      <x:c r="A237" s="191"/>
      <x:c r="B237" s="191"/>
      <x:c r="C237" s="191"/>
      <x:c r="D237" s="191"/>
      <x:c r="E237" s="191"/>
      <x:c r="F237" s="191"/>
      <x:c r="G237" s="191"/>
      <x:c r="H237" s="191"/>
      <x:c r="I237" s="191"/>
      <x:c r="J237" s="191"/>
      <x:c r="K237" s="191"/>
      <x:c r="L237" s="191"/>
      <x:c r="M237" s="191"/>
      <x:c r="N237" s="191"/>
      <x:c r="O237" s="191"/>
      <x:c r="P237" s="191"/>
      <x:c r="Q237" s="191"/>
      <x:c r="R237" s="191"/>
      <x:c r="S237" s="191"/>
      <x:c r="T237" s="191"/>
      <x:c r="U237" s="191"/>
      <x:c r="V237" s="191"/>
      <x:c r="W237" s="191"/>
      <x:c r="X237" s="191"/>
      <x:c r="Y237" s="191"/>
      <x:c r="Z237" s="191"/>
      <x:c r="AA237" s="191"/>
      <x:c r="AB237" s="191"/>
      <x:c r="AC237" s="191"/>
      <x:c r="AD237" s="191"/>
      <x:c r="AE237" s="191"/>
      <x:c r="AF237" s="191"/>
      <x:c r="AG237" s="191"/>
      <x:c r="AH237" s="191"/>
      <x:c r="AI237" s="191"/>
      <x:c r="AJ237" s="191"/>
      <x:c r="AK237" s="191"/>
    </x:row>
    <x:row r="238">
      <x:c r="A238" s="191"/>
      <x:c r="B238" s="191"/>
      <x:c r="C238" s="191"/>
      <x:c r="D238" s="191"/>
      <x:c r="E238" s="191"/>
      <x:c r="F238" s="191"/>
      <x:c r="G238" s="191"/>
      <x:c r="H238" s="191"/>
      <x:c r="I238" s="191"/>
      <x:c r="J238" s="191"/>
      <x:c r="K238" s="191"/>
      <x:c r="L238" s="191"/>
      <x:c r="M238" s="191"/>
      <x:c r="N238" s="191"/>
      <x:c r="O238" s="191"/>
      <x:c r="P238" s="191"/>
      <x:c r="Q238" s="191"/>
      <x:c r="R238" s="191"/>
      <x:c r="S238" s="191"/>
      <x:c r="T238" s="191"/>
      <x:c r="U238" s="191"/>
      <x:c r="V238" s="191"/>
      <x:c r="W238" s="191"/>
      <x:c r="X238" s="191"/>
      <x:c r="Y238" s="191"/>
      <x:c r="Z238" s="191"/>
      <x:c r="AA238" s="191"/>
      <x:c r="AB238" s="191"/>
      <x:c r="AC238" s="191"/>
      <x:c r="AD238" s="191"/>
      <x:c r="AE238" s="191"/>
      <x:c r="AF238" s="191"/>
      <x:c r="AG238" s="191"/>
      <x:c r="AH238" s="191"/>
      <x:c r="AI238" s="191"/>
      <x:c r="AJ238" s="191"/>
      <x:c r="AK238" s="191"/>
    </x:row>
    <x:row r="239">
      <x:c r="A239" s="191"/>
      <x:c r="B239" s="191"/>
      <x:c r="C239" s="191"/>
      <x:c r="D239" s="191"/>
      <x:c r="E239" s="191"/>
      <x:c r="F239" s="191"/>
      <x:c r="G239" s="191"/>
      <x:c r="H239" s="191"/>
      <x:c r="I239" s="191"/>
      <x:c r="J239" s="191"/>
      <x:c r="K239" s="191"/>
      <x:c r="L239" s="191"/>
      <x:c r="M239" s="191"/>
      <x:c r="N239" s="191"/>
      <x:c r="O239" s="191"/>
      <x:c r="P239" s="191"/>
      <x:c r="Q239" s="191"/>
      <x:c r="R239" s="191"/>
      <x:c r="S239" s="191"/>
      <x:c r="T239" s="191"/>
      <x:c r="U239" s="191"/>
      <x:c r="V239" s="191"/>
      <x:c r="W239" s="191"/>
      <x:c r="X239" s="191"/>
      <x:c r="Y239" s="191"/>
      <x:c r="Z239" s="191"/>
      <x:c r="AA239" s="191"/>
      <x:c r="AB239" s="191"/>
      <x:c r="AC239" s="191"/>
      <x:c r="AD239" s="191"/>
      <x:c r="AE239" s="191"/>
      <x:c r="AF239" s="191"/>
      <x:c r="AG239" s="191"/>
      <x:c r="AH239" s="191"/>
      <x:c r="AI239" s="191"/>
      <x:c r="AJ239" s="191"/>
      <x:c r="AK239" s="191"/>
    </x:row>
    <x:row r="240">
      <x:c r="A240" s="191"/>
      <x:c r="B240" s="191"/>
      <x:c r="C240" s="191"/>
      <x:c r="D240" s="191"/>
      <x:c r="E240" s="191"/>
      <x:c r="F240" s="191"/>
      <x:c r="G240" s="191"/>
      <x:c r="H240" s="191"/>
      <x:c r="I240" s="191"/>
      <x:c r="J240" s="191"/>
      <x:c r="K240" s="191"/>
      <x:c r="L240" s="191"/>
      <x:c r="M240" s="191"/>
      <x:c r="N240" s="191"/>
      <x:c r="O240" s="191"/>
      <x:c r="P240" s="191"/>
      <x:c r="Q240" s="191"/>
      <x:c r="R240" s="191"/>
      <x:c r="S240" s="191"/>
      <x:c r="T240" s="191"/>
      <x:c r="U240" s="191"/>
      <x:c r="V240" s="191"/>
      <x:c r="W240" s="191"/>
      <x:c r="X240" s="191"/>
      <x:c r="Y240" s="191"/>
      <x:c r="Z240" s="191"/>
      <x:c r="AA240" s="191"/>
      <x:c r="AB240" s="191"/>
      <x:c r="AC240" s="191"/>
      <x:c r="AD240" s="191"/>
      <x:c r="AE240" s="191"/>
      <x:c r="AF240" s="191"/>
      <x:c r="AG240" s="191"/>
      <x:c r="AH240" s="191"/>
      <x:c r="AI240" s="191"/>
      <x:c r="AJ240" s="191"/>
      <x:c r="AK240" s="191"/>
    </x:row>
    <x:row r="241">
      <x:c r="A241" s="191"/>
      <x:c r="B241" s="191"/>
      <x:c r="C241" s="191"/>
      <x:c r="D241" s="191"/>
      <x:c r="E241" s="191"/>
      <x:c r="F241" s="191"/>
      <x:c r="G241" s="191"/>
      <x:c r="H241" s="191"/>
      <x:c r="I241" s="191"/>
      <x:c r="J241" s="191"/>
      <x:c r="K241" s="191"/>
      <x:c r="L241" s="191"/>
      <x:c r="M241" s="191"/>
      <x:c r="N241" s="191"/>
      <x:c r="O241" s="191"/>
      <x:c r="P241" s="191"/>
      <x:c r="Q241" s="191"/>
      <x:c r="R241" s="191"/>
      <x:c r="S241" s="191"/>
      <x:c r="T241" s="191"/>
      <x:c r="U241" s="191"/>
      <x:c r="V241" s="191"/>
      <x:c r="W241" s="191"/>
      <x:c r="X241" s="191"/>
      <x:c r="Y241" s="191"/>
      <x:c r="Z241" s="191"/>
      <x:c r="AA241" s="191"/>
      <x:c r="AB241" s="191"/>
      <x:c r="AC241" s="191"/>
      <x:c r="AD241" s="191"/>
      <x:c r="AE241" s="191"/>
      <x:c r="AF241" s="191"/>
      <x:c r="AG241" s="191"/>
      <x:c r="AH241" s="191"/>
      <x:c r="AI241" s="191"/>
      <x:c r="AJ241" s="191"/>
      <x:c r="AK241" s="191"/>
    </x:row>
    <x:row r="242">
      <x:c r="A242" s="191"/>
      <x:c r="B242" s="191"/>
      <x:c r="C242" s="191"/>
      <x:c r="D242" s="191"/>
      <x:c r="E242" s="191"/>
      <x:c r="F242" s="191"/>
      <x:c r="G242" s="191"/>
      <x:c r="H242" s="191"/>
      <x:c r="I242" s="191"/>
      <x:c r="J242" s="191"/>
      <x:c r="K242" s="191"/>
      <x:c r="L242" s="191"/>
      <x:c r="M242" s="191"/>
      <x:c r="N242" s="191"/>
      <x:c r="O242" s="191"/>
      <x:c r="P242" s="191"/>
      <x:c r="Q242" s="191"/>
      <x:c r="R242" s="191"/>
      <x:c r="S242" s="191"/>
      <x:c r="T242" s="191"/>
      <x:c r="U242" s="191"/>
      <x:c r="V242" s="191"/>
      <x:c r="W242" s="191"/>
      <x:c r="X242" s="191"/>
      <x:c r="Y242" s="191"/>
      <x:c r="Z242" s="191"/>
      <x:c r="AA242" s="191"/>
      <x:c r="AB242" s="191"/>
      <x:c r="AC242" s="191"/>
      <x:c r="AD242" s="191"/>
      <x:c r="AE242" s="191"/>
      <x:c r="AF242" s="191"/>
      <x:c r="AG242" s="191"/>
      <x:c r="AH242" s="191"/>
      <x:c r="AI242" s="191"/>
      <x:c r="AJ242" s="191"/>
      <x:c r="AK242" s="191"/>
    </x:row>
    <x:row r="243">
      <x:c r="A243" s="191"/>
      <x:c r="B243" s="191"/>
      <x:c r="C243" s="191"/>
      <x:c r="D243" s="191"/>
      <x:c r="E243" s="191"/>
      <x:c r="F243" s="191"/>
      <x:c r="G243" s="191"/>
      <x:c r="H243" s="191"/>
      <x:c r="I243" s="191"/>
      <x:c r="J243" s="191"/>
      <x:c r="K243" s="191"/>
      <x:c r="L243" s="191"/>
      <x:c r="M243" s="191"/>
      <x:c r="N243" s="191"/>
      <x:c r="O243" s="191"/>
      <x:c r="P243" s="191"/>
      <x:c r="Q243" s="191"/>
      <x:c r="R243" s="191"/>
      <x:c r="S243" s="191"/>
      <x:c r="T243" s="191"/>
      <x:c r="U243" s="191"/>
      <x:c r="V243" s="191"/>
      <x:c r="W243" s="191"/>
      <x:c r="X243" s="191"/>
      <x:c r="Y243" s="191"/>
      <x:c r="Z243" s="191"/>
      <x:c r="AA243" s="191"/>
      <x:c r="AB243" s="191"/>
      <x:c r="AC243" s="191"/>
      <x:c r="AD243" s="191"/>
      <x:c r="AE243" s="191"/>
      <x:c r="AF243" s="191"/>
      <x:c r="AG243" s="191"/>
      <x:c r="AH243" s="191"/>
      <x:c r="AI243" s="191"/>
      <x:c r="AJ243" s="191"/>
      <x:c r="AK243" s="191"/>
    </x:row>
    <x:row r="244">
      <x:c r="A244" s="191"/>
      <x:c r="B244" s="191"/>
      <x:c r="C244" s="191"/>
      <x:c r="D244" s="191"/>
      <x:c r="E244" s="191"/>
      <x:c r="F244" s="191"/>
      <x:c r="G244" s="191"/>
      <x:c r="H244" s="191"/>
      <x:c r="I244" s="191"/>
      <x:c r="J244" s="191"/>
      <x:c r="K244" s="191"/>
      <x:c r="L244" s="191"/>
      <x:c r="M244" s="191"/>
      <x:c r="N244" s="191"/>
      <x:c r="O244" s="191"/>
      <x:c r="P244" s="191"/>
      <x:c r="Q244" s="191"/>
      <x:c r="R244" s="191"/>
      <x:c r="S244" s="191"/>
      <x:c r="T244" s="191"/>
      <x:c r="U244" s="191"/>
      <x:c r="V244" s="191"/>
      <x:c r="W244" s="191"/>
      <x:c r="X244" s="191"/>
      <x:c r="Y244" s="191"/>
      <x:c r="Z244" s="191"/>
      <x:c r="AA244" s="191"/>
      <x:c r="AB244" s="191"/>
      <x:c r="AC244" s="191"/>
      <x:c r="AD244" s="191"/>
      <x:c r="AE244" s="191"/>
      <x:c r="AF244" s="191"/>
      <x:c r="AG244" s="191"/>
      <x:c r="AH244" s="191"/>
      <x:c r="AI244" s="191"/>
      <x:c r="AJ244" s="191"/>
      <x:c r="AK244" s="191"/>
    </x:row>
    <x:row r="245">
      <x:c r="A245" s="191"/>
      <x:c r="B245" s="191"/>
      <x:c r="C245" s="191"/>
      <x:c r="D245" s="191"/>
      <x:c r="E245" s="191"/>
      <x:c r="F245" s="191"/>
      <x:c r="G245" s="191"/>
      <x:c r="H245" s="191"/>
      <x:c r="I245" s="191"/>
      <x:c r="J245" s="191"/>
      <x:c r="K245" s="191"/>
      <x:c r="L245" s="191"/>
      <x:c r="M245" s="191"/>
      <x:c r="N245" s="191"/>
      <x:c r="O245" s="191"/>
      <x:c r="P245" s="191"/>
      <x:c r="Q245" s="191"/>
      <x:c r="R245" s="191"/>
      <x:c r="S245" s="191"/>
      <x:c r="T245" s="191"/>
      <x:c r="U245" s="191"/>
      <x:c r="V245" s="191"/>
      <x:c r="W245" s="191"/>
      <x:c r="X245" s="191"/>
      <x:c r="Y245" s="191"/>
      <x:c r="Z245" s="191"/>
      <x:c r="AA245" s="191"/>
      <x:c r="AB245" s="191"/>
      <x:c r="AC245" s="191"/>
      <x:c r="AD245" s="191"/>
      <x:c r="AE245" s="191"/>
      <x:c r="AF245" s="191"/>
      <x:c r="AG245" s="191"/>
      <x:c r="AH245" s="191"/>
      <x:c r="AI245" s="191"/>
      <x:c r="AJ245" s="191"/>
      <x:c r="AK245" s="191"/>
    </x:row>
    <x:row r="246">
      <x:c r="A246" s="191"/>
      <x:c r="B246" s="191"/>
      <x:c r="C246" s="191"/>
      <x:c r="D246" s="191"/>
      <x:c r="E246" s="191"/>
      <x:c r="F246" s="191"/>
      <x:c r="G246" s="191"/>
      <x:c r="H246" s="191"/>
      <x:c r="I246" s="191"/>
      <x:c r="J246" s="191"/>
      <x:c r="K246" s="191"/>
      <x:c r="L246" s="191"/>
      <x:c r="M246" s="191"/>
      <x:c r="N246" s="191"/>
      <x:c r="O246" s="191"/>
      <x:c r="P246" s="191"/>
      <x:c r="Q246" s="191"/>
      <x:c r="R246" s="191"/>
      <x:c r="S246" s="191"/>
      <x:c r="T246" s="191"/>
      <x:c r="U246" s="191"/>
      <x:c r="V246" s="191"/>
      <x:c r="W246" s="191"/>
      <x:c r="X246" s="191"/>
      <x:c r="Y246" s="191"/>
      <x:c r="Z246" s="191"/>
      <x:c r="AA246" s="191"/>
      <x:c r="AB246" s="191"/>
      <x:c r="AC246" s="191"/>
      <x:c r="AD246" s="191"/>
      <x:c r="AE246" s="191"/>
      <x:c r="AF246" s="191"/>
      <x:c r="AG246" s="191"/>
      <x:c r="AH246" s="191"/>
      <x:c r="AI246" s="191"/>
      <x:c r="AJ246" s="191"/>
      <x:c r="AK246" s="191"/>
    </x:row>
    <x:row r="247">
      <x:c r="A247" s="191"/>
      <x:c r="B247" s="191"/>
      <x:c r="C247" s="191"/>
      <x:c r="D247" s="191"/>
      <x:c r="E247" s="191"/>
      <x:c r="F247" s="191"/>
      <x:c r="G247" s="191"/>
      <x:c r="H247" s="191"/>
      <x:c r="I247" s="191"/>
      <x:c r="J247" s="191"/>
      <x:c r="K247" s="191"/>
      <x:c r="L247" s="191"/>
      <x:c r="M247" s="191"/>
      <x:c r="N247" s="191"/>
      <x:c r="O247" s="191"/>
      <x:c r="P247" s="191"/>
      <x:c r="Q247" s="191"/>
      <x:c r="R247" s="191"/>
      <x:c r="S247" s="191"/>
      <x:c r="T247" s="191"/>
      <x:c r="U247" s="191"/>
      <x:c r="V247" s="191"/>
      <x:c r="W247" s="191"/>
      <x:c r="X247" s="191"/>
      <x:c r="Y247" s="191"/>
      <x:c r="Z247" s="191"/>
      <x:c r="AA247" s="191"/>
      <x:c r="AB247" s="191"/>
      <x:c r="AC247" s="191"/>
      <x:c r="AD247" s="191"/>
      <x:c r="AE247" s="191"/>
      <x:c r="AF247" s="191"/>
      <x:c r="AG247" s="191"/>
      <x:c r="AH247" s="191"/>
      <x:c r="AI247" s="191"/>
      <x:c r="AJ247" s="191"/>
      <x:c r="AK247" s="191"/>
    </x:row>
    <x:row r="248">
      <x:c r="A248" s="191"/>
      <x:c r="B248" s="191"/>
      <x:c r="C248" s="191"/>
      <x:c r="D248" s="191"/>
      <x:c r="E248" s="191"/>
      <x:c r="F248" s="191"/>
      <x:c r="G248" s="191"/>
      <x:c r="H248" s="191"/>
      <x:c r="I248" s="191"/>
      <x:c r="J248" s="191"/>
      <x:c r="K248" s="191"/>
      <x:c r="L248" s="191"/>
      <x:c r="M248" s="191"/>
      <x:c r="N248" s="191"/>
      <x:c r="O248" s="191"/>
      <x:c r="P248" s="191"/>
      <x:c r="Q248" s="191"/>
      <x:c r="R248" s="191"/>
      <x:c r="S248" s="191"/>
      <x:c r="T248" s="191"/>
      <x:c r="U248" s="191"/>
      <x:c r="V248" s="191"/>
      <x:c r="W248" s="191"/>
      <x:c r="X248" s="191"/>
      <x:c r="Y248" s="191"/>
      <x:c r="Z248" s="191"/>
      <x:c r="AA248" s="191"/>
      <x:c r="AB248" s="191"/>
      <x:c r="AC248" s="191"/>
      <x:c r="AD248" s="191"/>
      <x:c r="AE248" s="191"/>
      <x:c r="AF248" s="191"/>
      <x:c r="AG248" s="191"/>
      <x:c r="AH248" s="191"/>
      <x:c r="AI248" s="191"/>
      <x:c r="AJ248" s="191"/>
      <x:c r="AK248" s="191"/>
    </x:row>
    <x:row r="249">
      <x:c r="A249" s="191"/>
      <x:c r="B249" s="191"/>
      <x:c r="C249" s="191"/>
      <x:c r="D249" s="191"/>
      <x:c r="E249" s="191"/>
      <x:c r="F249" s="191"/>
      <x:c r="G249" s="191"/>
      <x:c r="H249" s="191"/>
      <x:c r="I249" s="191"/>
      <x:c r="J249" s="191"/>
      <x:c r="K249" s="191"/>
      <x:c r="L249" s="191"/>
      <x:c r="M249" s="191"/>
      <x:c r="N249" s="191"/>
      <x:c r="O249" s="191"/>
      <x:c r="P249" s="191"/>
      <x:c r="Q249" s="191"/>
      <x:c r="R249" s="191"/>
      <x:c r="S249" s="191"/>
      <x:c r="T249" s="191"/>
      <x:c r="U249" s="191"/>
      <x:c r="V249" s="191"/>
      <x:c r="W249" s="191"/>
      <x:c r="X249" s="191"/>
      <x:c r="Y249" s="191"/>
      <x:c r="Z249" s="191"/>
      <x:c r="AA249" s="191"/>
      <x:c r="AB249" s="191"/>
      <x:c r="AC249" s="191"/>
      <x:c r="AD249" s="191"/>
      <x:c r="AE249" s="191"/>
      <x:c r="AF249" s="191"/>
      <x:c r="AG249" s="191"/>
      <x:c r="AH249" s="191"/>
      <x:c r="AI249" s="191"/>
      <x:c r="AJ249" s="191"/>
      <x:c r="AK249" s="191"/>
    </x:row>
    <x:row r="250">
      <x:c r="A250" s="191"/>
      <x:c r="B250" s="191"/>
      <x:c r="C250" s="191"/>
      <x:c r="D250" s="191"/>
      <x:c r="E250" s="191"/>
      <x:c r="F250" s="191"/>
      <x:c r="G250" s="191"/>
      <x:c r="H250" s="191"/>
      <x:c r="I250" s="191"/>
      <x:c r="J250" s="191"/>
      <x:c r="K250" s="191"/>
      <x:c r="L250" s="191"/>
      <x:c r="M250" s="191"/>
      <x:c r="N250" s="191"/>
      <x:c r="O250" s="191"/>
      <x:c r="P250" s="191"/>
      <x:c r="Q250" s="191"/>
      <x:c r="R250" s="191"/>
      <x:c r="S250" s="191"/>
      <x:c r="T250" s="191"/>
      <x:c r="U250" s="191"/>
      <x:c r="V250" s="191"/>
      <x:c r="W250" s="191"/>
      <x:c r="X250" s="191"/>
      <x:c r="Y250" s="191"/>
      <x:c r="Z250" s="191"/>
      <x:c r="AA250" s="191"/>
      <x:c r="AB250" s="191"/>
      <x:c r="AC250" s="191"/>
      <x:c r="AD250" s="191"/>
      <x:c r="AE250" s="191"/>
      <x:c r="AF250" s="191"/>
      <x:c r="AG250" s="191"/>
      <x:c r="AH250" s="191"/>
      <x:c r="AI250" s="191"/>
      <x:c r="AJ250" s="191"/>
      <x:c r="AK250" s="191"/>
    </x:row>
    <x:row r="251">
      <x:c r="A251" s="191"/>
      <x:c r="B251" s="191"/>
      <x:c r="C251" s="191"/>
      <x:c r="D251" s="191"/>
      <x:c r="E251" s="191"/>
      <x:c r="F251" s="191"/>
      <x:c r="G251" s="191"/>
      <x:c r="H251" s="191"/>
      <x:c r="I251" s="191"/>
      <x:c r="J251" s="191"/>
      <x:c r="K251" s="191"/>
      <x:c r="L251" s="191"/>
      <x:c r="M251" s="191"/>
      <x:c r="N251" s="191"/>
      <x:c r="O251" s="191"/>
      <x:c r="P251" s="191"/>
      <x:c r="Q251" s="191"/>
      <x:c r="R251" s="191"/>
      <x:c r="S251" s="191"/>
      <x:c r="T251" s="191"/>
      <x:c r="U251" s="191"/>
      <x:c r="V251" s="191"/>
      <x:c r="W251" s="191"/>
      <x:c r="X251" s="191"/>
      <x:c r="Y251" s="191"/>
      <x:c r="Z251" s="191"/>
      <x:c r="AA251" s="191"/>
      <x:c r="AB251" s="191"/>
      <x:c r="AC251" s="191"/>
      <x:c r="AD251" s="191"/>
      <x:c r="AE251" s="191"/>
      <x:c r="AF251" s="191"/>
      <x:c r="AG251" s="191"/>
      <x:c r="AH251" s="191"/>
      <x:c r="AI251" s="191"/>
      <x:c r="AJ251" s="191"/>
      <x:c r="AK251" s="191"/>
    </x:row>
    <x:row r="252">
      <x:c r="A252" s="191"/>
      <x:c r="B252" s="191"/>
      <x:c r="C252" s="191"/>
      <x:c r="D252" s="191"/>
      <x:c r="E252" s="191"/>
      <x:c r="F252" s="191"/>
      <x:c r="G252" s="191"/>
      <x:c r="H252" s="191"/>
      <x:c r="I252" s="191"/>
      <x:c r="J252" s="191"/>
      <x:c r="K252" s="191"/>
      <x:c r="L252" s="191"/>
      <x:c r="M252" s="191"/>
      <x:c r="N252" s="191"/>
      <x:c r="O252" s="191"/>
      <x:c r="P252" s="191"/>
      <x:c r="Q252" s="191"/>
      <x:c r="R252" s="191"/>
      <x:c r="S252" s="191"/>
      <x:c r="T252" s="191"/>
      <x:c r="U252" s="191"/>
      <x:c r="V252" s="191"/>
      <x:c r="W252" s="191"/>
      <x:c r="X252" s="191"/>
      <x:c r="Y252" s="191"/>
      <x:c r="Z252" s="191"/>
      <x:c r="AA252" s="191"/>
      <x:c r="AB252" s="191"/>
      <x:c r="AC252" s="191"/>
      <x:c r="AD252" s="191"/>
      <x:c r="AE252" s="191"/>
      <x:c r="AF252" s="191"/>
      <x:c r="AG252" s="191"/>
      <x:c r="AH252" s="191"/>
      <x:c r="AI252" s="191"/>
      <x:c r="AJ252" s="191"/>
      <x:c r="AK252" s="191"/>
    </x:row>
    <x:row r="253">
      <x:c r="A253" s="191"/>
      <x:c r="B253" s="191"/>
      <x:c r="C253" s="191"/>
      <x:c r="D253" s="191"/>
      <x:c r="E253" s="191"/>
      <x:c r="F253" s="191"/>
      <x:c r="G253" s="191"/>
      <x:c r="H253" s="191"/>
      <x:c r="I253" s="191"/>
      <x:c r="J253" s="191"/>
      <x:c r="K253" s="191"/>
      <x:c r="L253" s="191"/>
      <x:c r="M253" s="191"/>
      <x:c r="N253" s="191"/>
      <x:c r="O253" s="191"/>
      <x:c r="P253" s="191"/>
      <x:c r="Q253" s="191"/>
      <x:c r="R253" s="191"/>
      <x:c r="S253" s="191"/>
      <x:c r="T253" s="191"/>
      <x:c r="U253" s="191"/>
      <x:c r="V253" s="191"/>
      <x:c r="W253" s="191"/>
      <x:c r="X253" s="191"/>
      <x:c r="Y253" s="191"/>
      <x:c r="Z253" s="191"/>
      <x:c r="AA253" s="191"/>
      <x:c r="AB253" s="191"/>
      <x:c r="AC253" s="191"/>
      <x:c r="AD253" s="191"/>
      <x:c r="AE253" s="191"/>
      <x:c r="AF253" s="191"/>
      <x:c r="AG253" s="191"/>
      <x:c r="AH253" s="191"/>
      <x:c r="AI253" s="191"/>
      <x:c r="AJ253" s="191"/>
      <x:c r="AK253" s="191"/>
    </x:row>
    <x:row r="254">
      <x:c r="A254" s="191"/>
      <x:c r="B254" s="191"/>
      <x:c r="C254" s="191"/>
      <x:c r="D254" s="191"/>
      <x:c r="E254" s="191"/>
      <x:c r="F254" s="191"/>
      <x:c r="G254" s="191"/>
      <x:c r="H254" s="191"/>
      <x:c r="I254" s="191"/>
      <x:c r="J254" s="191"/>
      <x:c r="K254" s="191"/>
      <x:c r="L254" s="191"/>
      <x:c r="M254" s="191"/>
      <x:c r="N254" s="191"/>
      <x:c r="O254" s="191"/>
      <x:c r="P254" s="191"/>
      <x:c r="Q254" s="191"/>
      <x:c r="R254" s="191"/>
      <x:c r="S254" s="191"/>
      <x:c r="T254" s="191"/>
      <x:c r="U254" s="191"/>
      <x:c r="V254" s="191"/>
      <x:c r="W254" s="191"/>
      <x:c r="X254" s="191"/>
      <x:c r="Y254" s="191"/>
      <x:c r="Z254" s="191"/>
      <x:c r="AA254" s="191"/>
      <x:c r="AB254" s="191"/>
      <x:c r="AC254" s="191"/>
      <x:c r="AD254" s="191"/>
      <x:c r="AE254" s="191"/>
      <x:c r="AF254" s="191"/>
      <x:c r="AG254" s="191"/>
      <x:c r="AH254" s="191"/>
      <x:c r="AI254" s="191"/>
      <x:c r="AJ254" s="191"/>
      <x:c r="AK254" s="191"/>
    </x:row>
    <x:row r="255">
      <x:c r="A255" s="191"/>
      <x:c r="B255" s="191"/>
      <x:c r="C255" s="191"/>
      <x:c r="D255" s="191"/>
      <x:c r="E255" s="191"/>
      <x:c r="F255" s="191"/>
      <x:c r="G255" s="191"/>
      <x:c r="H255" s="191"/>
      <x:c r="I255" s="191"/>
      <x:c r="J255" s="191"/>
      <x:c r="K255" s="191"/>
      <x:c r="L255" s="191"/>
      <x:c r="M255" s="191"/>
      <x:c r="N255" s="191"/>
      <x:c r="O255" s="191"/>
      <x:c r="P255" s="191"/>
      <x:c r="Q255" s="191"/>
      <x:c r="R255" s="191"/>
      <x:c r="S255" s="191"/>
      <x:c r="T255" s="191"/>
      <x:c r="U255" s="191"/>
      <x:c r="V255" s="191"/>
      <x:c r="W255" s="191"/>
      <x:c r="X255" s="191"/>
      <x:c r="Y255" s="191"/>
      <x:c r="Z255" s="191"/>
      <x:c r="AA255" s="191"/>
      <x:c r="AB255" s="191"/>
      <x:c r="AC255" s="191"/>
      <x:c r="AD255" s="191"/>
      <x:c r="AE255" s="191"/>
      <x:c r="AF255" s="191"/>
      <x:c r="AG255" s="191"/>
      <x:c r="AH255" s="191"/>
      <x:c r="AI255" s="191"/>
      <x:c r="AJ255" s="191"/>
      <x:c r="AK255" s="191"/>
    </x:row>
    <x:row r="256">
      <x:c r="A256" s="191"/>
      <x:c r="B256" s="191"/>
      <x:c r="C256" s="191"/>
      <x:c r="D256" s="191"/>
      <x:c r="E256" s="191"/>
      <x:c r="F256" s="191"/>
      <x:c r="G256" s="191"/>
      <x:c r="H256" s="191"/>
      <x:c r="I256" s="191"/>
      <x:c r="J256" s="191"/>
      <x:c r="K256" s="191"/>
      <x:c r="L256" s="191"/>
      <x:c r="M256" s="191"/>
      <x:c r="N256" s="191"/>
      <x:c r="O256" s="191"/>
      <x:c r="P256" s="191"/>
      <x:c r="Q256" s="191"/>
      <x:c r="R256" s="191"/>
      <x:c r="S256" s="191"/>
      <x:c r="T256" s="191"/>
      <x:c r="U256" s="191"/>
      <x:c r="V256" s="191"/>
      <x:c r="W256" s="191"/>
      <x:c r="X256" s="191"/>
      <x:c r="Y256" s="191"/>
      <x:c r="Z256" s="191"/>
      <x:c r="AA256" s="191"/>
      <x:c r="AB256" s="191"/>
      <x:c r="AC256" s="191"/>
      <x:c r="AD256" s="191"/>
      <x:c r="AE256" s="191"/>
      <x:c r="AF256" s="191"/>
      <x:c r="AG256" s="191"/>
      <x:c r="AH256" s="191"/>
      <x:c r="AI256" s="191"/>
      <x:c r="AJ256" s="191"/>
      <x:c r="AK256" s="191"/>
    </x:row>
    <x:row r="257">
      <x:c r="A257" s="191"/>
      <x:c r="B257" s="191"/>
      <x:c r="C257" s="191"/>
      <x:c r="D257" s="191"/>
      <x:c r="E257" s="191"/>
      <x:c r="F257" s="191"/>
      <x:c r="G257" s="191"/>
      <x:c r="H257" s="191"/>
      <x:c r="I257" s="191"/>
      <x:c r="J257" s="191"/>
      <x:c r="K257" s="191"/>
      <x:c r="L257" s="191"/>
      <x:c r="M257" s="191"/>
      <x:c r="N257" s="191"/>
      <x:c r="O257" s="191"/>
      <x:c r="P257" s="191"/>
      <x:c r="Q257" s="191"/>
      <x:c r="R257" s="191"/>
      <x:c r="S257" s="191"/>
      <x:c r="T257" s="191"/>
      <x:c r="U257" s="191"/>
      <x:c r="V257" s="191"/>
      <x:c r="W257" s="191"/>
      <x:c r="X257" s="191"/>
      <x:c r="Y257" s="191"/>
      <x:c r="Z257" s="191"/>
      <x:c r="AA257" s="191"/>
      <x:c r="AB257" s="191"/>
      <x:c r="AC257" s="191"/>
      <x:c r="AD257" s="191"/>
      <x:c r="AE257" s="191"/>
      <x:c r="AF257" s="191"/>
      <x:c r="AG257" s="191"/>
      <x:c r="AH257" s="191"/>
      <x:c r="AI257" s="191"/>
      <x:c r="AJ257" s="191"/>
      <x:c r="AK257" s="191"/>
    </x:row>
    <x:row r="258">
      <x:c r="A258" s="191"/>
      <x:c r="B258" s="191"/>
      <x:c r="C258" s="191"/>
      <x:c r="D258" s="191"/>
      <x:c r="E258" s="191"/>
      <x:c r="F258" s="191"/>
      <x:c r="G258" s="191"/>
      <x:c r="H258" s="191"/>
      <x:c r="I258" s="191"/>
      <x:c r="J258" s="191"/>
      <x:c r="K258" s="191"/>
      <x:c r="L258" s="191"/>
      <x:c r="M258" s="191"/>
      <x:c r="N258" s="191"/>
      <x:c r="O258" s="191"/>
      <x:c r="P258" s="191"/>
      <x:c r="Q258" s="191"/>
      <x:c r="R258" s="191"/>
      <x:c r="S258" s="191"/>
      <x:c r="T258" s="191"/>
      <x:c r="U258" s="191"/>
      <x:c r="V258" s="191"/>
      <x:c r="W258" s="191"/>
      <x:c r="X258" s="191"/>
      <x:c r="Y258" s="191"/>
      <x:c r="Z258" s="191"/>
      <x:c r="AA258" s="191"/>
      <x:c r="AB258" s="191"/>
      <x:c r="AC258" s="191"/>
      <x:c r="AD258" s="191"/>
      <x:c r="AE258" s="191"/>
      <x:c r="AF258" s="191"/>
      <x:c r="AG258" s="191"/>
      <x:c r="AH258" s="191"/>
      <x:c r="AI258" s="191"/>
      <x:c r="AJ258" s="191"/>
      <x:c r="AK258" s="191"/>
    </x:row>
    <x:row r="259">
      <x:c r="A259" s="191"/>
      <x:c r="B259" s="191"/>
      <x:c r="C259" s="191"/>
      <x:c r="D259" s="191"/>
      <x:c r="E259" s="191"/>
      <x:c r="F259" s="191"/>
      <x:c r="G259" s="191"/>
      <x:c r="H259" s="191"/>
      <x:c r="I259" s="191"/>
      <x:c r="J259" s="191"/>
      <x:c r="K259" s="191"/>
      <x:c r="L259" s="191"/>
      <x:c r="M259" s="191"/>
      <x:c r="N259" s="191"/>
      <x:c r="O259" s="191"/>
      <x:c r="P259" s="191"/>
      <x:c r="Q259" s="191"/>
      <x:c r="R259" s="191"/>
      <x:c r="S259" s="191"/>
      <x:c r="T259" s="191"/>
      <x:c r="U259" s="191"/>
      <x:c r="V259" s="191"/>
      <x:c r="W259" s="191"/>
      <x:c r="X259" s="191"/>
      <x:c r="Y259" s="191"/>
      <x:c r="Z259" s="191"/>
      <x:c r="AA259" s="191"/>
      <x:c r="AB259" s="191"/>
      <x:c r="AC259" s="191"/>
      <x:c r="AD259" s="191"/>
      <x:c r="AE259" s="191"/>
      <x:c r="AF259" s="191"/>
      <x:c r="AG259" s="191"/>
      <x:c r="AH259" s="191"/>
      <x:c r="AI259" s="191"/>
      <x:c r="AJ259" s="191"/>
      <x:c r="AK259" s="191"/>
    </x:row>
    <x:row r="260">
      <x:c r="A260" s="191"/>
      <x:c r="B260" s="191"/>
      <x:c r="C260" s="191"/>
      <x:c r="D260" s="191"/>
      <x:c r="E260" s="191"/>
      <x:c r="F260" s="191"/>
      <x:c r="G260" s="191"/>
      <x:c r="H260" s="191"/>
      <x:c r="I260" s="191"/>
      <x:c r="J260" s="191"/>
      <x:c r="K260" s="191"/>
      <x:c r="L260" s="191"/>
      <x:c r="M260" s="191"/>
      <x:c r="N260" s="191"/>
      <x:c r="O260" s="191"/>
      <x:c r="P260" s="191"/>
      <x:c r="Q260" s="191"/>
      <x:c r="R260" s="191"/>
      <x:c r="S260" s="191"/>
      <x:c r="T260" s="191"/>
      <x:c r="U260" s="191"/>
      <x:c r="V260" s="191"/>
      <x:c r="W260" s="191"/>
      <x:c r="X260" s="191"/>
      <x:c r="Y260" s="191"/>
      <x:c r="Z260" s="191"/>
      <x:c r="AA260" s="191"/>
      <x:c r="AB260" s="191"/>
      <x:c r="AC260" s="191"/>
      <x:c r="AD260" s="191"/>
      <x:c r="AE260" s="191"/>
      <x:c r="AF260" s="191"/>
      <x:c r="AG260" s="191"/>
      <x:c r="AH260" s="191"/>
      <x:c r="AI260" s="191"/>
      <x:c r="AJ260" s="191"/>
      <x:c r="AK260" s="191"/>
    </x:row>
    <x:row r="261">
      <x:c r="A261" s="191"/>
      <x:c r="B261" s="191"/>
      <x:c r="C261" s="191"/>
      <x:c r="D261" s="191"/>
      <x:c r="E261" s="191"/>
      <x:c r="F261" s="191"/>
      <x:c r="G261" s="191"/>
      <x:c r="H261" s="191"/>
      <x:c r="I261" s="191"/>
      <x:c r="J261" s="191"/>
      <x:c r="K261" s="191"/>
      <x:c r="L261" s="191"/>
      <x:c r="M261" s="191"/>
      <x:c r="N261" s="191"/>
      <x:c r="O261" s="191"/>
      <x:c r="P261" s="191"/>
      <x:c r="Q261" s="191"/>
      <x:c r="R261" s="191"/>
      <x:c r="S261" s="191"/>
      <x:c r="T261" s="191"/>
      <x:c r="U261" s="191"/>
      <x:c r="V261" s="191"/>
      <x:c r="W261" s="191"/>
      <x:c r="X261" s="191"/>
      <x:c r="Y261" s="191"/>
      <x:c r="Z261" s="191"/>
      <x:c r="AA261" s="191"/>
      <x:c r="AB261" s="191"/>
      <x:c r="AC261" s="191"/>
      <x:c r="AD261" s="191"/>
      <x:c r="AE261" s="191"/>
      <x:c r="AF261" s="191"/>
      <x:c r="AG261" s="191"/>
      <x:c r="AH261" s="191"/>
      <x:c r="AI261" s="191"/>
      <x:c r="AJ261" s="191"/>
      <x:c r="AK261" s="191"/>
    </x:row>
    <x:row r="262">
      <x:c r="A262" s="191"/>
      <x:c r="B262" s="191"/>
      <x:c r="C262" s="191"/>
      <x:c r="D262" s="191"/>
      <x:c r="E262" s="191"/>
      <x:c r="F262" s="191"/>
      <x:c r="G262" s="191"/>
      <x:c r="H262" s="191"/>
      <x:c r="I262" s="191"/>
      <x:c r="J262" s="191"/>
      <x:c r="K262" s="191"/>
      <x:c r="L262" s="191"/>
      <x:c r="M262" s="191"/>
      <x:c r="N262" s="191"/>
      <x:c r="O262" s="191"/>
      <x:c r="P262" s="191"/>
      <x:c r="Q262" s="191"/>
      <x:c r="R262" s="191"/>
      <x:c r="S262" s="191"/>
      <x:c r="T262" s="191"/>
      <x:c r="U262" s="191"/>
      <x:c r="V262" s="191"/>
      <x:c r="W262" s="191"/>
      <x:c r="X262" s="191"/>
      <x:c r="Y262" s="191"/>
      <x:c r="Z262" s="191"/>
      <x:c r="AA262" s="191"/>
      <x:c r="AB262" s="191"/>
      <x:c r="AC262" s="191"/>
      <x:c r="AD262" s="191"/>
      <x:c r="AE262" s="191"/>
      <x:c r="AF262" s="191"/>
      <x:c r="AG262" s="191"/>
      <x:c r="AH262" s="191"/>
      <x:c r="AI262" s="191"/>
      <x:c r="AJ262" s="191"/>
      <x:c r="AK262" s="191"/>
    </x:row>
    <x:row r="263">
      <x:c r="A263" s="191"/>
      <x:c r="B263" s="191"/>
      <x:c r="C263" s="191"/>
      <x:c r="D263" s="191"/>
      <x:c r="E263" s="191"/>
      <x:c r="F263" s="191"/>
      <x:c r="G263" s="191"/>
      <x:c r="H263" s="191"/>
      <x:c r="I263" s="191"/>
      <x:c r="J263" s="191"/>
      <x:c r="K263" s="191"/>
      <x:c r="L263" s="191"/>
      <x:c r="M263" s="191"/>
      <x:c r="N263" s="191"/>
      <x:c r="O263" s="191"/>
      <x:c r="P263" s="191"/>
      <x:c r="Q263" s="191"/>
      <x:c r="R263" s="191"/>
      <x:c r="S263" s="191"/>
      <x:c r="T263" s="191"/>
      <x:c r="U263" s="191"/>
      <x:c r="V263" s="191"/>
      <x:c r="W263" s="191"/>
      <x:c r="X263" s="191"/>
      <x:c r="Y263" s="191"/>
      <x:c r="Z263" s="191"/>
      <x:c r="AA263" s="191"/>
      <x:c r="AB263" s="191"/>
      <x:c r="AC263" s="191"/>
      <x:c r="AD263" s="191"/>
      <x:c r="AE263" s="191"/>
      <x:c r="AF263" s="191"/>
      <x:c r="AG263" s="191"/>
      <x:c r="AH263" s="191"/>
      <x:c r="AI263" s="191"/>
      <x:c r="AJ263" s="191"/>
      <x:c r="AK263" s="191"/>
    </x:row>
    <x:row r="264">
      <x:c r="A264" s="191"/>
      <x:c r="B264" s="191"/>
      <x:c r="C264" s="191"/>
      <x:c r="D264" s="191"/>
      <x:c r="E264" s="191"/>
      <x:c r="F264" s="191"/>
      <x:c r="G264" s="191"/>
      <x:c r="H264" s="191"/>
      <x:c r="I264" s="191"/>
      <x:c r="J264" s="191"/>
      <x:c r="K264" s="191"/>
      <x:c r="L264" s="191"/>
      <x:c r="M264" s="191"/>
      <x:c r="N264" s="191"/>
      <x:c r="O264" s="191"/>
      <x:c r="P264" s="191"/>
      <x:c r="Q264" s="191"/>
      <x:c r="R264" s="191"/>
      <x:c r="S264" s="191"/>
      <x:c r="T264" s="191"/>
      <x:c r="U264" s="191"/>
      <x:c r="V264" s="191"/>
      <x:c r="W264" s="191"/>
      <x:c r="X264" s="191"/>
      <x:c r="Y264" s="191"/>
      <x:c r="Z264" s="191"/>
      <x:c r="AA264" s="191"/>
      <x:c r="AB264" s="191"/>
      <x:c r="AC264" s="191"/>
      <x:c r="AD264" s="191"/>
      <x:c r="AE264" s="191"/>
      <x:c r="AF264" s="191"/>
      <x:c r="AG264" s="191"/>
      <x:c r="AH264" s="191"/>
      <x:c r="AI264" s="191"/>
      <x:c r="AJ264" s="191"/>
      <x:c r="AK264" s="191"/>
    </x:row>
    <x:row r="265">
      <x:c r="A265" s="191"/>
      <x:c r="B265" s="191"/>
      <x:c r="C265" s="191"/>
      <x:c r="D265" s="191"/>
      <x:c r="E265" s="191"/>
      <x:c r="F265" s="191"/>
      <x:c r="G265" s="191"/>
      <x:c r="H265" s="191"/>
      <x:c r="I265" s="191"/>
      <x:c r="J265" s="191"/>
      <x:c r="K265" s="191"/>
      <x:c r="L265" s="191"/>
      <x:c r="M265" s="191"/>
      <x:c r="N265" s="191"/>
      <x:c r="O265" s="191"/>
      <x:c r="P265" s="191"/>
      <x:c r="Q265" s="191"/>
      <x:c r="R265" s="191"/>
      <x:c r="S265" s="191"/>
      <x:c r="T265" s="191"/>
      <x:c r="U265" s="191"/>
      <x:c r="V265" s="191"/>
      <x:c r="W265" s="191"/>
      <x:c r="X265" s="191"/>
      <x:c r="Y265" s="191"/>
      <x:c r="Z265" s="191"/>
      <x:c r="AA265" s="191"/>
      <x:c r="AB265" s="191"/>
      <x:c r="AC265" s="191"/>
      <x:c r="AD265" s="191"/>
      <x:c r="AE265" s="191"/>
      <x:c r="AF265" s="191"/>
      <x:c r="AG265" s="191"/>
      <x:c r="AH265" s="191"/>
      <x:c r="AI265" s="191"/>
      <x:c r="AJ265" s="191"/>
      <x:c r="AK265" s="191"/>
    </x:row>
    <x:row r="266">
      <x:c r="A266" s="191"/>
      <x:c r="B266" s="191"/>
      <x:c r="C266" s="191"/>
      <x:c r="D266" s="191"/>
      <x:c r="E266" s="191"/>
      <x:c r="F266" s="191"/>
      <x:c r="G266" s="191"/>
      <x:c r="H266" s="191"/>
      <x:c r="I266" s="191"/>
      <x:c r="J266" s="191"/>
      <x:c r="K266" s="191"/>
      <x:c r="L266" s="191"/>
      <x:c r="M266" s="191"/>
      <x:c r="N266" s="191"/>
      <x:c r="O266" s="191"/>
      <x:c r="P266" s="191"/>
      <x:c r="Q266" s="191"/>
      <x:c r="R266" s="191"/>
      <x:c r="S266" s="191"/>
      <x:c r="T266" s="191"/>
      <x:c r="U266" s="191"/>
      <x:c r="V266" s="191"/>
      <x:c r="W266" s="191"/>
      <x:c r="X266" s="191"/>
      <x:c r="Y266" s="191"/>
      <x:c r="Z266" s="191"/>
      <x:c r="AA266" s="191"/>
      <x:c r="AB266" s="191"/>
      <x:c r="AC266" s="191"/>
      <x:c r="AD266" s="191"/>
      <x:c r="AE266" s="191"/>
      <x:c r="AF266" s="191"/>
      <x:c r="AG266" s="191"/>
      <x:c r="AH266" s="191"/>
      <x:c r="AI266" s="191"/>
      <x:c r="AJ266" s="191"/>
      <x:c r="AK266" s="191"/>
    </x:row>
    <x:row r="267">
      <x:c r="A267" s="191"/>
      <x:c r="B267" s="191"/>
      <x:c r="C267" s="191"/>
      <x:c r="D267" s="191"/>
      <x:c r="E267" s="191"/>
      <x:c r="F267" s="191"/>
      <x:c r="G267" s="191"/>
      <x:c r="H267" s="191"/>
      <x:c r="I267" s="191"/>
      <x:c r="J267" s="191"/>
      <x:c r="K267" s="191"/>
      <x:c r="L267" s="191"/>
      <x:c r="M267" s="191"/>
      <x:c r="N267" s="191"/>
      <x:c r="O267" s="191"/>
      <x:c r="P267" s="191"/>
      <x:c r="Q267" s="191"/>
      <x:c r="R267" s="191"/>
      <x:c r="S267" s="191"/>
      <x:c r="T267" s="191"/>
      <x:c r="U267" s="191"/>
      <x:c r="V267" s="191"/>
      <x:c r="W267" s="191"/>
      <x:c r="X267" s="191"/>
      <x:c r="Y267" s="191"/>
      <x:c r="Z267" s="191"/>
      <x:c r="AA267" s="191"/>
      <x:c r="AB267" s="191"/>
      <x:c r="AC267" s="191"/>
      <x:c r="AD267" s="191"/>
      <x:c r="AE267" s="191"/>
      <x:c r="AF267" s="191"/>
      <x:c r="AG267" s="191"/>
      <x:c r="AH267" s="191"/>
      <x:c r="AI267" s="191"/>
      <x:c r="AJ267" s="191"/>
      <x:c r="AK267" s="191"/>
    </x:row>
    <x:row r="268">
      <x:c r="A268" s="191"/>
      <x:c r="B268" s="191"/>
      <x:c r="C268" s="191"/>
      <x:c r="D268" s="191"/>
      <x:c r="E268" s="191"/>
      <x:c r="F268" s="191"/>
      <x:c r="G268" s="191"/>
      <x:c r="H268" s="191"/>
      <x:c r="I268" s="191"/>
      <x:c r="J268" s="191"/>
      <x:c r="K268" s="191"/>
      <x:c r="L268" s="191"/>
      <x:c r="M268" s="191"/>
      <x:c r="N268" s="191"/>
      <x:c r="O268" s="191"/>
      <x:c r="P268" s="191"/>
      <x:c r="Q268" s="191"/>
      <x:c r="R268" s="191"/>
      <x:c r="S268" s="191"/>
      <x:c r="T268" s="191"/>
      <x:c r="U268" s="191"/>
      <x:c r="V268" s="191"/>
      <x:c r="W268" s="191"/>
      <x:c r="X268" s="191"/>
      <x:c r="Y268" s="191"/>
      <x:c r="Z268" s="191"/>
      <x:c r="AA268" s="191"/>
      <x:c r="AB268" s="191"/>
      <x:c r="AC268" s="191"/>
      <x:c r="AD268" s="191"/>
      <x:c r="AE268" s="191"/>
      <x:c r="AF268" s="191"/>
      <x:c r="AG268" s="191"/>
      <x:c r="AH268" s="191"/>
      <x:c r="AI268" s="191"/>
      <x:c r="AJ268" s="191"/>
      <x:c r="AK268" s="191"/>
    </x:row>
    <x:row r="269">
      <x:c r="A269" s="191"/>
      <x:c r="B269" s="191"/>
      <x:c r="C269" s="191"/>
      <x:c r="D269" s="191"/>
      <x:c r="E269" s="191"/>
      <x:c r="F269" s="191"/>
      <x:c r="G269" s="191"/>
      <x:c r="H269" s="191"/>
      <x:c r="I269" s="191"/>
      <x:c r="J269" s="191"/>
      <x:c r="K269" s="191"/>
      <x:c r="L269" s="191"/>
      <x:c r="M269" s="191"/>
      <x:c r="N269" s="191"/>
      <x:c r="O269" s="191"/>
      <x:c r="P269" s="191"/>
      <x:c r="Q269" s="191"/>
      <x:c r="R269" s="191"/>
      <x:c r="S269" s="191"/>
      <x:c r="T269" s="191"/>
      <x:c r="U269" s="191"/>
      <x:c r="V269" s="191"/>
      <x:c r="W269" s="191"/>
      <x:c r="X269" s="191"/>
      <x:c r="Y269" s="191"/>
      <x:c r="Z269" s="191"/>
      <x:c r="AA269" s="191"/>
      <x:c r="AB269" s="191"/>
      <x:c r="AC269" s="191"/>
      <x:c r="AD269" s="191"/>
      <x:c r="AE269" s="191"/>
      <x:c r="AF269" s="191"/>
      <x:c r="AG269" s="191"/>
      <x:c r="AH269" s="191"/>
      <x:c r="AI269" s="191"/>
      <x:c r="AJ269" s="191"/>
      <x:c r="AK269" s="191"/>
    </x:row>
    <x:row r="270">
      <x:c r="A270" s="191"/>
      <x:c r="B270" s="191"/>
      <x:c r="C270" s="191"/>
      <x:c r="D270" s="191"/>
      <x:c r="E270" s="191"/>
      <x:c r="F270" s="191"/>
      <x:c r="G270" s="191"/>
      <x:c r="H270" s="191"/>
      <x:c r="I270" s="191"/>
      <x:c r="J270" s="191"/>
      <x:c r="K270" s="191"/>
      <x:c r="L270" s="191"/>
      <x:c r="M270" s="191"/>
      <x:c r="N270" s="191"/>
      <x:c r="O270" s="191"/>
      <x:c r="P270" s="191"/>
      <x:c r="Q270" s="191"/>
      <x:c r="R270" s="191"/>
      <x:c r="S270" s="191"/>
      <x:c r="T270" s="191"/>
      <x:c r="U270" s="191"/>
      <x:c r="V270" s="191"/>
      <x:c r="W270" s="191"/>
      <x:c r="X270" s="191"/>
      <x:c r="Y270" s="191"/>
      <x:c r="Z270" s="191"/>
      <x:c r="AA270" s="191"/>
      <x:c r="AB270" s="191"/>
      <x:c r="AC270" s="191"/>
      <x:c r="AD270" s="191"/>
      <x:c r="AE270" s="191"/>
      <x:c r="AF270" s="191"/>
      <x:c r="AG270" s="191"/>
      <x:c r="AH270" s="191"/>
      <x:c r="AI270" s="191"/>
      <x:c r="AJ270" s="191"/>
      <x:c r="AK270" s="191"/>
    </x:row>
    <x:row r="271">
      <x:c r="A271" s="191"/>
      <x:c r="B271" s="191"/>
      <x:c r="C271" s="191"/>
      <x:c r="D271" s="191"/>
      <x:c r="E271" s="191"/>
      <x:c r="F271" s="191"/>
      <x:c r="G271" s="191"/>
      <x:c r="H271" s="191"/>
      <x:c r="I271" s="191"/>
      <x:c r="J271" s="191"/>
      <x:c r="K271" s="191"/>
      <x:c r="L271" s="191"/>
      <x:c r="M271" s="191"/>
      <x:c r="N271" s="191"/>
      <x:c r="O271" s="191"/>
      <x:c r="P271" s="191"/>
      <x:c r="Q271" s="191"/>
      <x:c r="R271" s="191"/>
      <x:c r="S271" s="191"/>
      <x:c r="T271" s="191"/>
      <x:c r="U271" s="191"/>
      <x:c r="V271" s="191"/>
      <x:c r="W271" s="191"/>
      <x:c r="X271" s="191"/>
      <x:c r="Y271" s="191"/>
      <x:c r="Z271" s="191"/>
      <x:c r="AA271" s="191"/>
      <x:c r="AB271" s="191"/>
      <x:c r="AC271" s="191"/>
      <x:c r="AD271" s="191"/>
      <x:c r="AE271" s="191"/>
      <x:c r="AF271" s="191"/>
      <x:c r="AG271" s="191"/>
      <x:c r="AH271" s="191"/>
      <x:c r="AI271" s="191"/>
      <x:c r="AJ271" s="191"/>
      <x:c r="AK271" s="191"/>
    </x:row>
    <x:row r="272">
      <x:c r="A272" s="191"/>
      <x:c r="B272" s="191"/>
      <x:c r="C272" s="191"/>
      <x:c r="D272" s="191"/>
      <x:c r="E272" s="191"/>
      <x:c r="F272" s="191"/>
      <x:c r="G272" s="191"/>
      <x:c r="H272" s="191"/>
      <x:c r="I272" s="191"/>
      <x:c r="J272" s="191"/>
      <x:c r="K272" s="191"/>
      <x:c r="L272" s="191"/>
      <x:c r="M272" s="191"/>
      <x:c r="N272" s="191"/>
      <x:c r="O272" s="191"/>
      <x:c r="P272" s="191"/>
      <x:c r="Q272" s="191"/>
      <x:c r="R272" s="191"/>
      <x:c r="S272" s="191"/>
      <x:c r="T272" s="191"/>
      <x:c r="U272" s="191"/>
      <x:c r="V272" s="191"/>
      <x:c r="W272" s="191"/>
      <x:c r="X272" s="191"/>
      <x:c r="Y272" s="191"/>
      <x:c r="Z272" s="191"/>
      <x:c r="AA272" s="191"/>
      <x:c r="AB272" s="191"/>
      <x:c r="AC272" s="191"/>
      <x:c r="AD272" s="191"/>
      <x:c r="AE272" s="191"/>
      <x:c r="AF272" s="191"/>
      <x:c r="AG272" s="191"/>
      <x:c r="AH272" s="191"/>
      <x:c r="AI272" s="191"/>
      <x:c r="AJ272" s="191"/>
      <x:c r="AK272" s="191"/>
    </x:row>
    <x:row r="273">
      <x:c r="A273" s="191"/>
      <x:c r="B273" s="191"/>
      <x:c r="C273" s="191"/>
      <x:c r="D273" s="191"/>
      <x:c r="E273" s="191"/>
      <x:c r="F273" s="191"/>
      <x:c r="G273" s="191"/>
      <x:c r="H273" s="191"/>
      <x:c r="I273" s="191"/>
      <x:c r="J273" s="191"/>
      <x:c r="K273" s="191"/>
      <x:c r="L273" s="191"/>
      <x:c r="M273" s="191"/>
      <x:c r="N273" s="191"/>
      <x:c r="O273" s="191"/>
      <x:c r="P273" s="191"/>
      <x:c r="Q273" s="191"/>
      <x:c r="R273" s="191"/>
      <x:c r="S273" s="191"/>
      <x:c r="T273" s="191"/>
      <x:c r="U273" s="191"/>
      <x:c r="V273" s="191"/>
      <x:c r="W273" s="191"/>
      <x:c r="X273" s="191"/>
      <x:c r="Y273" s="191"/>
      <x:c r="Z273" s="191"/>
      <x:c r="AA273" s="191"/>
      <x:c r="AB273" s="191"/>
      <x:c r="AC273" s="191"/>
      <x:c r="AD273" s="191"/>
      <x:c r="AE273" s="191"/>
      <x:c r="AF273" s="191"/>
      <x:c r="AG273" s="191"/>
      <x:c r="AH273" s="191"/>
      <x:c r="AI273" s="191"/>
      <x:c r="AJ273" s="191"/>
      <x:c r="AK273" s="191"/>
    </x:row>
    <x:row r="274">
      <x:c r="A274" s="191"/>
      <x:c r="B274" s="191"/>
      <x:c r="C274" s="191"/>
      <x:c r="D274" s="191"/>
      <x:c r="E274" s="191"/>
      <x:c r="F274" s="191"/>
      <x:c r="G274" s="191"/>
      <x:c r="H274" s="191"/>
      <x:c r="I274" s="191"/>
      <x:c r="J274" s="191"/>
      <x:c r="K274" s="191"/>
      <x:c r="L274" s="191"/>
      <x:c r="M274" s="191"/>
      <x:c r="N274" s="191"/>
      <x:c r="O274" s="191"/>
      <x:c r="P274" s="191"/>
      <x:c r="Q274" s="191"/>
      <x:c r="R274" s="191"/>
      <x:c r="S274" s="191"/>
      <x:c r="T274" s="191"/>
      <x:c r="U274" s="191"/>
      <x:c r="V274" s="191"/>
      <x:c r="W274" s="191"/>
      <x:c r="X274" s="191"/>
      <x:c r="Y274" s="191"/>
      <x:c r="Z274" s="191"/>
      <x:c r="AA274" s="191"/>
      <x:c r="AB274" s="191"/>
      <x:c r="AC274" s="191"/>
      <x:c r="AD274" s="191"/>
      <x:c r="AE274" s="191"/>
      <x:c r="AF274" s="191"/>
      <x:c r="AG274" s="191"/>
      <x:c r="AH274" s="191"/>
      <x:c r="AI274" s="191"/>
      <x:c r="AJ274" s="191"/>
      <x:c r="AK274" s="191"/>
    </x:row>
    <x:row r="275">
      <x:c r="A275" s="191"/>
      <x:c r="B275" s="191"/>
      <x:c r="C275" s="191"/>
      <x:c r="D275" s="191"/>
      <x:c r="E275" s="191"/>
      <x:c r="F275" s="191"/>
      <x:c r="G275" s="191"/>
      <x:c r="H275" s="191"/>
      <x:c r="I275" s="191"/>
      <x:c r="J275" s="191"/>
      <x:c r="K275" s="191"/>
      <x:c r="L275" s="191"/>
      <x:c r="M275" s="191"/>
      <x:c r="N275" s="191"/>
      <x:c r="O275" s="191"/>
      <x:c r="P275" s="191"/>
      <x:c r="Q275" s="191"/>
      <x:c r="R275" s="191"/>
      <x:c r="S275" s="191"/>
      <x:c r="T275" s="191"/>
      <x:c r="U275" s="191"/>
      <x:c r="V275" s="191"/>
      <x:c r="W275" s="191"/>
      <x:c r="X275" s="191"/>
      <x:c r="Y275" s="191"/>
      <x:c r="Z275" s="191"/>
      <x:c r="AA275" s="191"/>
      <x:c r="AB275" s="191"/>
      <x:c r="AC275" s="191"/>
      <x:c r="AD275" s="191"/>
      <x:c r="AE275" s="191"/>
      <x:c r="AF275" s="191"/>
      <x:c r="AG275" s="191"/>
      <x:c r="AH275" s="191"/>
      <x:c r="AI275" s="191"/>
      <x:c r="AJ275" s="191"/>
      <x:c r="AK275" s="191"/>
    </x:row>
    <x:row r="276">
      <x:c r="A276" s="191"/>
      <x:c r="B276" s="191"/>
      <x:c r="C276" s="191"/>
      <x:c r="D276" s="191"/>
      <x:c r="E276" s="191"/>
      <x:c r="F276" s="191"/>
      <x:c r="G276" s="191"/>
      <x:c r="H276" s="191"/>
      <x:c r="I276" s="191"/>
      <x:c r="J276" s="191"/>
      <x:c r="K276" s="191"/>
      <x:c r="L276" s="191"/>
      <x:c r="M276" s="191"/>
      <x:c r="N276" s="191"/>
      <x:c r="O276" s="191"/>
      <x:c r="P276" s="191"/>
      <x:c r="Q276" s="191"/>
      <x:c r="R276" s="191"/>
      <x:c r="S276" s="191"/>
      <x:c r="T276" s="191"/>
      <x:c r="U276" s="191"/>
      <x:c r="V276" s="191"/>
      <x:c r="W276" s="191"/>
      <x:c r="X276" s="191"/>
      <x:c r="Y276" s="191"/>
      <x:c r="Z276" s="191"/>
      <x:c r="AA276" s="191"/>
      <x:c r="AB276" s="191"/>
      <x:c r="AC276" s="191"/>
      <x:c r="AD276" s="191"/>
      <x:c r="AE276" s="191"/>
      <x:c r="AF276" s="191"/>
      <x:c r="AG276" s="191"/>
      <x:c r="AH276" s="191"/>
      <x:c r="AI276" s="191"/>
      <x:c r="AJ276" s="191"/>
      <x:c r="AK276" s="191"/>
    </x:row>
    <x:row r="277">
      <x:c r="A277" s="191"/>
      <x:c r="B277" s="191"/>
      <x:c r="C277" s="191"/>
      <x:c r="D277" s="191"/>
      <x:c r="E277" s="191"/>
      <x:c r="F277" s="191"/>
      <x:c r="G277" s="191"/>
      <x:c r="H277" s="191"/>
      <x:c r="I277" s="191"/>
      <x:c r="J277" s="191"/>
      <x:c r="K277" s="191"/>
      <x:c r="L277" s="191"/>
      <x:c r="M277" s="191"/>
      <x:c r="N277" s="191"/>
      <x:c r="O277" s="191"/>
      <x:c r="P277" s="191"/>
      <x:c r="Q277" s="191"/>
      <x:c r="R277" s="191"/>
      <x:c r="S277" s="191"/>
      <x:c r="T277" s="191"/>
      <x:c r="U277" s="191"/>
      <x:c r="V277" s="191"/>
      <x:c r="W277" s="191"/>
      <x:c r="X277" s="191"/>
      <x:c r="Y277" s="191"/>
      <x:c r="Z277" s="191"/>
      <x:c r="AA277" s="191"/>
      <x:c r="AB277" s="191"/>
      <x:c r="AC277" s="191"/>
      <x:c r="AD277" s="191"/>
      <x:c r="AE277" s="191"/>
      <x:c r="AF277" s="191"/>
      <x:c r="AG277" s="191"/>
      <x:c r="AH277" s="191"/>
      <x:c r="AI277" s="191"/>
      <x:c r="AJ277" s="191"/>
      <x:c r="AK277" s="191"/>
    </x:row>
    <x:row r="278">
      <x:c r="A278" s="191"/>
      <x:c r="B278" s="191"/>
      <x:c r="C278" s="191"/>
      <x:c r="D278" s="191"/>
      <x:c r="E278" s="191"/>
      <x:c r="F278" s="191"/>
      <x:c r="G278" s="191"/>
      <x:c r="H278" s="191"/>
      <x:c r="I278" s="191"/>
      <x:c r="J278" s="191"/>
      <x:c r="K278" s="191"/>
      <x:c r="L278" s="191"/>
      <x:c r="M278" s="191"/>
      <x:c r="N278" s="191"/>
      <x:c r="O278" s="191"/>
      <x:c r="P278" s="191"/>
      <x:c r="Q278" s="191"/>
      <x:c r="R278" s="191"/>
      <x:c r="S278" s="191"/>
      <x:c r="T278" s="191"/>
      <x:c r="U278" s="191"/>
      <x:c r="V278" s="191"/>
      <x:c r="W278" s="191"/>
      <x:c r="X278" s="191"/>
      <x:c r="Y278" s="191"/>
      <x:c r="Z278" s="191"/>
      <x:c r="AA278" s="191"/>
      <x:c r="AB278" s="191"/>
      <x:c r="AC278" s="191"/>
      <x:c r="AD278" s="191"/>
      <x:c r="AE278" s="191"/>
      <x:c r="AF278" s="191"/>
      <x:c r="AG278" s="191"/>
      <x:c r="AH278" s="191"/>
      <x:c r="AI278" s="191"/>
      <x:c r="AJ278" s="191"/>
      <x:c r="AK278" s="191"/>
    </x:row>
    <x:row r="279">
      <x:c r="A279" s="191"/>
      <x:c r="B279" s="191"/>
      <x:c r="C279" s="191"/>
      <x:c r="D279" s="191"/>
      <x:c r="E279" s="191"/>
      <x:c r="F279" s="191"/>
      <x:c r="G279" s="191"/>
      <x:c r="H279" s="191"/>
      <x:c r="I279" s="191"/>
      <x:c r="J279" s="191"/>
      <x:c r="K279" s="191"/>
      <x:c r="L279" s="191"/>
      <x:c r="M279" s="191"/>
      <x:c r="N279" s="191"/>
      <x:c r="O279" s="191"/>
      <x:c r="P279" s="191"/>
      <x:c r="Q279" s="191"/>
      <x:c r="R279" s="191"/>
      <x:c r="S279" s="191"/>
      <x:c r="T279" s="191"/>
      <x:c r="U279" s="191"/>
      <x:c r="V279" s="191"/>
      <x:c r="W279" s="191"/>
      <x:c r="X279" s="191"/>
      <x:c r="Y279" s="191"/>
      <x:c r="Z279" s="191"/>
      <x:c r="AA279" s="191"/>
      <x:c r="AB279" s="191"/>
      <x:c r="AC279" s="191"/>
      <x:c r="AD279" s="191"/>
      <x:c r="AE279" s="191"/>
      <x:c r="AF279" s="191"/>
      <x:c r="AG279" s="191"/>
      <x:c r="AH279" s="191"/>
      <x:c r="AI279" s="191"/>
      <x:c r="AJ279" s="191"/>
      <x:c r="AK279" s="191"/>
    </x:row>
    <x:row r="280">
      <x:c r="A280" s="191"/>
      <x:c r="B280" s="191"/>
      <x:c r="C280" s="191"/>
      <x:c r="D280" s="191"/>
      <x:c r="E280" s="191"/>
      <x:c r="F280" s="191"/>
      <x:c r="G280" s="191"/>
      <x:c r="H280" s="191"/>
      <x:c r="I280" s="191"/>
      <x:c r="J280" s="191"/>
      <x:c r="K280" s="191"/>
      <x:c r="L280" s="191"/>
      <x:c r="M280" s="191"/>
      <x:c r="N280" s="191"/>
      <x:c r="O280" s="191"/>
      <x:c r="P280" s="191"/>
      <x:c r="Q280" s="191"/>
      <x:c r="R280" s="191"/>
      <x:c r="S280" s="191"/>
      <x:c r="T280" s="191"/>
      <x:c r="U280" s="191"/>
      <x:c r="V280" s="191"/>
      <x:c r="W280" s="191"/>
      <x:c r="X280" s="191"/>
      <x:c r="Y280" s="191"/>
      <x:c r="Z280" s="191"/>
      <x:c r="AA280" s="191"/>
      <x:c r="AB280" s="191"/>
      <x:c r="AC280" s="191"/>
      <x:c r="AD280" s="191"/>
      <x:c r="AE280" s="191"/>
      <x:c r="AF280" s="191"/>
      <x:c r="AG280" s="191"/>
      <x:c r="AH280" s="191"/>
      <x:c r="AI280" s="191"/>
      <x:c r="AJ280" s="191"/>
      <x:c r="AK280" s="191"/>
    </x:row>
    <x:row r="281">
      <x:c r="A281" s="191"/>
      <x:c r="B281" s="191"/>
      <x:c r="C281" s="191"/>
      <x:c r="D281" s="191"/>
      <x:c r="E281" s="191"/>
      <x:c r="F281" s="191"/>
      <x:c r="G281" s="191"/>
      <x:c r="H281" s="191"/>
      <x:c r="I281" s="191"/>
      <x:c r="J281" s="191"/>
      <x:c r="K281" s="191"/>
      <x:c r="L281" s="191"/>
      <x:c r="M281" s="191"/>
      <x:c r="N281" s="191"/>
      <x:c r="O281" s="191"/>
      <x:c r="P281" s="191"/>
      <x:c r="Q281" s="191"/>
      <x:c r="R281" s="191"/>
      <x:c r="S281" s="191"/>
      <x:c r="T281" s="191"/>
      <x:c r="U281" s="191"/>
      <x:c r="V281" s="191"/>
      <x:c r="W281" s="191"/>
      <x:c r="X281" s="191"/>
      <x:c r="Y281" s="191"/>
      <x:c r="Z281" s="191"/>
      <x:c r="AA281" s="191"/>
      <x:c r="AB281" s="191"/>
      <x:c r="AC281" s="191"/>
      <x:c r="AD281" s="191"/>
      <x:c r="AE281" s="191"/>
      <x:c r="AF281" s="191"/>
      <x:c r="AG281" s="191"/>
      <x:c r="AH281" s="191"/>
      <x:c r="AI281" s="191"/>
      <x:c r="AJ281" s="191"/>
      <x:c r="AK281" s="191"/>
    </x:row>
    <x:row r="282">
      <x:c r="A282" s="191"/>
      <x:c r="B282" s="191"/>
      <x:c r="C282" s="191"/>
      <x:c r="D282" s="191"/>
      <x:c r="E282" s="191"/>
      <x:c r="F282" s="191"/>
      <x:c r="G282" s="191"/>
      <x:c r="H282" s="191"/>
      <x:c r="I282" s="191"/>
      <x:c r="J282" s="191"/>
      <x:c r="K282" s="191"/>
      <x:c r="L282" s="191"/>
      <x:c r="M282" s="191"/>
      <x:c r="N282" s="191"/>
      <x:c r="O282" s="191"/>
      <x:c r="P282" s="191"/>
      <x:c r="Q282" s="191"/>
      <x:c r="R282" s="191"/>
      <x:c r="S282" s="191"/>
      <x:c r="T282" s="191"/>
      <x:c r="U282" s="191"/>
      <x:c r="V282" s="191"/>
      <x:c r="W282" s="191"/>
      <x:c r="X282" s="191"/>
      <x:c r="Y282" s="191"/>
      <x:c r="Z282" s="191"/>
      <x:c r="AA282" s="191"/>
      <x:c r="AB282" s="191"/>
      <x:c r="AC282" s="191"/>
      <x:c r="AD282" s="191"/>
      <x:c r="AE282" s="191"/>
      <x:c r="AF282" s="191"/>
      <x:c r="AG282" s="191"/>
      <x:c r="AH282" s="191"/>
      <x:c r="AI282" s="191"/>
      <x:c r="AJ282" s="191"/>
      <x:c r="AK282" s="191"/>
    </x:row>
    <x:row r="283">
      <x:c r="A283" s="191"/>
      <x:c r="B283" s="191"/>
      <x:c r="C283" s="191"/>
      <x:c r="D283" s="191"/>
      <x:c r="E283" s="191"/>
      <x:c r="F283" s="191"/>
      <x:c r="G283" s="191"/>
      <x:c r="H283" s="191"/>
      <x:c r="I283" s="191"/>
      <x:c r="J283" s="191"/>
      <x:c r="K283" s="191"/>
      <x:c r="L283" s="191"/>
      <x:c r="M283" s="191"/>
      <x:c r="N283" s="191"/>
      <x:c r="O283" s="191"/>
      <x:c r="P283" s="191"/>
      <x:c r="Q283" s="191"/>
      <x:c r="R283" s="191"/>
      <x:c r="S283" s="191"/>
      <x:c r="T283" s="191"/>
      <x:c r="U283" s="191"/>
      <x:c r="V283" s="191"/>
      <x:c r="W283" s="191"/>
      <x:c r="X283" s="191"/>
      <x:c r="Y283" s="191"/>
      <x:c r="Z283" s="191"/>
      <x:c r="AA283" s="191"/>
      <x:c r="AB283" s="191"/>
      <x:c r="AC283" s="191"/>
      <x:c r="AD283" s="191"/>
      <x:c r="AE283" s="191"/>
      <x:c r="AF283" s="191"/>
      <x:c r="AG283" s="191"/>
      <x:c r="AH283" s="191"/>
      <x:c r="AI283" s="191"/>
      <x:c r="AJ283" s="191"/>
      <x:c r="AK283" s="191"/>
    </x:row>
    <x:row r="284">
      <x:c r="A284" s="191"/>
      <x:c r="B284" s="191"/>
      <x:c r="C284" s="191"/>
      <x:c r="D284" s="191"/>
      <x:c r="E284" s="191"/>
      <x:c r="F284" s="191"/>
      <x:c r="G284" s="191"/>
      <x:c r="H284" s="191"/>
      <x:c r="I284" s="191"/>
      <x:c r="J284" s="191"/>
      <x:c r="K284" s="191"/>
      <x:c r="L284" s="191"/>
      <x:c r="M284" s="191"/>
      <x:c r="N284" s="191"/>
      <x:c r="O284" s="191"/>
      <x:c r="P284" s="191"/>
      <x:c r="Q284" s="191"/>
      <x:c r="R284" s="191"/>
      <x:c r="S284" s="191"/>
      <x:c r="T284" s="191"/>
      <x:c r="U284" s="191"/>
      <x:c r="V284" s="191"/>
      <x:c r="W284" s="191"/>
      <x:c r="X284" s="191"/>
      <x:c r="Y284" s="191"/>
      <x:c r="Z284" s="191"/>
      <x:c r="AA284" s="191"/>
      <x:c r="AB284" s="191"/>
      <x:c r="AC284" s="191"/>
      <x:c r="AD284" s="191"/>
      <x:c r="AE284" s="191"/>
      <x:c r="AF284" s="191"/>
      <x:c r="AG284" s="191"/>
      <x:c r="AH284" s="191"/>
      <x:c r="AI284" s="191"/>
      <x:c r="AJ284" s="191"/>
      <x:c r="AK284" s="191"/>
    </x:row>
    <x:row r="285">
      <x:c r="A285" s="191"/>
      <x:c r="B285" s="191"/>
      <x:c r="C285" s="191"/>
      <x:c r="D285" s="191"/>
      <x:c r="E285" s="191"/>
      <x:c r="F285" s="191"/>
      <x:c r="G285" s="191"/>
      <x:c r="H285" s="191"/>
      <x:c r="I285" s="191"/>
      <x:c r="J285" s="191"/>
      <x:c r="K285" s="191"/>
      <x:c r="L285" s="191"/>
      <x:c r="M285" s="191"/>
      <x:c r="N285" s="191"/>
      <x:c r="O285" s="191"/>
      <x:c r="P285" s="191"/>
      <x:c r="Q285" s="191"/>
      <x:c r="R285" s="191"/>
      <x:c r="S285" s="191"/>
      <x:c r="T285" s="191"/>
      <x:c r="U285" s="191"/>
      <x:c r="V285" s="191"/>
      <x:c r="W285" s="191"/>
      <x:c r="X285" s="191"/>
      <x:c r="Y285" s="191"/>
      <x:c r="Z285" s="191"/>
      <x:c r="AA285" s="191"/>
      <x:c r="AB285" s="191"/>
      <x:c r="AC285" s="191"/>
      <x:c r="AD285" s="191"/>
      <x:c r="AE285" s="191"/>
      <x:c r="AF285" s="191"/>
      <x:c r="AG285" s="191"/>
      <x:c r="AH285" s="191"/>
      <x:c r="AI285" s="191"/>
      <x:c r="AJ285" s="191"/>
      <x:c r="AK285" s="191"/>
    </x:row>
    <x:row r="286">
      <x:c r="A286" s="191"/>
      <x:c r="B286" s="191"/>
      <x:c r="C286" s="191"/>
      <x:c r="D286" s="191"/>
      <x:c r="E286" s="191"/>
      <x:c r="F286" s="191"/>
      <x:c r="G286" s="191"/>
      <x:c r="H286" s="191"/>
      <x:c r="I286" s="191"/>
      <x:c r="J286" s="191"/>
      <x:c r="K286" s="191"/>
      <x:c r="L286" s="191"/>
      <x:c r="M286" s="191"/>
      <x:c r="N286" s="191"/>
      <x:c r="O286" s="191"/>
      <x:c r="P286" s="191"/>
      <x:c r="Q286" s="191"/>
      <x:c r="R286" s="191"/>
      <x:c r="S286" s="191"/>
      <x:c r="T286" s="191"/>
      <x:c r="U286" s="191"/>
      <x:c r="V286" s="191"/>
      <x:c r="W286" s="191"/>
      <x:c r="X286" s="191"/>
      <x:c r="Y286" s="191"/>
      <x:c r="Z286" s="191"/>
      <x:c r="AA286" s="191"/>
      <x:c r="AB286" s="191"/>
      <x:c r="AC286" s="191"/>
      <x:c r="AD286" s="191"/>
      <x:c r="AE286" s="191"/>
      <x:c r="AF286" s="191"/>
      <x:c r="AG286" s="191"/>
      <x:c r="AH286" s="191"/>
      <x:c r="AI286" s="191"/>
      <x:c r="AJ286" s="191"/>
      <x:c r="AK286" s="191"/>
    </x:row>
    <x:row r="287">
      <x:c r="A287" s="191"/>
      <x:c r="B287" s="191"/>
      <x:c r="C287" s="191"/>
      <x:c r="D287" s="191"/>
      <x:c r="E287" s="191"/>
      <x:c r="F287" s="191"/>
      <x:c r="G287" s="191"/>
      <x:c r="H287" s="191"/>
      <x:c r="I287" s="191"/>
      <x:c r="J287" s="191"/>
      <x:c r="K287" s="191"/>
      <x:c r="L287" s="191"/>
      <x:c r="M287" s="191"/>
      <x:c r="N287" s="191"/>
      <x:c r="O287" s="191"/>
      <x:c r="P287" s="191"/>
      <x:c r="Q287" s="191"/>
      <x:c r="R287" s="191"/>
      <x:c r="S287" s="191"/>
      <x:c r="T287" s="191"/>
      <x:c r="U287" s="191"/>
      <x:c r="V287" s="191"/>
      <x:c r="W287" s="191"/>
      <x:c r="X287" s="191"/>
      <x:c r="Y287" s="191"/>
      <x:c r="Z287" s="191"/>
      <x:c r="AA287" s="191"/>
      <x:c r="AB287" s="191"/>
      <x:c r="AC287" s="191"/>
      <x:c r="AD287" s="191"/>
      <x:c r="AE287" s="191"/>
      <x:c r="AF287" s="191"/>
      <x:c r="AG287" s="191"/>
      <x:c r="AH287" s="191"/>
      <x:c r="AI287" s="191"/>
      <x:c r="AJ287" s="191"/>
      <x:c r="AK287" s="191"/>
    </x:row>
    <x:row r="288">
      <x:c r="A288" s="191"/>
      <x:c r="B288" s="191"/>
      <x:c r="C288" s="191"/>
      <x:c r="D288" s="191"/>
      <x:c r="E288" s="191"/>
      <x:c r="F288" s="191"/>
      <x:c r="G288" s="191"/>
      <x:c r="H288" s="191"/>
      <x:c r="I288" s="191"/>
      <x:c r="J288" s="191"/>
      <x:c r="K288" s="191"/>
      <x:c r="L288" s="191"/>
      <x:c r="M288" s="191"/>
      <x:c r="N288" s="191"/>
      <x:c r="O288" s="191"/>
      <x:c r="P288" s="191"/>
      <x:c r="Q288" s="191"/>
      <x:c r="R288" s="191"/>
      <x:c r="S288" s="191"/>
      <x:c r="T288" s="191"/>
      <x:c r="U288" s="191"/>
      <x:c r="V288" s="191"/>
      <x:c r="W288" s="191"/>
      <x:c r="X288" s="191"/>
      <x:c r="Y288" s="191"/>
      <x:c r="Z288" s="191"/>
      <x:c r="AA288" s="191"/>
      <x:c r="AB288" s="191"/>
      <x:c r="AC288" s="191"/>
      <x:c r="AD288" s="191"/>
      <x:c r="AE288" s="191"/>
      <x:c r="AF288" s="191"/>
      <x:c r="AG288" s="191"/>
      <x:c r="AH288" s="191"/>
      <x:c r="AI288" s="191"/>
      <x:c r="AJ288" s="191"/>
      <x:c r="AK288" s="191"/>
    </x:row>
    <x:row r="289">
      <x:c r="A289" s="191"/>
      <x:c r="B289" s="191"/>
      <x:c r="C289" s="191"/>
      <x:c r="D289" s="191"/>
      <x:c r="E289" s="191"/>
      <x:c r="F289" s="191"/>
      <x:c r="G289" s="191"/>
      <x:c r="H289" s="191"/>
      <x:c r="I289" s="191"/>
      <x:c r="J289" s="191"/>
      <x:c r="K289" s="191"/>
      <x:c r="L289" s="191"/>
      <x:c r="M289" s="191"/>
      <x:c r="N289" s="191"/>
      <x:c r="O289" s="191"/>
      <x:c r="P289" s="191"/>
      <x:c r="Q289" s="191"/>
      <x:c r="R289" s="191"/>
      <x:c r="S289" s="191"/>
      <x:c r="T289" s="191"/>
      <x:c r="U289" s="191"/>
      <x:c r="V289" s="191"/>
      <x:c r="W289" s="191"/>
      <x:c r="X289" s="191"/>
      <x:c r="Y289" s="191"/>
      <x:c r="Z289" s="191"/>
      <x:c r="AA289" s="191"/>
      <x:c r="AB289" s="191"/>
      <x:c r="AC289" s="191"/>
      <x:c r="AD289" s="191"/>
      <x:c r="AE289" s="191"/>
      <x:c r="AF289" s="191"/>
      <x:c r="AG289" s="191"/>
      <x:c r="AH289" s="191"/>
      <x:c r="AI289" s="191"/>
      <x:c r="AJ289" s="191"/>
      <x:c r="AK289" s="191"/>
    </x:row>
    <x:row r="290">
      <x:c r="A290" s="191"/>
      <x:c r="B290" s="191"/>
      <x:c r="C290" s="191"/>
      <x:c r="D290" s="191"/>
      <x:c r="E290" s="191"/>
      <x:c r="F290" s="191"/>
      <x:c r="G290" s="191"/>
      <x:c r="H290" s="191"/>
      <x:c r="I290" s="191"/>
      <x:c r="J290" s="191"/>
      <x:c r="K290" s="191"/>
      <x:c r="L290" s="191"/>
      <x:c r="M290" s="191"/>
      <x:c r="N290" s="191"/>
      <x:c r="O290" s="191"/>
      <x:c r="P290" s="191"/>
      <x:c r="Q290" s="191"/>
      <x:c r="R290" s="191"/>
      <x:c r="S290" s="191"/>
      <x:c r="T290" s="191"/>
      <x:c r="U290" s="191"/>
      <x:c r="V290" s="191"/>
      <x:c r="W290" s="191"/>
      <x:c r="X290" s="191"/>
      <x:c r="Y290" s="191"/>
      <x:c r="Z290" s="191"/>
      <x:c r="AA290" s="191"/>
      <x:c r="AB290" s="191"/>
      <x:c r="AC290" s="191"/>
      <x:c r="AD290" s="191"/>
      <x:c r="AE290" s="191"/>
      <x:c r="AF290" s="191"/>
      <x:c r="AG290" s="191"/>
      <x:c r="AH290" s="191"/>
      <x:c r="AI290" s="191"/>
      <x:c r="AJ290" s="191"/>
      <x:c r="AK290" s="191"/>
    </x:row>
    <x:row r="291">
      <x:c r="A291" s="191"/>
      <x:c r="B291" s="191"/>
      <x:c r="C291" s="191"/>
      <x:c r="D291" s="191"/>
      <x:c r="E291" s="191"/>
      <x:c r="F291" s="191"/>
      <x:c r="G291" s="191"/>
      <x:c r="H291" s="191"/>
      <x:c r="I291" s="191"/>
      <x:c r="J291" s="191"/>
      <x:c r="K291" s="191"/>
      <x:c r="L291" s="191"/>
      <x:c r="M291" s="191"/>
      <x:c r="N291" s="191"/>
      <x:c r="O291" s="191"/>
      <x:c r="P291" s="191"/>
      <x:c r="Q291" s="191"/>
      <x:c r="R291" s="191"/>
      <x:c r="S291" s="191"/>
      <x:c r="T291" s="191"/>
      <x:c r="U291" s="191"/>
      <x:c r="V291" s="191"/>
      <x:c r="W291" s="191"/>
      <x:c r="X291" s="191"/>
      <x:c r="Y291" s="191"/>
      <x:c r="Z291" s="191"/>
      <x:c r="AA291" s="191"/>
      <x:c r="AB291" s="191"/>
      <x:c r="AC291" s="191"/>
      <x:c r="AD291" s="191"/>
      <x:c r="AE291" s="191"/>
      <x:c r="AF291" s="191"/>
      <x:c r="AG291" s="191"/>
      <x:c r="AH291" s="191"/>
      <x:c r="AI291" s="191"/>
      <x:c r="AJ291" s="191"/>
      <x:c r="AK291" s="191"/>
    </x:row>
    <x:row r="292">
      <x:c r="A292" s="191"/>
      <x:c r="B292" s="191"/>
      <x:c r="C292" s="191"/>
      <x:c r="D292" s="191"/>
      <x:c r="E292" s="191"/>
      <x:c r="F292" s="191"/>
      <x:c r="G292" s="191"/>
      <x:c r="H292" s="191"/>
      <x:c r="I292" s="191"/>
      <x:c r="J292" s="191"/>
      <x:c r="K292" s="191"/>
      <x:c r="L292" s="191"/>
      <x:c r="M292" s="191"/>
      <x:c r="N292" s="191"/>
      <x:c r="O292" s="191"/>
      <x:c r="P292" s="191"/>
      <x:c r="Q292" s="191"/>
      <x:c r="R292" s="191"/>
      <x:c r="S292" s="191"/>
      <x:c r="T292" s="191"/>
      <x:c r="U292" s="191"/>
      <x:c r="V292" s="191"/>
      <x:c r="W292" s="191"/>
      <x:c r="X292" s="191"/>
      <x:c r="Y292" s="191"/>
      <x:c r="Z292" s="191"/>
      <x:c r="AA292" s="191"/>
      <x:c r="AB292" s="191"/>
      <x:c r="AC292" s="191"/>
      <x:c r="AD292" s="191"/>
      <x:c r="AE292" s="191"/>
      <x:c r="AF292" s="191"/>
      <x:c r="AG292" s="191"/>
      <x:c r="AH292" s="191"/>
      <x:c r="AI292" s="191"/>
      <x:c r="AJ292" s="191"/>
      <x:c r="AK292" s="191"/>
    </x:row>
    <x:row r="293">
      <x:c r="A293" s="191"/>
      <x:c r="B293" s="191"/>
      <x:c r="C293" s="191"/>
      <x:c r="D293" s="191"/>
      <x:c r="E293" s="191"/>
      <x:c r="F293" s="191"/>
      <x:c r="G293" s="191"/>
      <x:c r="H293" s="191"/>
      <x:c r="I293" s="191"/>
      <x:c r="J293" s="191"/>
      <x:c r="K293" s="191"/>
      <x:c r="L293" s="191"/>
      <x:c r="M293" s="191"/>
      <x:c r="N293" s="191"/>
      <x:c r="O293" s="191"/>
      <x:c r="P293" s="191"/>
      <x:c r="Q293" s="191"/>
      <x:c r="R293" s="191"/>
      <x:c r="S293" s="191"/>
      <x:c r="T293" s="191"/>
      <x:c r="U293" s="191"/>
      <x:c r="V293" s="191"/>
      <x:c r="W293" s="191"/>
      <x:c r="X293" s="191"/>
      <x:c r="Y293" s="191"/>
      <x:c r="Z293" s="191"/>
      <x:c r="AA293" s="191"/>
      <x:c r="AB293" s="191"/>
      <x:c r="AC293" s="191"/>
      <x:c r="AD293" s="191"/>
      <x:c r="AE293" s="191"/>
      <x:c r="AF293" s="191"/>
      <x:c r="AG293" s="191"/>
      <x:c r="AH293" s="191"/>
      <x:c r="AI293" s="191"/>
      <x:c r="AJ293" s="191"/>
      <x:c r="AK293" s="191"/>
    </x:row>
    <x:row r="294">
      <x:c r="A294" s="191"/>
      <x:c r="B294" s="191"/>
      <x:c r="C294" s="191"/>
      <x:c r="D294" s="191"/>
      <x:c r="E294" s="191"/>
      <x:c r="F294" s="191"/>
      <x:c r="G294" s="191"/>
      <x:c r="H294" s="191"/>
      <x:c r="I294" s="191"/>
      <x:c r="J294" s="191"/>
      <x:c r="K294" s="191"/>
      <x:c r="L294" s="191"/>
      <x:c r="M294" s="191"/>
      <x:c r="N294" s="191"/>
      <x:c r="O294" s="191"/>
      <x:c r="P294" s="191"/>
      <x:c r="Q294" s="191"/>
      <x:c r="R294" s="191"/>
      <x:c r="S294" s="191"/>
      <x:c r="T294" s="191"/>
      <x:c r="U294" s="191"/>
      <x:c r="V294" s="191"/>
      <x:c r="W294" s="191"/>
      <x:c r="X294" s="191"/>
      <x:c r="Y294" s="191"/>
      <x:c r="Z294" s="191"/>
      <x:c r="AA294" s="191"/>
      <x:c r="AB294" s="191"/>
      <x:c r="AC294" s="191"/>
      <x:c r="AD294" s="191"/>
      <x:c r="AE294" s="191"/>
      <x:c r="AF294" s="191"/>
      <x:c r="AG294" s="191"/>
      <x:c r="AH294" s="191"/>
      <x:c r="AI294" s="191"/>
      <x:c r="AJ294" s="191"/>
      <x:c r="AK294" s="191"/>
    </x:row>
    <x:row r="295">
      <x:c r="A295" s="191"/>
      <x:c r="B295" s="191"/>
      <x:c r="C295" s="191"/>
      <x:c r="D295" s="191"/>
      <x:c r="E295" s="191"/>
      <x:c r="F295" s="191"/>
      <x:c r="G295" s="191"/>
      <x:c r="H295" s="191"/>
      <x:c r="I295" s="191"/>
      <x:c r="J295" s="191"/>
      <x:c r="K295" s="191"/>
      <x:c r="L295" s="191"/>
      <x:c r="M295" s="191"/>
      <x:c r="N295" s="191"/>
      <x:c r="O295" s="191"/>
      <x:c r="P295" s="191"/>
      <x:c r="Q295" s="191"/>
      <x:c r="R295" s="191"/>
      <x:c r="S295" s="191"/>
      <x:c r="T295" s="191"/>
      <x:c r="U295" s="191"/>
      <x:c r="V295" s="191"/>
      <x:c r="W295" s="191"/>
      <x:c r="X295" s="191"/>
      <x:c r="Y295" s="191"/>
      <x:c r="Z295" s="191"/>
      <x:c r="AA295" s="191"/>
      <x:c r="AB295" s="191"/>
      <x:c r="AC295" s="191"/>
      <x:c r="AD295" s="191"/>
      <x:c r="AE295" s="191"/>
      <x:c r="AF295" s="191"/>
      <x:c r="AG295" s="191"/>
      <x:c r="AH295" s="191"/>
      <x:c r="AI295" s="191"/>
      <x:c r="AJ295" s="191"/>
      <x:c r="AK295" s="191"/>
    </x:row>
    <x:row r="296">
      <x:c r="A296" s="191"/>
      <x:c r="B296" s="191"/>
      <x:c r="C296" s="191"/>
      <x:c r="D296" s="191"/>
      <x:c r="E296" s="191"/>
      <x:c r="F296" s="191"/>
      <x:c r="G296" s="191"/>
      <x:c r="H296" s="191"/>
      <x:c r="I296" s="191"/>
      <x:c r="J296" s="191"/>
      <x:c r="K296" s="191"/>
      <x:c r="L296" s="191"/>
      <x:c r="M296" s="191"/>
      <x:c r="N296" s="191"/>
      <x:c r="O296" s="191"/>
      <x:c r="P296" s="191"/>
      <x:c r="Q296" s="191"/>
      <x:c r="R296" s="191"/>
      <x:c r="S296" s="191"/>
      <x:c r="T296" s="191"/>
      <x:c r="U296" s="191"/>
      <x:c r="V296" s="191"/>
      <x:c r="W296" s="191"/>
      <x:c r="X296" s="191"/>
      <x:c r="Y296" s="191"/>
      <x:c r="Z296" s="191"/>
      <x:c r="AA296" s="191"/>
      <x:c r="AB296" s="191"/>
      <x:c r="AC296" s="191"/>
      <x:c r="AD296" s="191"/>
      <x:c r="AE296" s="191"/>
      <x:c r="AF296" s="191"/>
      <x:c r="AG296" s="191"/>
      <x:c r="AH296" s="191"/>
      <x:c r="AI296" s="191"/>
      <x:c r="AJ296" s="191"/>
      <x:c r="AK296" s="191"/>
    </x:row>
    <x:row r="297">
      <x:c r="A297" s="191"/>
      <x:c r="B297" s="191"/>
      <x:c r="C297" s="191"/>
      <x:c r="D297" s="191"/>
      <x:c r="E297" s="191"/>
      <x:c r="F297" s="191"/>
      <x:c r="G297" s="191"/>
      <x:c r="H297" s="191"/>
      <x:c r="I297" s="191"/>
      <x:c r="J297" s="191"/>
      <x:c r="K297" s="191"/>
      <x:c r="L297" s="191"/>
      <x:c r="M297" s="191"/>
      <x:c r="N297" s="191"/>
      <x:c r="O297" s="191"/>
      <x:c r="P297" s="191"/>
      <x:c r="Q297" s="191"/>
      <x:c r="R297" s="191"/>
      <x:c r="S297" s="191"/>
      <x:c r="T297" s="191"/>
      <x:c r="U297" s="191"/>
      <x:c r="V297" s="191"/>
      <x:c r="W297" s="191"/>
      <x:c r="X297" s="191"/>
      <x:c r="Y297" s="191"/>
      <x:c r="Z297" s="191"/>
      <x:c r="AA297" s="191"/>
      <x:c r="AB297" s="191"/>
      <x:c r="AC297" s="191"/>
      <x:c r="AD297" s="191"/>
      <x:c r="AE297" s="191"/>
      <x:c r="AF297" s="191"/>
      <x:c r="AG297" s="191"/>
      <x:c r="AH297" s="191"/>
      <x:c r="AI297" s="191"/>
      <x:c r="AJ297" s="191"/>
      <x:c r="AK297" s="191"/>
    </x:row>
    <x:row r="298">
      <x:c r="A298" s="191"/>
      <x:c r="B298" s="191"/>
      <x:c r="C298" s="191"/>
      <x:c r="D298" s="191"/>
      <x:c r="E298" s="191"/>
      <x:c r="F298" s="191"/>
      <x:c r="G298" s="191"/>
      <x:c r="H298" s="191"/>
      <x:c r="I298" s="191"/>
      <x:c r="J298" s="191"/>
      <x:c r="K298" s="191"/>
      <x:c r="L298" s="191"/>
      <x:c r="M298" s="191"/>
      <x:c r="N298" s="191"/>
      <x:c r="O298" s="191"/>
      <x:c r="P298" s="191"/>
      <x:c r="Q298" s="191"/>
      <x:c r="R298" s="191"/>
      <x:c r="S298" s="191"/>
      <x:c r="T298" s="191"/>
      <x:c r="U298" s="191"/>
      <x:c r="V298" s="191"/>
      <x:c r="W298" s="191"/>
      <x:c r="X298" s="191"/>
      <x:c r="Y298" s="191"/>
      <x:c r="Z298" s="191"/>
      <x:c r="AA298" s="191"/>
      <x:c r="AB298" s="191"/>
      <x:c r="AC298" s="191"/>
      <x:c r="AD298" s="191"/>
      <x:c r="AE298" s="191"/>
      <x:c r="AF298" s="191"/>
      <x:c r="AG298" s="191"/>
      <x:c r="AH298" s="191"/>
      <x:c r="AI298" s="191"/>
      <x:c r="AJ298" s="191"/>
      <x:c r="AK298" s="191"/>
    </x:row>
    <x:row r="299">
      <x:c r="A299" s="191"/>
      <x:c r="B299" s="191"/>
      <x:c r="C299" s="191"/>
      <x:c r="D299" s="191"/>
      <x:c r="E299" s="191"/>
      <x:c r="F299" s="191"/>
      <x:c r="G299" s="191"/>
      <x:c r="H299" s="191"/>
      <x:c r="I299" s="191"/>
      <x:c r="J299" s="191"/>
      <x:c r="K299" s="191"/>
      <x:c r="L299" s="191"/>
      <x:c r="M299" s="191"/>
      <x:c r="N299" s="191"/>
      <x:c r="O299" s="191"/>
      <x:c r="P299" s="191"/>
      <x:c r="Q299" s="191"/>
      <x:c r="R299" s="191"/>
      <x:c r="S299" s="191"/>
      <x:c r="T299" s="191"/>
      <x:c r="U299" s="191"/>
      <x:c r="V299" s="191"/>
      <x:c r="W299" s="191"/>
      <x:c r="X299" s="191"/>
      <x:c r="Y299" s="191"/>
      <x:c r="Z299" s="191"/>
      <x:c r="AA299" s="191"/>
      <x:c r="AB299" s="191"/>
      <x:c r="AC299" s="191"/>
      <x:c r="AD299" s="191"/>
      <x:c r="AE299" s="191"/>
      <x:c r="AF299" s="191"/>
      <x:c r="AG299" s="191"/>
      <x:c r="AH299" s="191"/>
      <x:c r="AI299" s="191"/>
      <x:c r="AJ299" s="191"/>
      <x:c r="AK299" s="191"/>
    </x:row>
    <x:row r="300">
      <x:c r="A300" s="191"/>
      <x:c r="B300" s="191"/>
      <x:c r="C300" s="191"/>
      <x:c r="D300" s="191"/>
      <x:c r="E300" s="191"/>
      <x:c r="F300" s="191"/>
      <x:c r="G300" s="191"/>
      <x:c r="H300" s="191"/>
      <x:c r="I300" s="191"/>
      <x:c r="J300" s="191"/>
      <x:c r="K300" s="191"/>
      <x:c r="L300" s="191"/>
      <x:c r="M300" s="191"/>
      <x:c r="N300" s="191"/>
      <x:c r="O300" s="191"/>
      <x:c r="P300" s="191"/>
      <x:c r="Q300" s="191"/>
      <x:c r="R300" s="191"/>
      <x:c r="S300" s="191"/>
      <x:c r="T300" s="191"/>
      <x:c r="U300" s="191"/>
      <x:c r="V300" s="191"/>
      <x:c r="W300" s="191"/>
      <x:c r="X300" s="191"/>
      <x:c r="Y300" s="191"/>
      <x:c r="Z300" s="191"/>
      <x:c r="AA300" s="191"/>
      <x:c r="AB300" s="191"/>
      <x:c r="AC300" s="191"/>
      <x:c r="AD300" s="191"/>
      <x:c r="AE300" s="191"/>
      <x:c r="AF300" s="191"/>
      <x:c r="AG300" s="191"/>
      <x:c r="AH300" s="191"/>
      <x:c r="AI300" s="191"/>
      <x:c r="AJ300" s="191"/>
      <x:c r="AK300" s="191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13" max="13" width="18" hidden="0" customWidth="1"/>
    <x:col min="25" max="25" width="1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7" max="37" width="55" hidden="0" customWidth="1"/>
  </x:cols>
  <x:sheetData>
    <x:row r="1" ht="28" customHeight="1">
      <x:c r="A1" s="5" t="str">
        <x:v>Swabr_Swaption — ATM, RHO and NU 10×10 Base, Shock and Shocked Parameter Grids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</x:row>
    <x:row r="2">
      <x:c r="A2" s="191"/>
      <x:c r="B2" s="191"/>
      <x:c r="C2" s="191"/>
      <x:c r="D2" s="191"/>
      <x:c r="E2" s="191"/>
      <x:c r="F2" s="191"/>
      <x:c r="G2" s="191"/>
      <x:c r="H2" s="191"/>
      <x:c r="I2" s="191"/>
      <x:c r="J2" s="191"/>
      <x:c r="K2" s="191"/>
      <x:c r="L2" s="191"/>
      <x:c r="M2" s="191"/>
      <x:c r="N2" s="191"/>
      <x:c r="O2" s="191"/>
      <x:c r="P2" s="191"/>
      <x:c r="Q2" s="191"/>
      <x:c r="R2" s="191"/>
      <x:c r="S2" s="191"/>
      <x:c r="T2" s="191"/>
      <x:c r="U2" s="191"/>
      <x:c r="V2" s="191"/>
      <x:c r="W2" s="191"/>
      <x:c r="X2" s="191"/>
      <x:c r="Y2" s="191"/>
      <x:c r="Z2" s="191"/>
      <x:c r="AA2" s="191"/>
      <x:c r="AB2" s="191"/>
      <x:c r="AC2" s="191"/>
      <x:c r="AD2" s="191"/>
      <x:c r="AE2" s="191"/>
      <x:c r="AF2" s="191"/>
      <x:c r="AG2" s="191"/>
      <x:c r="AH2" s="191"/>
      <x:c r="AI2" s="191"/>
      <x:c r="AJ2" s="191"/>
      <x:c r="AK2" s="191"/>
    </x:row>
    <x:row r="3">
      <x:c r="A3" s="191"/>
      <x:c r="B3" s="191"/>
      <x:c r="C3" s="191"/>
      <x:c r="D3" s="191"/>
      <x:c r="E3" s="191"/>
      <x:c r="F3" s="191"/>
      <x:c r="G3" s="191"/>
      <x:c r="H3" s="191"/>
      <x:c r="I3" s="191"/>
      <x:c r="J3" s="191"/>
      <x:c r="K3" s="191"/>
      <x:c r="L3" s="191"/>
      <x:c r="M3" s="191"/>
      <x:c r="N3" s="191"/>
      <x:c r="O3" s="191"/>
      <x:c r="P3" s="191"/>
      <x:c r="Q3" s="191"/>
      <x:c r="R3" s="191"/>
      <x:c r="S3" s="191"/>
      <x:c r="T3" s="191"/>
      <x:c r="U3" s="191"/>
      <x:c r="V3" s="191"/>
      <x:c r="W3" s="191"/>
      <x:c r="X3" s="191"/>
      <x:c r="Y3" s="191"/>
      <x:c r="Z3" s="191"/>
      <x:c r="AA3" s="191"/>
      <x:c r="AB3" s="191"/>
      <x:c r="AC3" s="191"/>
      <x:c r="AD3" s="191"/>
      <x:c r="AE3" s="191"/>
      <x:c r="AF3" s="191"/>
      <x:c r="AG3" s="191"/>
      <x:c r="AH3" s="191"/>
      <x:c r="AI3" s="191"/>
      <x:c r="AJ3" s="191"/>
      <x:c r="AK3" s="191"/>
    </x:row>
    <x:row r="4" ht="22" customHeight="1">
      <x:c r="A4" s="21" t="str">
        <x:v>ATM parameter surface</x:v>
      </x:c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  <x:c r="AH4" s="21"/>
      <x:c r="AI4" s="21"/>
      <x:c r="AJ4" s="21"/>
      <x:c r="AK4" s="21"/>
    </x:row>
    <x:row r="5">
      <x:c r="A5" s="241" t="str">
        <x:v>ATM Base Grid</x:v>
      </x:c>
      <x:c r="B5" s="241"/>
      <x:c r="C5" s="241"/>
      <x:c r="D5" s="241"/>
      <x:c r="E5" s="241"/>
      <x:c r="F5" s="241"/>
      <x:c r="G5" s="241"/>
      <x:c r="H5" s="241"/>
      <x:c r="I5" s="241"/>
      <x:c r="J5" s="241"/>
      <x:c r="K5" s="241"/>
      <x:c r="L5" s="191"/>
      <x:c r="M5" s="242" t="str">
        <x:v>ATM Shock Grid — 20-Nov-2008</x:v>
      </x:c>
      <x:c r="N5" s="242"/>
      <x:c r="O5" s="242"/>
      <x:c r="P5" s="242"/>
      <x:c r="Q5" s="242"/>
      <x:c r="R5" s="242"/>
      <x:c r="S5" s="242"/>
      <x:c r="T5" s="242"/>
      <x:c r="U5" s="242"/>
      <x:c r="V5" s="242"/>
      <x:c r="W5" s="242"/>
      <x:c r="X5" s="191"/>
      <x:c r="Y5" s="243" t="str">
        <x:v>ATM Shocked Grid</x:v>
      </x:c>
      <x:c r="Z5" s="243"/>
      <x:c r="AA5" s="243"/>
      <x:c r="AB5" s="243"/>
      <x:c r="AC5" s="243"/>
      <x:c r="AD5" s="243"/>
      <x:c r="AE5" s="243"/>
      <x:c r="AF5" s="243"/>
      <x:c r="AG5" s="243"/>
      <x:c r="AH5" s="243"/>
      <x:c r="AI5" s="243"/>
      <x:c r="AJ5" s="191"/>
      <x:c r="AK5" s="191"/>
    </x:row>
    <x:row r="6">
      <x:c r="A6" s="45" t="str">
        <x:v>Expiry \ Underlying</x:v>
      </x:c>
      <x:c r="B6" s="45" t="str">
        <x:v>1M</x:v>
      </x:c>
      <x:c r="C6" s="45" t="str">
        <x:v>3M</x:v>
      </x:c>
      <x:c r="D6" s="45" t="str">
        <x:v>6M</x:v>
      </x:c>
      <x:c r="E6" s="45" t="str">
        <x:v>1Y</x:v>
      </x:c>
      <x:c r="F6" s="45" t="str">
        <x:v>2Y</x:v>
      </x:c>
      <x:c r="G6" s="45" t="str">
        <x:v>3Y</x:v>
      </x:c>
      <x:c r="H6" s="45" t="str">
        <x:v>5Y</x:v>
      </x:c>
      <x:c r="I6" s="45" t="str">
        <x:v>10Y</x:v>
      </x:c>
      <x:c r="J6" s="45" t="str">
        <x:v>20Y</x:v>
      </x:c>
      <x:c r="K6" s="45" t="str">
        <x:v>30Y</x:v>
      </x:c>
      <x:c r="L6" s="191"/>
      <x:c r="M6" s="45" t="str">
        <x:v>Expiry \ Underlying</x:v>
      </x:c>
      <x:c r="N6" s="45" t="str">
        <x:v>1M</x:v>
      </x:c>
      <x:c r="O6" s="45" t="str">
        <x:v>3M</x:v>
      </x:c>
      <x:c r="P6" s="45" t="str">
        <x:v>6M</x:v>
      </x:c>
      <x:c r="Q6" s="45" t="str">
        <x:v>1Y</x:v>
      </x:c>
      <x:c r="R6" s="45" t="str">
        <x:v>2Y</x:v>
      </x:c>
      <x:c r="S6" s="45" t="str">
        <x:v>3Y</x:v>
      </x:c>
      <x:c r="T6" s="45" t="str">
        <x:v>5Y</x:v>
      </x:c>
      <x:c r="U6" s="45" t="str">
        <x:v>10Y</x:v>
      </x:c>
      <x:c r="V6" s="45" t="str">
        <x:v>20Y</x:v>
      </x:c>
      <x:c r="W6" s="45" t="str">
        <x:v>30Y</x:v>
      </x:c>
      <x:c r="X6" s="191"/>
      <x:c r="Y6" s="45" t="str">
        <x:v>Expiry \ Underlying</x:v>
      </x:c>
      <x:c r="Z6" s="45" t="str">
        <x:v>1M</x:v>
      </x:c>
      <x:c r="AA6" s="45" t="str">
        <x:v>3M</x:v>
      </x:c>
      <x:c r="AB6" s="45" t="str">
        <x:v>6M</x:v>
      </x:c>
      <x:c r="AC6" s="45" t="str">
        <x:v>1Y</x:v>
      </x:c>
      <x:c r="AD6" s="45" t="str">
        <x:v>2Y</x:v>
      </x:c>
      <x:c r="AE6" s="45" t="str">
        <x:v>3Y</x:v>
      </x:c>
      <x:c r="AF6" s="45" t="str">
        <x:v>5Y</x:v>
      </x:c>
      <x:c r="AG6" s="45" t="str">
        <x:v>10Y</x:v>
      </x:c>
      <x:c r="AH6" s="45" t="str">
        <x:v>20Y</x:v>
      </x:c>
      <x:c r="AI6" s="45" t="str">
        <x:v>30Y</x:v>
      </x:c>
      <x:c r="AJ6" s="191"/>
      <x:c r="AK6" s="45" t="str">
        <x:v>Surface UDF illustration</x:v>
      </x:c>
    </x:row>
    <x:row r="7">
      <x:c r="A7" s="244" t="str">
        <x:v>1M</x:v>
      </x:c>
      <x:c r="B7" s="245" t="n">
        <x:v>0.1985</x:v>
      </x:c>
      <x:c r="C7" s="245" t="n">
        <x:v>0.201</x:v>
      </x:c>
      <x:c r="D7" s="245" t="n">
        <x:v>0.20350000000000001</x:v>
      </x:c>
      <x:c r="E7" s="245" t="n">
        <x:v>0.20600000000000002</x:v>
      </x:c>
      <x:c r="F7" s="245" t="n">
        <x:v>0.20850000000000002</x:v>
      </x:c>
      <x:c r="G7" s="245" t="n">
        <x:v>0.21100000000000002</x:v>
      </x:c>
      <x:c r="H7" s="245" t="n">
        <x:v>0.21350000000000002</x:v>
      </x:c>
      <x:c r="I7" s="245" t="n">
        <x:v>0.216</x:v>
      </x:c>
      <x:c r="J7" s="245" t="n">
        <x:v>0.2185</x:v>
      </x:c>
      <x:c r="K7" s="245" t="n">
        <x:v>0.221</x:v>
      </x:c>
      <x:c r="L7" s="191"/>
      <x:c r="M7" s="244" t="str">
        <x:v>1M</x:v>
      </x:c>
      <x:c r="N7" s="245" t="n">
        <x:v>0.015</x:v>
      </x:c>
      <x:c r="O7" s="245" t="n">
        <x:v>0.016</x:v>
      </x:c>
      <x:c r="P7" s="245" t="n">
        <x:v>0.017</x:v>
      </x:c>
      <x:c r="Q7" s="245" t="n">
        <x:v>0.018000000000000002</x:v>
      </x:c>
      <x:c r="R7" s="245" t="n">
        <x:v>0.019</x:v>
      </x:c>
      <x:c r="S7" s="245" t="n">
        <x:v>0.02</x:v>
      </x:c>
      <x:c r="T7" s="245" t="n">
        <x:v>0.021</x:v>
      </x:c>
      <x:c r="U7" s="245" t="n">
        <x:v>0.022</x:v>
      </x:c>
      <x:c r="V7" s="245" t="n">
        <x:v>0.023</x:v>
      </x:c>
      <x:c r="W7" s="245" t="n">
        <x:v>0.024</x:v>
      </x:c>
      <x:c r="X7" s="191"/>
      <x:c r="Y7" s="244" t="str">
        <x:v>1M</x:v>
      </x:c>
      <x:c r="Z7" s="246" t="n">
        <x:f>B7+N7</x:f>
        <x:v>0.21350000000000002</x:v>
      </x:c>
      <x:c r="AA7" s="246" t="n">
        <x:f>C7+O7</x:f>
        <x:v>0.21700000000000003</x:v>
      </x:c>
      <x:c r="AB7" s="246" t="n">
        <x:f>D7+P7</x:f>
        <x:v>0.22050000000000003</x:v>
      </x:c>
      <x:c r="AC7" s="246" t="n">
        <x:f>E7+Q7</x:f>
        <x:v>0.22400000000000003</x:v>
      </x:c>
      <x:c r="AD7" s="246" t="n">
        <x:f>F7+R7</x:f>
        <x:v>0.2275</x:v>
      </x:c>
      <x:c r="AE7" s="246" t="n">
        <x:f>G7+S7</x:f>
        <x:v>0.231</x:v>
      </x:c>
      <x:c r="AF7" s="246" t="n">
        <x:f>H7+T7</x:f>
        <x:v>0.23450000000000001</x:v>
      </x:c>
      <x:c r="AG7" s="246" t="n">
        <x:f>I7+U7</x:f>
        <x:v>0.238</x:v>
      </x:c>
      <x:c r="AH7" s="246" t="n">
        <x:f>J7+V7</x:f>
        <x:v>0.2415</x:v>
      </x:c>
      <x:c r="AI7" s="246" t="n">
        <x:f>K7+W7</x:f>
        <x:v>0.245</x:v>
      </x:c>
      <x:c r="AJ7" s="191"/>
      <x:c r="AK7" s="223" t="str">
        <x:v>=gxlSABRSurfaceShift(ATM_PriorSurface, "1M_ExpiryRow", ATM_ShockRow_01)</x:v>
      </x:c>
    </x:row>
    <x:row r="8">
      <x:c r="A8" s="244" t="str">
        <x:v>3M</x:v>
      </x:c>
      <x:c r="B8" s="245" t="n">
        <x:v>0.20450000000000002</x:v>
      </x:c>
      <x:c r="C8" s="245" t="n">
        <x:v>0.20700000000000002</x:v>
      </x:c>
      <x:c r="D8" s="245" t="n">
        <x:v>0.20950000000000002</x:v>
      </x:c>
      <x:c r="E8" s="245" t="n">
        <x:v>0.21200000000000002</x:v>
      </x:c>
      <x:c r="F8" s="245" t="n">
        <x:v>0.21450000000000002</x:v>
      </x:c>
      <x:c r="G8" s="245" t="n">
        <x:v>0.21700000000000003</x:v>
      </x:c>
      <x:c r="H8" s="245" t="n">
        <x:v>0.21950000000000003</x:v>
      </x:c>
      <x:c r="I8" s="245" t="n">
        <x:v>0.222</x:v>
      </x:c>
      <x:c r="J8" s="245" t="n">
        <x:v>0.2245</x:v>
      </x:c>
      <x:c r="K8" s="245" t="n">
        <x:v>0.227</x:v>
      </x:c>
      <x:c r="L8" s="191"/>
      <x:c r="M8" s="244" t="str">
        <x:v>3M</x:v>
      </x:c>
      <x:c r="N8" s="245" t="n">
        <x:v>0.017</x:v>
      </x:c>
      <x:c r="O8" s="245" t="n">
        <x:v>0.018000000000000002</x:v>
      </x:c>
      <x:c r="P8" s="245" t="n">
        <x:v>0.019</x:v>
      </x:c>
      <x:c r="Q8" s="245" t="n">
        <x:v>0.02</x:v>
      </x:c>
      <x:c r="R8" s="245" t="n">
        <x:v>0.021</x:v>
      </x:c>
      <x:c r="S8" s="245" t="n">
        <x:v>0.022</x:v>
      </x:c>
      <x:c r="T8" s="245" t="n">
        <x:v>0.023</x:v>
      </x:c>
      <x:c r="U8" s="245" t="n">
        <x:v>0.024</x:v>
      </x:c>
      <x:c r="V8" s="245" t="n">
        <x:v>0.025</x:v>
      </x:c>
      <x:c r="W8" s="245" t="n">
        <x:v>0.026000000000000002</x:v>
      </x:c>
      <x:c r="X8" s="191"/>
      <x:c r="Y8" s="244" t="str">
        <x:v>3M</x:v>
      </x:c>
      <x:c r="Z8" s="246" t="n">
        <x:f>B8+N8</x:f>
        <x:v>0.22150000000000003</x:v>
      </x:c>
      <x:c r="AA8" s="246" t="n">
        <x:f>C8+O8</x:f>
        <x:v>0.22500000000000003</x:v>
      </x:c>
      <x:c r="AB8" s="246" t="n">
        <x:f>D8+P8</x:f>
        <x:v>0.2285</x:v>
      </x:c>
      <x:c r="AC8" s="246" t="n">
        <x:f>E8+Q8</x:f>
        <x:v>0.232</x:v>
      </x:c>
      <x:c r="AD8" s="246" t="n">
        <x:f>F8+R8</x:f>
        <x:v>0.23550000000000001</x:v>
      </x:c>
      <x:c r="AE8" s="246" t="n">
        <x:f>G8+S8</x:f>
        <x:v>0.23900000000000002</x:v>
      </x:c>
      <x:c r="AF8" s="246" t="n">
        <x:f>H8+T8</x:f>
        <x:v>0.24250000000000002</x:v>
      </x:c>
      <x:c r="AG8" s="246" t="n">
        <x:f>I8+U8</x:f>
        <x:v>0.246</x:v>
      </x:c>
      <x:c r="AH8" s="246" t="n">
        <x:f>J8+V8</x:f>
        <x:v>0.2495</x:v>
      </x:c>
      <x:c r="AI8" s="246" t="n">
        <x:f>K8+W8</x:f>
        <x:v>0.253</x:v>
      </x:c>
      <x:c r="AJ8" s="191"/>
      <x:c r="AK8" s="223" t="str">
        <x:v>=gxlSABRSurfaceShift(ATM_PriorSurface, "3M_ExpiryRow", ATM_ShockRow_02)</x:v>
      </x:c>
    </x:row>
    <x:row r="9">
      <x:c r="A9" s="244" t="str">
        <x:v>6M</x:v>
      </x:c>
      <x:c r="B9" s="245" t="n">
        <x:v>0.21050000000000002</x:v>
      </x:c>
      <x:c r="C9" s="245" t="n">
        <x:v>0.21300000000000002</x:v>
      </x:c>
      <x:c r="D9" s="245" t="n">
        <x:v>0.21550000000000002</x:v>
      </x:c>
      <x:c r="E9" s="245" t="n">
        <x:v>0.21800000000000003</x:v>
      </x:c>
      <x:c r="F9" s="245" t="n">
        <x:v>0.22050000000000003</x:v>
      </x:c>
      <x:c r="G9" s="245" t="n">
        <x:v>0.22300000000000003</x:v>
      </x:c>
      <x:c r="H9" s="245" t="n">
        <x:v>0.22550000000000003</x:v>
      </x:c>
      <x:c r="I9" s="245" t="n">
        <x:v>0.228</x:v>
      </x:c>
      <x:c r="J9" s="245" t="n">
        <x:v>0.2305</x:v>
      </x:c>
      <x:c r="K9" s="245" t="n">
        <x:v>0.233</x:v>
      </x:c>
      <x:c r="L9" s="191"/>
      <x:c r="M9" s="244" t="str">
        <x:v>6M</x:v>
      </x:c>
      <x:c r="N9" s="245" t="n">
        <x:v>0.019000000000000003</x:v>
      </x:c>
      <x:c r="O9" s="245" t="n">
        <x:v>0.020000000000000004</x:v>
      </x:c>
      <x:c r="P9" s="245" t="n">
        <x:v>0.021</x:v>
      </x:c>
      <x:c r="Q9" s="245" t="n">
        <x:v>0.022000000000000002</x:v>
      </x:c>
      <x:c r="R9" s="245" t="n">
        <x:v>0.023000000000000003</x:v>
      </x:c>
      <x:c r="S9" s="245" t="n">
        <x:v>0.024</x:v>
      </x:c>
      <x:c r="T9" s="245" t="n">
        <x:v>0.025</x:v>
      </x:c>
      <x:c r="U9" s="245" t="n">
        <x:v>0.026000000000000002</x:v>
      </x:c>
      <x:c r="V9" s="245" t="n">
        <x:v>0.027000000000000003</x:v>
      </x:c>
      <x:c r="W9" s="245" t="n">
        <x:v>0.028000000000000004</x:v>
      </x:c>
      <x:c r="X9" s="191"/>
      <x:c r="Y9" s="244" t="str">
        <x:v>6M</x:v>
      </x:c>
      <x:c r="Z9" s="246" t="n">
        <x:f>B9+N9</x:f>
        <x:v>0.22950000000000004</x:v>
      </x:c>
      <x:c r="AA9" s="246" t="n">
        <x:f>C9+O9</x:f>
        <x:v>0.23300000000000004</x:v>
      </x:c>
      <x:c r="AB9" s="246" t="n">
        <x:f>D9+P9</x:f>
        <x:v>0.23650000000000002</x:v>
      </x:c>
      <x:c r="AC9" s="246" t="n">
        <x:f>E9+Q9</x:f>
        <x:v>0.24000000000000002</x:v>
      </x:c>
      <x:c r="AD9" s="246" t="n">
        <x:f>F9+R9</x:f>
        <x:v>0.24350000000000002</x:v>
      </x:c>
      <x:c r="AE9" s="246" t="n">
        <x:f>G9+S9</x:f>
        <x:v>0.24700000000000003</x:v>
      </x:c>
      <x:c r="AF9" s="246" t="n">
        <x:f>H9+T9</x:f>
        <x:v>0.25050000000000006</x:v>
      </x:c>
      <x:c r="AG9" s="246" t="n">
        <x:f>I9+U9</x:f>
        <x:v>0.254</x:v>
      </x:c>
      <x:c r="AH9" s="246" t="n">
        <x:f>J9+V9</x:f>
        <x:v>0.2575</x:v>
      </x:c>
      <x:c r="AI9" s="246" t="n">
        <x:f>K9+W9</x:f>
        <x:v>0.261</x:v>
      </x:c>
      <x:c r="AJ9" s="191"/>
      <x:c r="AK9" s="223" t="str">
        <x:v>=gxlSABRSurfaceShift(ATM_PriorSurface, "6M_ExpiryRow", ATM_ShockRow_03)</x:v>
      </x:c>
    </x:row>
    <x:row r="10">
      <x:c r="A10" s="244" t="str">
        <x:v>1Y</x:v>
      </x:c>
      <x:c r="B10" s="245" t="n">
        <x:v>0.2165</x:v>
      </x:c>
      <x:c r="C10" s="245" t="n">
        <x:v>0.219</x:v>
      </x:c>
      <x:c r="D10" s="245" t="n">
        <x:v>0.2215</x:v>
      </x:c>
      <x:c r="E10" s="245" t="n">
        <x:v>0.224</x:v>
      </x:c>
      <x:c r="F10" s="245" t="n">
        <x:v>0.2265</x:v>
      </x:c>
      <x:c r="G10" s="245" t="n">
        <x:v>0.22899999999999998</x:v>
      </x:c>
      <x:c r="H10" s="245" t="n">
        <x:v>0.23149999999999998</x:v>
      </x:c>
      <x:c r="I10" s="245" t="n">
        <x:v>0.23399999999999999</x:v>
      </x:c>
      <x:c r="J10" s="245" t="n">
        <x:v>0.2365</x:v>
      </x:c>
      <x:c r="K10" s="245" t="n">
        <x:v>0.239</x:v>
      </x:c>
      <x:c r="L10" s="191"/>
      <x:c r="M10" s="244" t="str">
        <x:v>1Y</x:v>
      </x:c>
      <x:c r="N10" s="245" t="n">
        <x:v>0.021</x:v>
      </x:c>
      <x:c r="O10" s="245" t="n">
        <x:v>0.022</x:v>
      </x:c>
      <x:c r="P10" s="245" t="n">
        <x:v>0.023</x:v>
      </x:c>
      <x:c r="Q10" s="245" t="n">
        <x:v>0.024</x:v>
      </x:c>
      <x:c r="R10" s="245" t="n">
        <x:v>0.025</x:v>
      </x:c>
      <x:c r="S10" s="245" t="n">
        <x:v>0.026000000000000002</x:v>
      </x:c>
      <x:c r="T10" s="245" t="n">
        <x:v>0.027</x:v>
      </x:c>
      <x:c r="U10" s="245" t="n">
        <x:v>0.028</x:v>
      </x:c>
      <x:c r="V10" s="245" t="n">
        <x:v>0.029</x:v>
      </x:c>
      <x:c r="W10" s="245" t="n">
        <x:v>0.03</x:v>
      </x:c>
      <x:c r="X10" s="191"/>
      <x:c r="Y10" s="244" t="str">
        <x:v>1Y</x:v>
      </x:c>
      <x:c r="Z10" s="246" t="n">
        <x:f>B10+N10</x:f>
        <x:v>0.2375</x:v>
      </x:c>
      <x:c r="AA10" s="246" t="n">
        <x:f>C10+O10</x:f>
        <x:v>0.241</x:v>
      </x:c>
      <x:c r="AB10" s="246" t="n">
        <x:f>D10+P10</x:f>
        <x:v>0.2445</x:v>
      </x:c>
      <x:c r="AC10" s="246" t="n">
        <x:f>E10+Q10</x:f>
        <x:v>0.248</x:v>
      </x:c>
      <x:c r="AD10" s="246" t="n">
        <x:f>F10+R10</x:f>
        <x:v>0.2515</x:v>
      </x:c>
      <x:c r="AE10" s="246" t="n">
        <x:f>G10+S10</x:f>
        <x:v>0.255</x:v>
      </x:c>
      <x:c r="AF10" s="246" t="n">
        <x:f>H10+T10</x:f>
        <x:v>0.2585</x:v>
      </x:c>
      <x:c r="AG10" s="246" t="n">
        <x:f>I10+U10</x:f>
        <x:v>0.262</x:v>
      </x:c>
      <x:c r="AH10" s="246" t="n">
        <x:f>J10+V10</x:f>
        <x:v>0.2655</x:v>
      </x:c>
      <x:c r="AI10" s="246" t="n">
        <x:f>K10+W10</x:f>
        <x:v>0.269</x:v>
      </x:c>
      <x:c r="AJ10" s="191"/>
      <x:c r="AK10" s="223" t="str">
        <x:v>=gxlSABRSurfaceShift(ATM_PriorSurface, "1Y_ExpiryRow", ATM_ShockRow_04)</x:v>
      </x:c>
    </x:row>
    <x:row r="11">
      <x:c r="A11" s="244" t="str">
        <x:v>2Y</x:v>
      </x:c>
      <x:c r="B11" s="245" t="n">
        <x:v>0.2225</x:v>
      </x:c>
      <x:c r="C11" s="245" t="n">
        <x:v>0.225</x:v>
      </x:c>
      <x:c r="D11" s="245" t="n">
        <x:v>0.2275</x:v>
      </x:c>
      <x:c r="E11" s="245" t="n">
        <x:v>0.23</x:v>
      </x:c>
      <x:c r="F11" s="245" t="n">
        <x:v>0.2325</x:v>
      </x:c>
      <x:c r="G11" s="245" t="n">
        <x:v>0.235</x:v>
      </x:c>
      <x:c r="H11" s="245" t="n">
        <x:v>0.2375</x:v>
      </x:c>
      <x:c r="I11" s="245" t="n">
        <x:v>0.24</x:v>
      </x:c>
      <x:c r="J11" s="245" t="n">
        <x:v>0.2425</x:v>
      </x:c>
      <x:c r="K11" s="245" t="n">
        <x:v>0.245</x:v>
      </x:c>
      <x:c r="L11" s="191"/>
      <x:c r="M11" s="244" t="str">
        <x:v>2Y</x:v>
      </x:c>
      <x:c r="N11" s="245" t="n">
        <x:v>0.023</x:v>
      </x:c>
      <x:c r="O11" s="245" t="n">
        <x:v>0.024</x:v>
      </x:c>
      <x:c r="P11" s="245" t="n">
        <x:v>0.024999999999999998</x:v>
      </x:c>
      <x:c r="Q11" s="245" t="n">
        <x:v>0.026</x:v>
      </x:c>
      <x:c r="R11" s="245" t="n">
        <x:v>0.027</x:v>
      </x:c>
      <x:c r="S11" s="245" t="n">
        <x:v>0.027999999999999997</x:v>
      </x:c>
      <x:c r="T11" s="245" t="n">
        <x:v>0.028999999999999998</x:v>
      </x:c>
      <x:c r="U11" s="245" t="n">
        <x:v>0.03</x:v>
      </x:c>
      <x:c r="V11" s="245" t="n">
        <x:v>0.031</x:v>
      </x:c>
      <x:c r="W11" s="245" t="n">
        <x:v>0.032</x:v>
      </x:c>
      <x:c r="X11" s="191"/>
      <x:c r="Y11" s="244" t="str">
        <x:v>2Y</x:v>
      </x:c>
      <x:c r="Z11" s="246" t="n">
        <x:f>B11+N11</x:f>
        <x:v>0.2455</x:v>
      </x:c>
      <x:c r="AA11" s="246" t="n">
        <x:f>C11+O11</x:f>
        <x:v>0.249</x:v>
      </x:c>
      <x:c r="AB11" s="246" t="n">
        <x:f>D11+P11</x:f>
        <x:v>0.2525</x:v>
      </x:c>
      <x:c r="AC11" s="246" t="n">
        <x:f>E11+Q11</x:f>
        <x:v>0.256</x:v>
      </x:c>
      <x:c r="AD11" s="246" t="n">
        <x:f>F11+R11</x:f>
        <x:v>0.2595</x:v>
      </x:c>
      <x:c r="AE11" s="246" t="n">
        <x:f>G11+S11</x:f>
        <x:v>0.263</x:v>
      </x:c>
      <x:c r="AF11" s="246" t="n">
        <x:f>H11+T11</x:f>
        <x:v>0.26649999999999996</x:v>
      </x:c>
      <x:c r="AG11" s="246" t="n">
        <x:f>I11+U11</x:f>
        <x:v>0.27</x:v>
      </x:c>
      <x:c r="AH11" s="246" t="n">
        <x:f>J11+V11</x:f>
        <x:v>0.27349999999999997</x:v>
      </x:c>
      <x:c r="AI11" s="246" t="n">
        <x:f>K11+W11</x:f>
        <x:v>0.277</x:v>
      </x:c>
      <x:c r="AJ11" s="191"/>
      <x:c r="AK11" s="223" t="str">
        <x:v>=gxlSABRSurfaceShift(ATM_PriorSurface, "2Y_ExpiryRow", ATM_ShockRow_05)</x:v>
      </x:c>
    </x:row>
    <x:row r="12">
      <x:c r="A12" s="244" t="str">
        <x:v>3Y</x:v>
      </x:c>
      <x:c r="B12" s="245" t="n">
        <x:v>0.2285</x:v>
      </x:c>
      <x:c r="C12" s="245" t="n">
        <x:v>0.231</x:v>
      </x:c>
      <x:c r="D12" s="245" t="n">
        <x:v>0.2335</x:v>
      </x:c>
      <x:c r="E12" s="245" t="n">
        <x:v>0.23600000000000002</x:v>
      </x:c>
      <x:c r="F12" s="245" t="n">
        <x:v>0.23850000000000002</x:v>
      </x:c>
      <x:c r="G12" s="245" t="n">
        <x:v>0.241</x:v>
      </x:c>
      <x:c r="H12" s="245" t="n">
        <x:v>0.2435</x:v>
      </x:c>
      <x:c r="I12" s="245" t="n">
        <x:v>0.246</x:v>
      </x:c>
      <x:c r="J12" s="245" t="n">
        <x:v>0.2485</x:v>
      </x:c>
      <x:c r="K12" s="245" t="n">
        <x:v>0.251</x:v>
      </x:c>
      <x:c r="L12" s="191"/>
      <x:c r="M12" s="244" t="str">
        <x:v>3Y</x:v>
      </x:c>
      <x:c r="N12" s="245" t="n">
        <x:v>0.025</x:v>
      </x:c>
      <x:c r="O12" s="245" t="n">
        <x:v>0.026000000000000002</x:v>
      </x:c>
      <x:c r="P12" s="245" t="n">
        <x:v>0.027</x:v>
      </x:c>
      <x:c r="Q12" s="245" t="n">
        <x:v>0.028</x:v>
      </x:c>
      <x:c r="R12" s="245" t="n">
        <x:v>0.029</x:v>
      </x:c>
      <x:c r="S12" s="245" t="n">
        <x:v>0.03</x:v>
      </x:c>
      <x:c r="T12" s="245" t="n">
        <x:v>0.031</x:v>
      </x:c>
      <x:c r="U12" s="245" t="n">
        <x:v>0.032</x:v>
      </x:c>
      <x:c r="V12" s="245" t="n">
        <x:v>0.033</x:v>
      </x:c>
      <x:c r="W12" s="245" t="n">
        <x:v>0.034</x:v>
      </x:c>
      <x:c r="X12" s="191"/>
      <x:c r="Y12" s="244" t="str">
        <x:v>3Y</x:v>
      </x:c>
      <x:c r="Z12" s="246" t="n">
        <x:f>B12+N12</x:f>
        <x:v>0.2535</x:v>
      </x:c>
      <x:c r="AA12" s="246" t="n">
        <x:f>C12+O12</x:f>
        <x:v>0.257</x:v>
      </x:c>
      <x:c r="AB12" s="246" t="n">
        <x:f>D12+P12</x:f>
        <x:v>0.2605</x:v>
      </x:c>
      <x:c r="AC12" s="246" t="n">
        <x:f>E12+Q12</x:f>
        <x:v>0.264</x:v>
      </x:c>
      <x:c r="AD12" s="246" t="n">
        <x:f>F12+R12</x:f>
        <x:v>0.2675</x:v>
      </x:c>
      <x:c r="AE12" s="246" t="n">
        <x:f>G12+S12</x:f>
        <x:v>0.271</x:v>
      </x:c>
      <x:c r="AF12" s="246" t="n">
        <x:f>H12+T12</x:f>
        <x:v>0.27449999999999997</x:v>
      </x:c>
      <x:c r="AG12" s="246" t="n">
        <x:f>I12+U12</x:f>
        <x:v>0.278</x:v>
      </x:c>
      <x:c r="AH12" s="246" t="n">
        <x:f>J12+V12</x:f>
        <x:v>0.2815</x:v>
      </x:c>
      <x:c r="AI12" s="246" t="n">
        <x:f>K12+W12</x:f>
        <x:v>0.28500000000000003</x:v>
      </x:c>
      <x:c r="AJ12" s="191"/>
      <x:c r="AK12" s="223" t="str">
        <x:v>=gxlSABRSurfaceShift(ATM_PriorSurface, "3Y_ExpiryRow", ATM_ShockRow_06)</x:v>
      </x:c>
    </x:row>
    <x:row r="13">
      <x:c r="A13" s="244" t="str">
        <x:v>5Y</x:v>
      </x:c>
      <x:c r="B13" s="245" t="n">
        <x:v>0.23450000000000001</x:v>
      </x:c>
      <x:c r="C13" s="245" t="n">
        <x:v>0.23700000000000002</x:v>
      </x:c>
      <x:c r="D13" s="245" t="n">
        <x:v>0.23950000000000002</x:v>
      </x:c>
      <x:c r="E13" s="245" t="n">
        <x:v>0.24200000000000002</x:v>
      </x:c>
      <x:c r="F13" s="245" t="n">
        <x:v>0.24450000000000002</x:v>
      </x:c>
      <x:c r="G13" s="245" t="n">
        <x:v>0.247</x:v>
      </x:c>
      <x:c r="H13" s="245" t="n">
        <x:v>0.2495</x:v>
      </x:c>
      <x:c r="I13" s="245" t="n">
        <x:v>0.252</x:v>
      </x:c>
      <x:c r="J13" s="245" t="n">
        <x:v>0.2545</x:v>
      </x:c>
      <x:c r="K13" s="245" t="n">
        <x:v>0.257</x:v>
      </x:c>
      <x:c r="L13" s="191"/>
      <x:c r="M13" s="244" t="str">
        <x:v>5Y</x:v>
      </x:c>
      <x:c r="N13" s="245" t="n">
        <x:v>0.027000000000000003</x:v>
      </x:c>
      <x:c r="O13" s="245" t="n">
        <x:v>0.028000000000000004</x:v>
      </x:c>
      <x:c r="P13" s="245" t="n">
        <x:v>0.029</x:v>
      </x:c>
      <x:c r="Q13" s="245" t="n">
        <x:v>0.030000000000000002</x:v>
      </x:c>
      <x:c r="R13" s="245" t="n">
        <x:v>0.031000000000000003</x:v>
      </x:c>
      <x:c r="S13" s="245" t="n">
        <x:v>0.032</x:v>
      </x:c>
      <x:c r="T13" s="245" t="n">
        <x:v>0.033</x:v>
      </x:c>
      <x:c r="U13" s="245" t="n">
        <x:v>0.034</x:v>
      </x:c>
      <x:c r="V13" s="245" t="n">
        <x:v>0.035</x:v>
      </x:c>
      <x:c r="W13" s="245" t="n">
        <x:v>0.036000000000000004</x:v>
      </x:c>
      <x:c r="X13" s="191"/>
      <x:c r="Y13" s="244" t="str">
        <x:v>5Y</x:v>
      </x:c>
      <x:c r="Z13" s="246" t="n">
        <x:f>B13+N13</x:f>
        <x:v>0.2615</x:v>
      </x:c>
      <x:c r="AA13" s="246" t="n">
        <x:f>C13+O13</x:f>
        <x:v>0.265</x:v>
      </x:c>
      <x:c r="AB13" s="246" t="n">
        <x:f>D13+P13</x:f>
        <x:v>0.2685</x:v>
      </x:c>
      <x:c r="AC13" s="246" t="n">
        <x:f>E13+Q13</x:f>
        <x:v>0.272</x:v>
      </x:c>
      <x:c r="AD13" s="246" t="n">
        <x:f>F13+R13</x:f>
        <x:v>0.2755</x:v>
      </x:c>
      <x:c r="AE13" s="246" t="n">
        <x:f>G13+S13</x:f>
        <x:v>0.279</x:v>
      </x:c>
      <x:c r="AF13" s="246" t="n">
        <x:f>H13+T13</x:f>
        <x:v>0.2825</x:v>
      </x:c>
      <x:c r="AG13" s="246" t="n">
        <x:f>I13+U13</x:f>
        <x:v>0.28600000000000003</x:v>
      </x:c>
      <x:c r="AH13" s="246" t="n">
        <x:f>J13+V13</x:f>
        <x:v>0.2895</x:v>
      </x:c>
      <x:c r="AI13" s="246" t="n">
        <x:f>K13+W13</x:f>
        <x:v>0.29300000000000004</x:v>
      </x:c>
      <x:c r="AJ13" s="191"/>
      <x:c r="AK13" s="223" t="str">
        <x:v>=gxlSABRSurfaceShift(ATM_PriorSurface, "5Y_ExpiryRow", ATM_ShockRow_07)</x:v>
      </x:c>
    </x:row>
    <x:row r="14">
      <x:c r="A14" s="244" t="str">
        <x:v>10Y</x:v>
      </x:c>
      <x:c r="B14" s="245" t="n">
        <x:v>0.2405</x:v>
      </x:c>
      <x:c r="C14" s="245" t="n">
        <x:v>0.243</x:v>
      </x:c>
      <x:c r="D14" s="245" t="n">
        <x:v>0.2455</x:v>
      </x:c>
      <x:c r="E14" s="245" t="n">
        <x:v>0.248</x:v>
      </x:c>
      <x:c r="F14" s="245" t="n">
        <x:v>0.2505</x:v>
      </x:c>
      <x:c r="G14" s="245" t="n">
        <x:v>0.253</x:v>
      </x:c>
      <x:c r="H14" s="245" t="n">
        <x:v>0.2555</x:v>
      </x:c>
      <x:c r="I14" s="245" t="n">
        <x:v>0.258</x:v>
      </x:c>
      <x:c r="J14" s="245" t="n">
        <x:v>0.2605</x:v>
      </x:c>
      <x:c r="K14" s="245" t="n">
        <x:v>0.263</x:v>
      </x:c>
      <x:c r="L14" s="191"/>
      <x:c r="M14" s="244" t="str">
        <x:v>10Y</x:v>
      </x:c>
      <x:c r="N14" s="245" t="n">
        <x:v>0.029</x:v>
      </x:c>
      <x:c r="O14" s="245" t="n">
        <x:v>0.03</x:v>
      </x:c>
      <x:c r="P14" s="245" t="n">
        <x:v>0.031</x:v>
      </x:c>
      <x:c r="Q14" s="245" t="n">
        <x:v>0.032</x:v>
      </x:c>
      <x:c r="R14" s="245" t="n">
        <x:v>0.033</x:v>
      </x:c>
      <x:c r="S14" s="245" t="n">
        <x:v>0.034</x:v>
      </x:c>
      <x:c r="T14" s="245" t="n">
        <x:v>0.035</x:v>
      </x:c>
      <x:c r="U14" s="245" t="n">
        <x:v>0.036000000000000004</x:v>
      </x:c>
      <x:c r="V14" s="245" t="n">
        <x:v>0.037000000000000005</x:v>
      </x:c>
      <x:c r="W14" s="245" t="n">
        <x:v>0.038</x:v>
      </x:c>
      <x:c r="X14" s="191"/>
      <x:c r="Y14" s="244" t="str">
        <x:v>10Y</x:v>
      </x:c>
      <x:c r="Z14" s="246" t="n">
        <x:f>B14+N14</x:f>
        <x:v>0.2695</x:v>
      </x:c>
      <x:c r="AA14" s="246" t="n">
        <x:f>C14+O14</x:f>
        <x:v>0.273</x:v>
      </x:c>
      <x:c r="AB14" s="246" t="n">
        <x:f>D14+P14</x:f>
        <x:v>0.27649999999999997</x:v>
      </x:c>
      <x:c r="AC14" s="246" t="n">
        <x:f>E14+Q14</x:f>
        <x:v>0.28</x:v>
      </x:c>
      <x:c r="AD14" s="246" t="n">
        <x:f>F14+R14</x:f>
        <x:v>0.2835</x:v>
      </x:c>
      <x:c r="AE14" s="246" t="n">
        <x:f>G14+S14</x:f>
        <x:v>0.28700000000000003</x:v>
      </x:c>
      <x:c r="AF14" s="246" t="n">
        <x:f>H14+T14</x:f>
        <x:v>0.2905</x:v>
      </x:c>
      <x:c r="AG14" s="246" t="n">
        <x:f>I14+U14</x:f>
        <x:v>0.29400000000000004</x:v>
      </x:c>
      <x:c r="AH14" s="246" t="n">
        <x:f>J14+V14</x:f>
        <x:v>0.2975</x:v>
      </x:c>
      <x:c r="AI14" s="246" t="n">
        <x:f>K14+W14</x:f>
        <x:v>0.301</x:v>
      </x:c>
      <x:c r="AJ14" s="191"/>
      <x:c r="AK14" s="223" t="str">
        <x:v>=gxlSABRSurfaceShift(ATM_PriorSurface, "10Y_ExpiryRow", ATM_ShockRow_08)</x:v>
      </x:c>
    </x:row>
    <x:row r="15">
      <x:c r="A15" s="244" t="str">
        <x:v>20Y</x:v>
      </x:c>
      <x:c r="B15" s="245" t="n">
        <x:v>0.2465</x:v>
      </x:c>
      <x:c r="C15" s="245" t="n">
        <x:v>0.249</x:v>
      </x:c>
      <x:c r="D15" s="245" t="n">
        <x:v>0.2515</x:v>
      </x:c>
      <x:c r="E15" s="245" t="n">
        <x:v>0.254</x:v>
      </x:c>
      <x:c r="F15" s="245" t="n">
        <x:v>0.2565</x:v>
      </x:c>
      <x:c r="G15" s="245" t="n">
        <x:v>0.259</x:v>
      </x:c>
      <x:c r="H15" s="245" t="n">
        <x:v>0.2615</x:v>
      </x:c>
      <x:c r="I15" s="245" t="n">
        <x:v>0.264</x:v>
      </x:c>
      <x:c r="J15" s="245" t="n">
        <x:v>0.2665</x:v>
      </x:c>
      <x:c r="K15" s="245" t="n">
        <x:v>0.269</x:v>
      </x:c>
      <x:c r="L15" s="191"/>
      <x:c r="M15" s="244" t="str">
        <x:v>20Y</x:v>
      </x:c>
      <x:c r="N15" s="245" t="n">
        <x:v>0.031000000000000003</x:v>
      </x:c>
      <x:c r="O15" s="245" t="n">
        <x:v>0.032</x:v>
      </x:c>
      <x:c r="P15" s="245" t="n">
        <x:v>0.033</x:v>
      </x:c>
      <x:c r="Q15" s="245" t="n">
        <x:v>0.034</x:v>
      </x:c>
      <x:c r="R15" s="245" t="n">
        <x:v>0.035</x:v>
      </x:c>
      <x:c r="S15" s="245" t="n">
        <x:v>0.036000000000000004</x:v>
      </x:c>
      <x:c r="T15" s="245" t="n">
        <x:v>0.037000000000000005</x:v>
      </x:c>
      <x:c r="U15" s="245" t="n">
        <x:v>0.038000000000000006</x:v>
      </x:c>
      <x:c r="V15" s="245" t="n">
        <x:v>0.03900000000000001</x:v>
      </x:c>
      <x:c r="W15" s="245" t="n">
        <x:v>0.04</x:v>
      </x:c>
      <x:c r="X15" s="191"/>
      <x:c r="Y15" s="244" t="str">
        <x:v>20Y</x:v>
      </x:c>
      <x:c r="Z15" s="246" t="n">
        <x:f>B15+N15</x:f>
        <x:v>0.2775</x:v>
      </x:c>
      <x:c r="AA15" s="246" t="n">
        <x:f>C15+O15</x:f>
        <x:v>0.281</x:v>
      </x:c>
      <x:c r="AB15" s="246" t="n">
        <x:f>D15+P15</x:f>
        <x:v>0.2845</x:v>
      </x:c>
      <x:c r="AC15" s="246" t="n">
        <x:f>E15+Q15</x:f>
        <x:v>0.28800000000000003</x:v>
      </x:c>
      <x:c r="AD15" s="246" t="n">
        <x:f>F15+R15</x:f>
        <x:v>0.2915</x:v>
      </x:c>
      <x:c r="AE15" s="246" t="n">
        <x:f>G15+S15</x:f>
        <x:v>0.29500000000000004</x:v>
      </x:c>
      <x:c r="AF15" s="246" t="n">
        <x:f>H15+T15</x:f>
        <x:v>0.2985</x:v>
      </x:c>
      <x:c r="AG15" s="246" t="n">
        <x:f>I15+U15</x:f>
        <x:v>0.30200000000000005</x:v>
      </x:c>
      <x:c r="AH15" s="246" t="n">
        <x:f>J15+V15</x:f>
        <x:v>0.3055</x:v>
      </x:c>
      <x:c r="AI15" s="246" t="n">
        <x:f>K15+W15</x:f>
        <x:v>0.309</x:v>
      </x:c>
      <x:c r="AJ15" s="191"/>
      <x:c r="AK15" s="223" t="str">
        <x:v>=gxlSABRSurfaceShift(ATM_PriorSurface, "20Y_ExpiryRow", ATM_ShockRow_09)</x:v>
      </x:c>
    </x:row>
    <x:row r="16">
      <x:c r="A16" s="244" t="str">
        <x:v>30Y</x:v>
      </x:c>
      <x:c r="B16" s="245" t="n">
        <x:v>0.2525</x:v>
      </x:c>
      <x:c r="C16" s="245" t="n">
        <x:v>0.255</x:v>
      </x:c>
      <x:c r="D16" s="245" t="n">
        <x:v>0.2575</x:v>
      </x:c>
      <x:c r="E16" s="245" t="n">
        <x:v>0.26</x:v>
      </x:c>
      <x:c r="F16" s="245" t="n">
        <x:v>0.2625</x:v>
      </x:c>
      <x:c r="G16" s="245" t="n">
        <x:v>0.265</x:v>
      </x:c>
      <x:c r="H16" s="245" t="n">
        <x:v>0.2675</x:v>
      </x:c>
      <x:c r="I16" s="245" t="n">
        <x:v>0.27</x:v>
      </x:c>
      <x:c r="J16" s="245" t="n">
        <x:v>0.2725</x:v>
      </x:c>
      <x:c r="K16" s="245" t="n">
        <x:v>0.275</x:v>
      </x:c>
      <x:c r="L16" s="191"/>
      <x:c r="M16" s="244" t="str">
        <x:v>30Y</x:v>
      </x:c>
      <x:c r="N16" s="245" t="n">
        <x:v>0.033</x:v>
      </x:c>
      <x:c r="O16" s="245" t="n">
        <x:v>0.034</x:v>
      </x:c>
      <x:c r="P16" s="245" t="n">
        <x:v>0.035</x:v>
      </x:c>
      <x:c r="Q16" s="245" t="n">
        <x:v>0.036000000000000004</x:v>
      </x:c>
      <x:c r="R16" s="245" t="n">
        <x:v>0.037</x:v>
      </x:c>
      <x:c r="S16" s="245" t="n">
        <x:v>0.038</x:v>
      </x:c>
      <x:c r="T16" s="245" t="n">
        <x:v>0.039</x:v>
      </x:c>
      <x:c r="U16" s="245" t="n">
        <x:v>0.04</x:v>
      </x:c>
      <x:c r="V16" s="245" t="n">
        <x:v>0.041</x:v>
      </x:c>
      <x:c r="W16" s="245" t="n">
        <x:v>0.042</x:v>
      </x:c>
      <x:c r="X16" s="191"/>
      <x:c r="Y16" s="244" t="str">
        <x:v>30Y</x:v>
      </x:c>
      <x:c r="Z16" s="246" t="n">
        <x:f>B16+N16</x:f>
        <x:v>0.2855</x:v>
      </x:c>
      <x:c r="AA16" s="246" t="n">
        <x:f>C16+O16</x:f>
        <x:v>0.28900000000000003</x:v>
      </x:c>
      <x:c r="AB16" s="246" t="n">
        <x:f>D16+P16</x:f>
        <x:v>0.2925</x:v>
      </x:c>
      <x:c r="AC16" s="246" t="n">
        <x:f>E16+Q16</x:f>
        <x:v>0.29600000000000004</x:v>
      </x:c>
      <x:c r="AD16" s="246" t="n">
        <x:f>F16+R16</x:f>
        <x:v>0.2995</x:v>
      </x:c>
      <x:c r="AE16" s="246" t="n">
        <x:f>G16+S16</x:f>
        <x:v>0.303</x:v>
      </x:c>
      <x:c r="AF16" s="246" t="n">
        <x:f>H16+T16</x:f>
        <x:v>0.3065</x:v>
      </x:c>
      <x:c r="AG16" s="246" t="n">
        <x:f>I16+U16</x:f>
        <x:v>0.31</x:v>
      </x:c>
      <x:c r="AH16" s="246" t="n">
        <x:f>J16+V16</x:f>
        <x:v>0.3135</x:v>
      </x:c>
      <x:c r="AI16" s="246" t="n">
        <x:f>K16+W16</x:f>
        <x:v>0.317</x:v>
      </x:c>
      <x:c r="AJ16" s="191"/>
      <x:c r="AK16" s="223" t="str">
        <x:v>=gxlSABRSurfaceShift(ATM_PriorSurface, "30Y_ExpiryRow", ATM_ShockRow_10)</x:v>
      </x:c>
    </x:row>
    <x:row r="17">
      <x:c r="A17" s="191"/>
      <x:c r="B17" s="191"/>
      <x:c r="C17" s="191"/>
      <x:c r="D17" s="191"/>
      <x:c r="E17" s="191"/>
      <x:c r="F17" s="191"/>
      <x:c r="G17" s="191"/>
      <x:c r="H17" s="191"/>
      <x:c r="I17" s="191"/>
      <x:c r="J17" s="191"/>
      <x:c r="K17" s="191"/>
      <x:c r="L17" s="191"/>
      <x:c r="M17" s="191"/>
      <x:c r="N17" s="191"/>
      <x:c r="O17" s="191"/>
      <x:c r="P17" s="191"/>
      <x:c r="Q17" s="191"/>
      <x:c r="R17" s="191"/>
      <x:c r="S17" s="191"/>
      <x:c r="T17" s="191"/>
      <x:c r="U17" s="191"/>
      <x:c r="V17" s="191"/>
      <x:c r="W17" s="191"/>
      <x:c r="X17" s="191"/>
      <x:c r="Y17" s="191"/>
      <x:c r="Z17" s="191"/>
      <x:c r="AA17" s="191"/>
      <x:c r="AB17" s="191"/>
      <x:c r="AC17" s="191"/>
      <x:c r="AD17" s="191"/>
      <x:c r="AE17" s="191"/>
      <x:c r="AF17" s="191"/>
      <x:c r="AG17" s="191"/>
      <x:c r="AH17" s="191"/>
      <x:c r="AI17" s="191"/>
      <x:c r="AJ17" s="191"/>
      <x:c r="AK17" s="191"/>
    </x:row>
    <x:row r="18">
      <x:c r="A18" s="191"/>
      <x:c r="B18" s="191"/>
      <x:c r="C18" s="191"/>
      <x:c r="D18" s="191"/>
      <x:c r="E18" s="191"/>
      <x:c r="F18" s="191"/>
      <x:c r="G18" s="191"/>
      <x:c r="H18" s="191"/>
      <x:c r="I18" s="191"/>
      <x:c r="J18" s="191"/>
      <x:c r="K18" s="191"/>
      <x:c r="L18" s="191"/>
      <x:c r="M18" s="191"/>
      <x:c r="N18" s="191"/>
      <x:c r="O18" s="191"/>
      <x:c r="P18" s="191"/>
      <x:c r="Q18" s="191"/>
      <x:c r="R18" s="191"/>
      <x:c r="S18" s="191"/>
      <x:c r="T18" s="191"/>
      <x:c r="U18" s="191"/>
      <x:c r="V18" s="191"/>
      <x:c r="W18" s="191"/>
      <x:c r="X18" s="191"/>
      <x:c r="Y18" s="191"/>
      <x:c r="Z18" s="191"/>
      <x:c r="AA18" s="191"/>
      <x:c r="AB18" s="191"/>
      <x:c r="AC18" s="191"/>
      <x:c r="AD18" s="191"/>
      <x:c r="AE18" s="191"/>
      <x:c r="AF18" s="191"/>
      <x:c r="AG18" s="191"/>
      <x:c r="AH18" s="191"/>
      <x:c r="AI18" s="191"/>
      <x:c r="AJ18" s="191"/>
      <x:c r="AK18" s="191"/>
    </x:row>
    <x:row r="19">
      <x:c r="A19" s="191"/>
      <x:c r="B19" s="191"/>
      <x:c r="C19" s="191"/>
      <x:c r="D19" s="191"/>
      <x:c r="E19" s="191"/>
      <x:c r="F19" s="191"/>
      <x:c r="G19" s="191"/>
      <x:c r="H19" s="191"/>
      <x:c r="I19" s="191"/>
      <x:c r="J19" s="191"/>
      <x:c r="K19" s="191"/>
      <x:c r="L19" s="191"/>
      <x:c r="M19" s="191"/>
      <x:c r="N19" s="191"/>
      <x:c r="O19" s="191"/>
      <x:c r="P19" s="191"/>
      <x:c r="Q19" s="191"/>
      <x:c r="R19" s="191"/>
      <x:c r="S19" s="191"/>
      <x:c r="T19" s="191"/>
      <x:c r="U19" s="191"/>
      <x:c r="V19" s="191"/>
      <x:c r="W19" s="191"/>
      <x:c r="X19" s="191"/>
      <x:c r="Y19" s="191"/>
      <x:c r="Z19" s="191"/>
      <x:c r="AA19" s="191"/>
      <x:c r="AB19" s="191"/>
      <x:c r="AC19" s="191"/>
      <x:c r="AD19" s="191"/>
      <x:c r="AE19" s="191"/>
      <x:c r="AF19" s="191"/>
      <x:c r="AG19" s="191"/>
      <x:c r="AH19" s="191"/>
      <x:c r="AI19" s="191"/>
      <x:c r="AJ19" s="191"/>
      <x:c r="AK19" s="191"/>
    </x:row>
    <x:row r="20" ht="22" customHeight="1">
      <x:c r="A20" s="21" t="str">
        <x:v>RHO parameter surface</x:v>
      </x:c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  <x:c r="AA20" s="21"/>
      <x:c r="AB20" s="21"/>
      <x:c r="AC20" s="21"/>
      <x:c r="AD20" s="21"/>
      <x:c r="AE20" s="21"/>
      <x:c r="AF20" s="21"/>
      <x:c r="AG20" s="21"/>
      <x:c r="AH20" s="21"/>
      <x:c r="AI20" s="21"/>
      <x:c r="AJ20" s="21"/>
      <x:c r="AK20" s="21"/>
    </x:row>
    <x:row r="21">
      <x:c r="A21" s="241" t="str">
        <x:v>RHO Base Grid</x:v>
      </x:c>
      <x:c r="B21" s="241"/>
      <x:c r="C21" s="241"/>
      <x:c r="D21" s="241"/>
      <x:c r="E21" s="241"/>
      <x:c r="F21" s="241"/>
      <x:c r="G21" s="241"/>
      <x:c r="H21" s="241"/>
      <x:c r="I21" s="241"/>
      <x:c r="J21" s="241"/>
      <x:c r="K21" s="241"/>
      <x:c r="L21" s="191"/>
      <x:c r="M21" s="242" t="str">
        <x:v>RHO Shock Grid — 20-Nov-2008</x:v>
      </x:c>
      <x:c r="N21" s="242"/>
      <x:c r="O21" s="242"/>
      <x:c r="P21" s="242"/>
      <x:c r="Q21" s="242"/>
      <x:c r="R21" s="242"/>
      <x:c r="S21" s="242"/>
      <x:c r="T21" s="242"/>
      <x:c r="U21" s="242"/>
      <x:c r="V21" s="242"/>
      <x:c r="W21" s="242"/>
      <x:c r="X21" s="191"/>
      <x:c r="Y21" s="243" t="str">
        <x:v>RHO Shocked Grid</x:v>
      </x:c>
      <x:c r="Z21" s="243"/>
      <x:c r="AA21" s="243"/>
      <x:c r="AB21" s="243"/>
      <x:c r="AC21" s="243"/>
      <x:c r="AD21" s="243"/>
      <x:c r="AE21" s="243"/>
      <x:c r="AF21" s="243"/>
      <x:c r="AG21" s="243"/>
      <x:c r="AH21" s="243"/>
      <x:c r="AI21" s="243"/>
      <x:c r="AJ21" s="191"/>
      <x:c r="AK21" s="191"/>
    </x:row>
    <x:row r="22">
      <x:c r="A22" s="45" t="str">
        <x:v>Expiry \ Underlying</x:v>
      </x:c>
      <x:c r="B22" s="45" t="str">
        <x:v>1M</x:v>
      </x:c>
      <x:c r="C22" s="45" t="str">
        <x:v>3M</x:v>
      </x:c>
      <x:c r="D22" s="45" t="str">
        <x:v>6M</x:v>
      </x:c>
      <x:c r="E22" s="45" t="str">
        <x:v>1Y</x:v>
      </x:c>
      <x:c r="F22" s="45" t="str">
        <x:v>2Y</x:v>
      </x:c>
      <x:c r="G22" s="45" t="str">
        <x:v>3Y</x:v>
      </x:c>
      <x:c r="H22" s="45" t="str">
        <x:v>5Y</x:v>
      </x:c>
      <x:c r="I22" s="45" t="str">
        <x:v>10Y</x:v>
      </x:c>
      <x:c r="J22" s="45" t="str">
        <x:v>20Y</x:v>
      </x:c>
      <x:c r="K22" s="45" t="str">
        <x:v>30Y</x:v>
      </x:c>
      <x:c r="L22" s="191"/>
      <x:c r="M22" s="45" t="str">
        <x:v>Expiry \ Underlying</x:v>
      </x:c>
      <x:c r="N22" s="45" t="str">
        <x:v>1M</x:v>
      </x:c>
      <x:c r="O22" s="45" t="str">
        <x:v>3M</x:v>
      </x:c>
      <x:c r="P22" s="45" t="str">
        <x:v>6M</x:v>
      </x:c>
      <x:c r="Q22" s="45" t="str">
        <x:v>1Y</x:v>
      </x:c>
      <x:c r="R22" s="45" t="str">
        <x:v>2Y</x:v>
      </x:c>
      <x:c r="S22" s="45" t="str">
        <x:v>3Y</x:v>
      </x:c>
      <x:c r="T22" s="45" t="str">
        <x:v>5Y</x:v>
      </x:c>
      <x:c r="U22" s="45" t="str">
        <x:v>10Y</x:v>
      </x:c>
      <x:c r="V22" s="45" t="str">
        <x:v>20Y</x:v>
      </x:c>
      <x:c r="W22" s="45" t="str">
        <x:v>30Y</x:v>
      </x:c>
      <x:c r="X22" s="191"/>
      <x:c r="Y22" s="45" t="str">
        <x:v>Expiry \ Underlying</x:v>
      </x:c>
      <x:c r="Z22" s="45" t="str">
        <x:v>1M</x:v>
      </x:c>
      <x:c r="AA22" s="45" t="str">
        <x:v>3M</x:v>
      </x:c>
      <x:c r="AB22" s="45" t="str">
        <x:v>6M</x:v>
      </x:c>
      <x:c r="AC22" s="45" t="str">
        <x:v>1Y</x:v>
      </x:c>
      <x:c r="AD22" s="45" t="str">
        <x:v>2Y</x:v>
      </x:c>
      <x:c r="AE22" s="45" t="str">
        <x:v>3Y</x:v>
      </x:c>
      <x:c r="AF22" s="45" t="str">
        <x:v>5Y</x:v>
      </x:c>
      <x:c r="AG22" s="45" t="str">
        <x:v>10Y</x:v>
      </x:c>
      <x:c r="AH22" s="45" t="str">
        <x:v>20Y</x:v>
      </x:c>
      <x:c r="AI22" s="45" t="str">
        <x:v>30Y</x:v>
      </x:c>
      <x:c r="AJ22" s="191"/>
      <x:c r="AK22" s="45" t="str">
        <x:v>Surface UDF illustration</x:v>
      </x:c>
    </x:row>
    <x:row r="23">
      <x:c r="A23" s="244" t="str">
        <x:v>1M</x:v>
      </x:c>
      <x:c r="B23" s="199" t="n">
        <x:v>-0.286</x:v>
      </x:c>
      <x:c r="C23" s="199" t="n">
        <x:v>-0.294</x:v>
      </x:c>
      <x:c r="D23" s="199" t="n">
        <x:v>-0.302</x:v>
      </x:c>
      <x:c r="E23" s="199" t="n">
        <x:v>-0.30999999999999994</x:v>
      </x:c>
      <x:c r="F23" s="199" t="n">
        <x:v>-0.31799999999999995</x:v>
      </x:c>
      <x:c r="G23" s="199" t="n">
        <x:v>-0.32599999999999996</x:v>
      </x:c>
      <x:c r="H23" s="199" t="n">
        <x:v>-0.33399999999999996</x:v>
      </x:c>
      <x:c r="I23" s="199" t="n">
        <x:v>-0.34199999999999997</x:v>
      </x:c>
      <x:c r="J23" s="199" t="n">
        <x:v>-0.35</x:v>
      </x:c>
      <x:c r="K23" s="199" t="n">
        <x:v>-0.358</x:v>
      </x:c>
      <x:c r="L23" s="191"/>
      <x:c r="M23" s="244" t="str">
        <x:v>1M</x:v>
      </x:c>
      <x:c r="N23" s="199" t="n">
        <x:v>-0.023000000000000003</x:v>
      </x:c>
      <x:c r="O23" s="199" t="n">
        <x:v>-0.024</x:v>
      </x:c>
      <x:c r="P23" s="199" t="n">
        <x:v>-0.025</x:v>
      </x:c>
      <x:c r="Q23" s="199" t="n">
        <x:v>-0.026000000000000002</x:v>
      </x:c>
      <x:c r="R23" s="199" t="n">
        <x:v>-0.027000000000000003</x:v>
      </x:c>
      <x:c r="S23" s="199" t="n">
        <x:v>-0.028000000000000004</x:v>
      </x:c>
      <x:c r="T23" s="199" t="n">
        <x:v>-0.029</x:v>
      </x:c>
      <x:c r="U23" s="199" t="n">
        <x:v>-0.030000000000000002</x:v>
      </x:c>
      <x:c r="V23" s="199" t="n">
        <x:v>-0.031000000000000003</x:v>
      </x:c>
      <x:c r="W23" s="199" t="n">
        <x:v>-0.032</x:v>
      </x:c>
      <x:c r="X23" s="191"/>
      <x:c r="Y23" s="244" t="str">
        <x:v>1M</x:v>
      </x:c>
      <x:c r="Z23" s="211" t="n">
        <x:f>MAX(-0.999,MIN(0.999,B23+N23))</x:f>
        <x:v>-0.309</x:v>
      </x:c>
      <x:c r="AA23" s="211" t="n">
        <x:f>MAX(-0.999,MIN(0.999,C23+O23))</x:f>
        <x:v>-0.318</x:v>
      </x:c>
      <x:c r="AB23" s="211" t="n">
        <x:f>MAX(-0.999,MIN(0.999,D23+P23))</x:f>
        <x:v>-0.327</x:v>
      </x:c>
      <x:c r="AC23" s="211" t="n">
        <x:f>MAX(-0.999,MIN(0.999,E23+Q23))</x:f>
        <x:v>-0.33599999999999997</x:v>
      </x:c>
      <x:c r="AD23" s="211" t="n">
        <x:f>MAX(-0.999,MIN(0.999,F23+R23))</x:f>
        <x:v>-0.345</x:v>
      </x:c>
      <x:c r="AE23" s="211" t="n">
        <x:f>MAX(-0.999,MIN(0.999,G23+S23))</x:f>
        <x:v>-0.354</x:v>
      </x:c>
      <x:c r="AF23" s="211" t="n">
        <x:f>MAX(-0.999,MIN(0.999,H23+T23))</x:f>
        <x:v>-0.363</x:v>
      </x:c>
      <x:c r="AG23" s="211" t="n">
        <x:f>MAX(-0.999,MIN(0.999,I23+U23))</x:f>
        <x:v>-0.372</x:v>
      </x:c>
      <x:c r="AH23" s="211" t="n">
        <x:f>MAX(-0.999,MIN(0.999,J23+V23))</x:f>
        <x:v>-0.381</x:v>
      </x:c>
      <x:c r="AI23" s="211" t="n">
        <x:f>MAX(-0.999,MIN(0.999,K23+W23))</x:f>
        <x:v>-0.39</x:v>
      </x:c>
      <x:c r="AJ23" s="191"/>
      <x:c r="AK23" s="223" t="str">
        <x:v>=gxlSABRSurfaceShift(RHO_PriorSurface, "1M_ExpiryRow", RHO_ShockRow_01)</x:v>
      </x:c>
    </x:row>
    <x:row r="24">
      <x:c r="A24" s="244" t="str">
        <x:v>3M</x:v>
      </x:c>
      <x:c r="B24" s="199" t="n">
        <x:v>-0.264</x:v>
      </x:c>
      <x:c r="C24" s="199" t="n">
        <x:v>-0.272</x:v>
      </x:c>
      <x:c r="D24" s="199" t="n">
        <x:v>-0.28</x:v>
      </x:c>
      <x:c r="E24" s="199" t="n">
        <x:v>-0.28800000000000003</x:v>
      </x:c>
      <x:c r="F24" s="199" t="n">
        <x:v>-0.296</x:v>
      </x:c>
      <x:c r="G24" s="199" t="n">
        <x:v>-0.304</x:v>
      </x:c>
      <x:c r="H24" s="199" t="n">
        <x:v>-0.312</x:v>
      </x:c>
      <x:c r="I24" s="199" t="n">
        <x:v>-0.32</x:v>
      </x:c>
      <x:c r="J24" s="199" t="n">
        <x:v>-0.328</x:v>
      </x:c>
      <x:c r="K24" s="199" t="n">
        <x:v>-0.336</x:v>
      </x:c>
      <x:c r="L24" s="191"/>
      <x:c r="M24" s="244" t="str">
        <x:v>3M</x:v>
      </x:c>
      <x:c r="N24" s="199" t="n">
        <x:v>-0.020000000000000004</x:v>
      </x:c>
      <x:c r="O24" s="199" t="n">
        <x:v>-0.021000000000000005</x:v>
      </x:c>
      <x:c r="P24" s="199" t="n">
        <x:v>-0.022000000000000002</x:v>
      </x:c>
      <x:c r="Q24" s="199" t="n">
        <x:v>-0.023000000000000003</x:v>
      </x:c>
      <x:c r="R24" s="199" t="n">
        <x:v>-0.024000000000000004</x:v>
      </x:c>
      <x:c r="S24" s="199" t="n">
        <x:v>-0.025</x:v>
      </x:c>
      <x:c r="T24" s="199" t="n">
        <x:v>-0.026000000000000002</x:v>
      </x:c>
      <x:c r="U24" s="199" t="n">
        <x:v>-0.027000000000000003</x:v>
      </x:c>
      <x:c r="V24" s="199" t="n">
        <x:v>-0.028000000000000004</x:v>
      </x:c>
      <x:c r="W24" s="199" t="n">
        <x:v>-0.029000000000000005</x:v>
      </x:c>
      <x:c r="X24" s="191"/>
      <x:c r="Y24" s="244" t="str">
        <x:v>3M</x:v>
      </x:c>
      <x:c r="Z24" s="211" t="n">
        <x:f>MAX(-0.999,MIN(0.999,B24+N24))</x:f>
        <x:v>-0.28400000000000003</x:v>
      </x:c>
      <x:c r="AA24" s="211" t="n">
        <x:f>MAX(-0.999,MIN(0.999,C24+O24))</x:f>
        <x:v>-0.29300000000000004</x:v>
      </x:c>
      <x:c r="AB24" s="211" t="n">
        <x:f>MAX(-0.999,MIN(0.999,D24+P24))</x:f>
        <x:v>-0.30200000000000005</x:v>
      </x:c>
      <x:c r="AC24" s="211" t="n">
        <x:f>MAX(-0.999,MIN(0.999,E24+Q24))</x:f>
        <x:v>-0.31100000000000005</x:v>
      </x:c>
      <x:c r="AD24" s="211" t="n">
        <x:f>MAX(-0.999,MIN(0.999,F24+R24))</x:f>
        <x:v>-0.32</x:v>
      </x:c>
      <x:c r="AE24" s="211" t="n">
        <x:f>MAX(-0.999,MIN(0.999,G24+S24))</x:f>
        <x:v>-0.329</x:v>
      </x:c>
      <x:c r="AF24" s="211" t="n">
        <x:f>MAX(-0.999,MIN(0.999,H24+T24))</x:f>
        <x:v>-0.338</x:v>
      </x:c>
      <x:c r="AG24" s="211" t="n">
        <x:f>MAX(-0.999,MIN(0.999,I24+U24))</x:f>
        <x:v>-0.34700000000000003</x:v>
      </x:c>
      <x:c r="AH24" s="211" t="n">
        <x:f>MAX(-0.999,MIN(0.999,J24+V24))</x:f>
        <x:v>-0.35600000000000004</x:v>
      </x:c>
      <x:c r="AI24" s="211" t="n">
        <x:f>MAX(-0.999,MIN(0.999,K24+W24))</x:f>
        <x:v>-0.36500000000000005</x:v>
      </x:c>
      <x:c r="AJ24" s="191"/>
      <x:c r="AK24" s="223" t="str">
        <x:v>=gxlSABRSurfaceShift(RHO_PriorSurface, "3M_ExpiryRow", RHO_ShockRow_02)</x:v>
      </x:c>
    </x:row>
    <x:row r="25">
      <x:c r="A25" s="244" t="str">
        <x:v>6M</x:v>
      </x:c>
      <x:c r="B25" s="199" t="n">
        <x:v>-0.242</x:v>
      </x:c>
      <x:c r="C25" s="199" t="n">
        <x:v>-0.25</x:v>
      </x:c>
      <x:c r="D25" s="199" t="n">
        <x:v>-0.258</x:v>
      </x:c>
      <x:c r="E25" s="199" t="n">
        <x:v>-0.266</x:v>
      </x:c>
      <x:c r="F25" s="199" t="n">
        <x:v>-0.27399999999999997</x:v>
      </x:c>
      <x:c r="G25" s="199" t="n">
        <x:v>-0.282</x:v>
      </x:c>
      <x:c r="H25" s="199" t="n">
        <x:v>-0.29</x:v>
      </x:c>
      <x:c r="I25" s="199" t="n">
        <x:v>-0.298</x:v>
      </x:c>
      <x:c r="J25" s="199" t="n">
        <x:v>-0.306</x:v>
      </x:c>
      <x:c r="K25" s="199" t="n">
        <x:v>-0.314</x:v>
      </x:c>
      <x:c r="L25" s="191"/>
      <x:c r="M25" s="244" t="str">
        <x:v>6M</x:v>
      </x:c>
      <x:c r="N25" s="199" t="n">
        <x:v>-0.017</x:v>
      </x:c>
      <x:c r="O25" s="199" t="n">
        <x:v>-0.018000000000000002</x:v>
      </x:c>
      <x:c r="P25" s="199" t="n">
        <x:v>-0.019</x:v>
      </x:c>
      <x:c r="Q25" s="199" t="n">
        <x:v>-0.02</x:v>
      </x:c>
      <x:c r="R25" s="199" t="n">
        <x:v>-0.021</x:v>
      </x:c>
      <x:c r="S25" s="199" t="n">
        <x:v>-0.022</x:v>
      </x:c>
      <x:c r="T25" s="199" t="n">
        <x:v>-0.023</x:v>
      </x:c>
      <x:c r="U25" s="199" t="n">
        <x:v>-0.024</x:v>
      </x:c>
      <x:c r="V25" s="199" t="n">
        <x:v>-0.025</x:v>
      </x:c>
      <x:c r="W25" s="199" t="n">
        <x:v>-0.026000000000000002</x:v>
      </x:c>
      <x:c r="X25" s="191"/>
      <x:c r="Y25" s="244" t="str">
        <x:v>6M</x:v>
      </x:c>
      <x:c r="Z25" s="211" t="n">
        <x:f>MAX(-0.999,MIN(0.999,B25+N25))</x:f>
        <x:v>-0.259</x:v>
      </x:c>
      <x:c r="AA25" s="211" t="n">
        <x:f>MAX(-0.999,MIN(0.999,C25+O25))</x:f>
        <x:v>-0.268</x:v>
      </x:c>
      <x:c r="AB25" s="211" t="n">
        <x:f>MAX(-0.999,MIN(0.999,D25+P25))</x:f>
        <x:v>-0.277</x:v>
      </x:c>
      <x:c r="AC25" s="211" t="n">
        <x:f>MAX(-0.999,MIN(0.999,E25+Q25))</x:f>
        <x:v>-0.28600000000000003</x:v>
      </x:c>
      <x:c r="AD25" s="211" t="n">
        <x:f>MAX(-0.999,MIN(0.999,F25+R25))</x:f>
        <x:v>-0.295</x:v>
      </x:c>
      <x:c r="AE25" s="211" t="n">
        <x:f>MAX(-0.999,MIN(0.999,G25+S25))</x:f>
        <x:v>-0.304</x:v>
      </x:c>
      <x:c r="AF25" s="211" t="n">
        <x:f>MAX(-0.999,MIN(0.999,H25+T25))</x:f>
        <x:v>-0.313</x:v>
      </x:c>
      <x:c r="AG25" s="211" t="n">
        <x:f>MAX(-0.999,MIN(0.999,I25+U25))</x:f>
        <x:v>-0.322</x:v>
      </x:c>
      <x:c r="AH25" s="211" t="n">
        <x:f>MAX(-0.999,MIN(0.999,J25+V25))</x:f>
        <x:v>-0.331</x:v>
      </x:c>
      <x:c r="AI25" s="211" t="n">
        <x:f>MAX(-0.999,MIN(0.999,K25+W25))</x:f>
        <x:v>-0.34</x:v>
      </x:c>
      <x:c r="AJ25" s="191"/>
      <x:c r="AK25" s="223" t="str">
        <x:v>=gxlSABRSurfaceShift(RHO_PriorSurface, "6M_ExpiryRow", RHO_ShockRow_03)</x:v>
      </x:c>
    </x:row>
    <x:row r="26">
      <x:c r="A26" s="244" t="str">
        <x:v>1Y</x:v>
      </x:c>
      <x:c r="B26" s="199" t="n">
        <x:v>-0.22</x:v>
      </x:c>
      <x:c r="C26" s="199" t="n">
        <x:v>-0.22799999999999998</x:v>
      </x:c>
      <x:c r="D26" s="199" t="n">
        <x:v>-0.236</x:v>
      </x:c>
      <x:c r="E26" s="199" t="n">
        <x:v>-0.244</x:v>
      </x:c>
      <x:c r="F26" s="199" t="n">
        <x:v>-0.252</x:v>
      </x:c>
      <x:c r="G26" s="199" t="n">
        <x:v>-0.26</x:v>
      </x:c>
      <x:c r="H26" s="199" t="n">
        <x:v>-0.268</x:v>
      </x:c>
      <x:c r="I26" s="199" t="n">
        <x:v>-0.276</x:v>
      </x:c>
      <x:c r="J26" s="199" t="n">
        <x:v>-0.28400000000000003</x:v>
      </x:c>
      <x:c r="K26" s="199" t="n">
        <x:v>-0.292</x:v>
      </x:c>
      <x:c r="L26" s="191"/>
      <x:c r="M26" s="244" t="str">
        <x:v>1Y</x:v>
      </x:c>
      <x:c r="N26" s="199" t="n">
        <x:v>-0.014000000000000002</x:v>
      </x:c>
      <x:c r="O26" s="199" t="n">
        <x:v>-0.015000000000000001</x:v>
      </x:c>
      <x:c r="P26" s="199" t="n">
        <x:v>-0.016</x:v>
      </x:c>
      <x:c r="Q26" s="199" t="n">
        <x:v>-0.017</x:v>
      </x:c>
      <x:c r="R26" s="199" t="n">
        <x:v>-0.018000000000000002</x:v>
      </x:c>
      <x:c r="S26" s="199" t="n">
        <x:v>-0.019000000000000003</x:v>
      </x:c>
      <x:c r="T26" s="199" t="n">
        <x:v>-0.02</x:v>
      </x:c>
      <x:c r="U26" s="199" t="n">
        <x:v>-0.021</x:v>
      </x:c>
      <x:c r="V26" s="199" t="n">
        <x:v>-0.022000000000000002</x:v>
      </x:c>
      <x:c r="W26" s="199" t="n">
        <x:v>-0.023</x:v>
      </x:c>
      <x:c r="X26" s="191"/>
      <x:c r="Y26" s="244" t="str">
        <x:v>1Y</x:v>
      </x:c>
      <x:c r="Z26" s="211" t="n">
        <x:f>MAX(-0.999,MIN(0.999,B26+N26))</x:f>
        <x:v>-0.234</x:v>
      </x:c>
      <x:c r="AA26" s="211" t="n">
        <x:f>MAX(-0.999,MIN(0.999,C26+O26))</x:f>
        <x:v>-0.243</x:v>
      </x:c>
      <x:c r="AB26" s="211" t="n">
        <x:f>MAX(-0.999,MIN(0.999,D26+P26))</x:f>
        <x:v>-0.252</x:v>
      </x:c>
      <x:c r="AC26" s="211" t="n">
        <x:f>MAX(-0.999,MIN(0.999,E26+Q26))</x:f>
        <x:v>-0.261</x:v>
      </x:c>
      <x:c r="AD26" s="211" t="n">
        <x:f>MAX(-0.999,MIN(0.999,F26+R26))</x:f>
        <x:v>-0.27</x:v>
      </x:c>
      <x:c r="AE26" s="211" t="n">
        <x:f>MAX(-0.999,MIN(0.999,G26+S26))</x:f>
        <x:v>-0.279</x:v>
      </x:c>
      <x:c r="AF26" s="211" t="n">
        <x:f>MAX(-0.999,MIN(0.999,H26+T26))</x:f>
        <x:v>-0.28800000000000003</x:v>
      </x:c>
      <x:c r="AG26" s="211" t="n">
        <x:f>MAX(-0.999,MIN(0.999,I26+U26))</x:f>
        <x:v>-0.29700000000000004</x:v>
      </x:c>
      <x:c r="AH26" s="211" t="n">
        <x:f>MAX(-0.999,MIN(0.999,J26+V26))</x:f>
        <x:v>-0.30600000000000005</x:v>
      </x:c>
      <x:c r="AI26" s="211" t="n">
        <x:f>MAX(-0.999,MIN(0.999,K26+W26))</x:f>
        <x:v>-0.315</x:v>
      </x:c>
      <x:c r="AJ26" s="191"/>
      <x:c r="AK26" s="223" t="str">
        <x:v>=gxlSABRSurfaceShift(RHO_PriorSurface, "1Y_ExpiryRow", RHO_ShockRow_04)</x:v>
      </x:c>
    </x:row>
    <x:row r="27">
      <x:c r="A27" s="244" t="str">
        <x:v>2Y</x:v>
      </x:c>
      <x:c r="B27" s="199" t="n">
        <x:v>-0.198</x:v>
      </x:c>
      <x:c r="C27" s="199" t="n">
        <x:v>-0.20600000000000002</x:v>
      </x:c>
      <x:c r="D27" s="199" t="n">
        <x:v>-0.214</x:v>
      </x:c>
      <x:c r="E27" s="199" t="n">
        <x:v>-0.222</x:v>
      </x:c>
      <x:c r="F27" s="199" t="n">
        <x:v>-0.23</x:v>
      </x:c>
      <x:c r="G27" s="199" t="n">
        <x:v>-0.238</x:v>
      </x:c>
      <x:c r="H27" s="199" t="n">
        <x:v>-0.246</x:v>
      </x:c>
      <x:c r="I27" s="199" t="n">
        <x:v>-0.254</x:v>
      </x:c>
      <x:c r="J27" s="199" t="n">
        <x:v>-0.262</x:v>
      </x:c>
      <x:c r="K27" s="199" t="n">
        <x:v>-0.27</x:v>
      </x:c>
      <x:c r="L27" s="191"/>
      <x:c r="M27" s="244" t="str">
        <x:v>2Y</x:v>
      </x:c>
      <x:c r="N27" s="199" t="n">
        <x:v>-0.011000000000000003</x:v>
      </x:c>
      <x:c r="O27" s="199" t="n">
        <x:v>-0.012000000000000002</x:v>
      </x:c>
      <x:c r="P27" s="199" t="n">
        <x:v>-0.013000000000000001</x:v>
      </x:c>
      <x:c r="Q27" s="199" t="n">
        <x:v>-0.014000000000000002</x:v>
      </x:c>
      <x:c r="R27" s="199" t="n">
        <x:v>-0.015000000000000003</x:v>
      </x:c>
      <x:c r="S27" s="199" t="n">
        <x:v>-0.016</x:v>
      </x:c>
      <x:c r="T27" s="199" t="n">
        <x:v>-0.017</x:v>
      </x:c>
      <x:c r="U27" s="199" t="n">
        <x:v>-0.018000000000000002</x:v>
      </x:c>
      <x:c r="V27" s="199" t="n">
        <x:v>-0.019000000000000003</x:v>
      </x:c>
      <x:c r="W27" s="199" t="n">
        <x:v>-0.020000000000000004</x:v>
      </x:c>
      <x:c r="X27" s="191"/>
      <x:c r="Y27" s="244" t="str">
        <x:v>2Y</x:v>
      </x:c>
      <x:c r="Z27" s="211" t="n">
        <x:f>MAX(-0.999,MIN(0.999,B27+N27))</x:f>
        <x:v>-0.20900000000000002</x:v>
      </x:c>
      <x:c r="AA27" s="211" t="n">
        <x:f>MAX(-0.999,MIN(0.999,C27+O27))</x:f>
        <x:v>-0.21800000000000003</x:v>
      </x:c>
      <x:c r="AB27" s="211" t="n">
        <x:f>MAX(-0.999,MIN(0.999,D27+P27))</x:f>
        <x:v>-0.227</x:v>
      </x:c>
      <x:c r="AC27" s="211" t="n">
        <x:f>MAX(-0.999,MIN(0.999,E27+Q27))</x:f>
        <x:v>-0.23600000000000002</x:v>
      </x:c>
      <x:c r="AD27" s="211" t="n">
        <x:f>MAX(-0.999,MIN(0.999,F27+R27))</x:f>
        <x:v>-0.24500000000000002</x:v>
      </x:c>
      <x:c r="AE27" s="211" t="n">
        <x:f>MAX(-0.999,MIN(0.999,G27+S27))</x:f>
        <x:v>-0.254</x:v>
      </x:c>
      <x:c r="AF27" s="211" t="n">
        <x:f>MAX(-0.999,MIN(0.999,H27+T27))</x:f>
        <x:v>-0.263</x:v>
      </x:c>
      <x:c r="AG27" s="211" t="n">
        <x:f>MAX(-0.999,MIN(0.999,I27+U27))</x:f>
        <x:v>-0.272</x:v>
      </x:c>
      <x:c r="AH27" s="211" t="n">
        <x:f>MAX(-0.999,MIN(0.999,J27+V27))</x:f>
        <x:v>-0.281</x:v>
      </x:c>
      <x:c r="AI27" s="211" t="n">
        <x:f>MAX(-0.999,MIN(0.999,K27+W27))</x:f>
        <x:v>-0.29000000000000004</x:v>
      </x:c>
      <x:c r="AJ27" s="191"/>
      <x:c r="AK27" s="223" t="str">
        <x:v>=gxlSABRSurfaceShift(RHO_PriorSurface, "2Y_ExpiryRow", RHO_ShockRow_05)</x:v>
      </x:c>
    </x:row>
    <x:row r="28">
      <x:c r="A28" s="244" t="str">
        <x:v>3Y</x:v>
      </x:c>
      <x:c r="B28" s="199" t="n">
        <x:v>-0.176</x:v>
      </x:c>
      <x:c r="C28" s="199" t="n">
        <x:v>-0.184</x:v>
      </x:c>
      <x:c r="D28" s="199" t="n">
        <x:v>-0.19199999999999998</x:v>
      </x:c>
      <x:c r="E28" s="199" t="n">
        <x:v>-0.19999999999999998</x:v>
      </x:c>
      <x:c r="F28" s="199" t="n">
        <x:v>-0.208</x:v>
      </x:c>
      <x:c r="G28" s="199" t="n">
        <x:v>-0.21599999999999997</x:v>
      </x:c>
      <x:c r="H28" s="199" t="n">
        <x:v>-0.22399999999999998</x:v>
      </x:c>
      <x:c r="I28" s="199" t="n">
        <x:v>-0.23199999999999998</x:v>
      </x:c>
      <x:c r="J28" s="199" t="n">
        <x:v>-0.24</x:v>
      </x:c>
      <x:c r="K28" s="199" t="n">
        <x:v>-0.248</x:v>
      </x:c>
      <x:c r="L28" s="191"/>
      <x:c r="M28" s="244" t="str">
        <x:v>3Y</x:v>
      </x:c>
      <x:c r="N28" s="199" t="n">
        <x:v>-0.008</x:v>
      </x:c>
      <x:c r="O28" s="199" t="n">
        <x:v>-0.009</x:v>
      </x:c>
      <x:c r="P28" s="199" t="n">
        <x:v>-0.009999999999999998</x:v>
      </x:c>
      <x:c r="Q28" s="199" t="n">
        <x:v>-0.011</x:v>
      </x:c>
      <x:c r="R28" s="199" t="n">
        <x:v>-0.012</x:v>
      </x:c>
      <x:c r="S28" s="199" t="n">
        <x:v>-0.013</x:v>
      </x:c>
      <x:c r="T28" s="199" t="n">
        <x:v>-0.013999999999999999</x:v>
      </x:c>
      <x:c r="U28" s="199" t="n">
        <x:v>-0.015</x:v>
      </x:c>
      <x:c r="V28" s="199" t="n">
        <x:v>-0.016</x:v>
      </x:c>
      <x:c r="W28" s="199" t="n">
        <x:v>-0.017</x:v>
      </x:c>
      <x:c r="X28" s="191"/>
      <x:c r="Y28" s="244" t="str">
        <x:v>3Y</x:v>
      </x:c>
      <x:c r="Z28" s="211" t="n">
        <x:f>MAX(-0.999,MIN(0.999,B28+N28))</x:f>
        <x:v>-0.184</x:v>
      </x:c>
      <x:c r="AA28" s="211" t="n">
        <x:f>MAX(-0.999,MIN(0.999,C28+O28))</x:f>
        <x:v>-0.193</x:v>
      </x:c>
      <x:c r="AB28" s="211" t="n">
        <x:f>MAX(-0.999,MIN(0.999,D28+P28))</x:f>
        <x:v>-0.20199999999999999</x:v>
      </x:c>
      <x:c r="AC28" s="211" t="n">
        <x:f>MAX(-0.999,MIN(0.999,E28+Q28))</x:f>
        <x:v>-0.211</x:v>
      </x:c>
      <x:c r="AD28" s="211" t="n">
        <x:f>MAX(-0.999,MIN(0.999,F28+R28))</x:f>
        <x:v>-0.22</x:v>
      </x:c>
      <x:c r="AE28" s="211" t="n">
        <x:f>MAX(-0.999,MIN(0.999,G28+S28))</x:f>
        <x:v>-0.22899999999999998</x:v>
      </x:c>
      <x:c r="AF28" s="211" t="n">
        <x:f>MAX(-0.999,MIN(0.999,H28+T28))</x:f>
        <x:v>-0.238</x:v>
      </x:c>
      <x:c r="AG28" s="211" t="n">
        <x:f>MAX(-0.999,MIN(0.999,I28+U28))</x:f>
        <x:v>-0.247</x:v>
      </x:c>
      <x:c r="AH28" s="211" t="n">
        <x:f>MAX(-0.999,MIN(0.999,J28+V28))</x:f>
        <x:v>-0.256</x:v>
      </x:c>
      <x:c r="AI28" s="211" t="n">
        <x:f>MAX(-0.999,MIN(0.999,K28+W28))</x:f>
        <x:v>-0.265</x:v>
      </x:c>
      <x:c r="AJ28" s="191"/>
      <x:c r="AK28" s="223" t="str">
        <x:v>=gxlSABRSurfaceShift(RHO_PriorSurface, "3Y_ExpiryRow", RHO_ShockRow_06)</x:v>
      </x:c>
    </x:row>
    <x:row r="29">
      <x:c r="A29" s="244" t="str">
        <x:v>5Y</x:v>
      </x:c>
      <x:c r="B29" s="199" t="n">
        <x:v>-0.154</x:v>
      </x:c>
      <x:c r="C29" s="199" t="n">
        <x:v>-0.16199999999999998</x:v>
      </x:c>
      <x:c r="D29" s="199" t="n">
        <x:v>-0.16999999999999998</x:v>
      </x:c>
      <x:c r="E29" s="199" t="n">
        <x:v>-0.178</x:v>
      </x:c>
      <x:c r="F29" s="199" t="n">
        <x:v>-0.186</x:v>
      </x:c>
      <x:c r="G29" s="199" t="n">
        <x:v>-0.194</x:v>
      </x:c>
      <x:c r="H29" s="199" t="n">
        <x:v>-0.20199999999999999</x:v>
      </x:c>
      <x:c r="I29" s="199" t="n">
        <x:v>-0.21</x:v>
      </x:c>
      <x:c r="J29" s="199" t="n">
        <x:v>-0.218</x:v>
      </x:c>
      <x:c r="K29" s="199" t="n">
        <x:v>-0.22599999999999998</x:v>
      </x:c>
      <x:c r="L29" s="191"/>
      <x:c r="M29" s="244" t="str">
        <x:v>5Y</x:v>
      </x:c>
      <x:c r="N29" s="199" t="n">
        <x:v>-0.005</x:v>
      </x:c>
      <x:c r="O29" s="199" t="n">
        <x:v>-0.006</x:v>
      </x:c>
      <x:c r="P29" s="199" t="n">
        <x:v>-0.007</x:v>
      </x:c>
      <x:c r="Q29" s="199" t="n">
        <x:v>-0.008</x:v>
      </x:c>
      <x:c r="R29" s="199" t="n">
        <x:v>-0.009000000000000001</x:v>
      </x:c>
      <x:c r="S29" s="199" t="n">
        <x:v>-0.01</x:v>
      </x:c>
      <x:c r="T29" s="199" t="n">
        <x:v>-0.011</x:v>
      </x:c>
      <x:c r="U29" s="199" t="n">
        <x:v>-0.012</x:v>
      </x:c>
      <x:c r="V29" s="199" t="n">
        <x:v>-0.013000000000000001</x:v>
      </x:c>
      <x:c r="W29" s="199" t="n">
        <x:v>-0.014</x:v>
      </x:c>
      <x:c r="X29" s="191"/>
      <x:c r="Y29" s="244" t="str">
        <x:v>5Y</x:v>
      </x:c>
      <x:c r="Z29" s="211" t="n">
        <x:f>MAX(-0.999,MIN(0.999,B29+N29))</x:f>
        <x:v>-0.159</x:v>
      </x:c>
      <x:c r="AA29" s="211" t="n">
        <x:f>MAX(-0.999,MIN(0.999,C29+O29))</x:f>
        <x:v>-0.16799999999999998</x:v>
      </x:c>
      <x:c r="AB29" s="211" t="n">
        <x:f>MAX(-0.999,MIN(0.999,D29+P29))</x:f>
        <x:v>-0.177</x:v>
      </x:c>
      <x:c r="AC29" s="211" t="n">
        <x:f>MAX(-0.999,MIN(0.999,E29+Q29))</x:f>
        <x:v>-0.186</x:v>
      </x:c>
      <x:c r="AD29" s="211" t="n">
        <x:f>MAX(-0.999,MIN(0.999,F29+R29))</x:f>
        <x:v>-0.195</x:v>
      </x:c>
      <x:c r="AE29" s="211" t="n">
        <x:f>MAX(-0.999,MIN(0.999,G29+S29))</x:f>
        <x:v>-0.20400000000000001</x:v>
      </x:c>
      <x:c r="AF29" s="211" t="n">
        <x:f>MAX(-0.999,MIN(0.999,H29+T29))</x:f>
        <x:v>-0.213</x:v>
      </x:c>
      <x:c r="AG29" s="211" t="n">
        <x:f>MAX(-0.999,MIN(0.999,I29+U29))</x:f>
        <x:v>-0.222</x:v>
      </x:c>
      <x:c r="AH29" s="211" t="n">
        <x:f>MAX(-0.999,MIN(0.999,J29+V29))</x:f>
        <x:v>-0.231</x:v>
      </x:c>
      <x:c r="AI29" s="211" t="n">
        <x:f>MAX(-0.999,MIN(0.999,K29+W29))</x:f>
        <x:v>-0.24</x:v>
      </x:c>
      <x:c r="AJ29" s="191"/>
      <x:c r="AK29" s="223" t="str">
        <x:v>=gxlSABRSurfaceShift(RHO_PriorSurface, "5Y_ExpiryRow", RHO_ShockRow_07)</x:v>
      </x:c>
    </x:row>
    <x:row r="30">
      <x:c r="A30" s="244" t="str">
        <x:v>10Y</x:v>
      </x:c>
      <x:c r="B30" s="199" t="n">
        <x:v>-0.132</x:v>
      </x:c>
      <x:c r="C30" s="199" t="n">
        <x:v>-0.14</x:v>
      </x:c>
      <x:c r="D30" s="199" t="n">
        <x:v>-0.148</x:v>
      </x:c>
      <x:c r="E30" s="199" t="n">
        <x:v>-0.156</x:v>
      </x:c>
      <x:c r="F30" s="199" t="n">
        <x:v>-0.164</x:v>
      </x:c>
      <x:c r="G30" s="199" t="n">
        <x:v>-0.172</x:v>
      </x:c>
      <x:c r="H30" s="199" t="n">
        <x:v>-0.18</x:v>
      </x:c>
      <x:c r="I30" s="199" t="n">
        <x:v>-0.188</x:v>
      </x:c>
      <x:c r="J30" s="199" t="n">
        <x:v>-0.196</x:v>
      </x:c>
      <x:c r="K30" s="199" t="n">
        <x:v>-0.20400000000000001</x:v>
      </x:c>
      <x:c r="L30" s="191"/>
      <x:c r="M30" s="244" t="str">
        <x:v>10Y</x:v>
      </x:c>
      <x:c r="N30" s="199" t="n">
        <x:v>-0.002000000000000001</x:v>
      </x:c>
      <x:c r="O30" s="199" t="n">
        <x:v>-0.003000000000000001</x:v>
      </x:c>
      <x:c r="P30" s="199" t="n">
        <x:v>-0.004000000000000001</x:v>
      </x:c>
      <x:c r="Q30" s="199" t="n">
        <x:v>-0.005000000000000001</x:v>
      </x:c>
      <x:c r="R30" s="199" t="n">
        <x:v>-0.006000000000000001</x:v>
      </x:c>
      <x:c r="S30" s="199" t="n">
        <x:v>-0.007000000000000001</x:v>
      </x:c>
      <x:c r="T30" s="199" t="n">
        <x:v>-0.008</x:v>
      </x:c>
      <x:c r="U30" s="199" t="n">
        <x:v>-0.009000000000000001</x:v>
      </x:c>
      <x:c r="V30" s="199" t="n">
        <x:v>-0.010000000000000002</x:v>
      </x:c>
      <x:c r="W30" s="199" t="n">
        <x:v>-0.011000000000000001</x:v>
      </x:c>
      <x:c r="X30" s="191"/>
      <x:c r="Y30" s="244" t="str">
        <x:v>10Y</x:v>
      </x:c>
      <x:c r="Z30" s="211" t="n">
        <x:f>MAX(-0.999,MIN(0.999,B30+N30))</x:f>
        <x:v>-0.134</x:v>
      </x:c>
      <x:c r="AA30" s="211" t="n">
        <x:f>MAX(-0.999,MIN(0.999,C30+O30))</x:f>
        <x:v>-0.14300000000000002</x:v>
      </x:c>
      <x:c r="AB30" s="211" t="n">
        <x:f>MAX(-0.999,MIN(0.999,D30+P30))</x:f>
        <x:v>-0.152</x:v>
      </x:c>
      <x:c r="AC30" s="211" t="n">
        <x:f>MAX(-0.999,MIN(0.999,E30+Q30))</x:f>
        <x:v>-0.161</x:v>
      </x:c>
      <x:c r="AD30" s="211" t="n">
        <x:f>MAX(-0.999,MIN(0.999,F30+R30))</x:f>
        <x:v>-0.17</x:v>
      </x:c>
      <x:c r="AE30" s="211" t="n">
        <x:f>MAX(-0.999,MIN(0.999,G30+S30))</x:f>
        <x:v>-0.179</x:v>
      </x:c>
      <x:c r="AF30" s="211" t="n">
        <x:f>MAX(-0.999,MIN(0.999,H30+T30))</x:f>
        <x:v>-0.188</x:v>
      </x:c>
      <x:c r="AG30" s="211" t="n">
        <x:f>MAX(-0.999,MIN(0.999,I30+U30))</x:f>
        <x:v>-0.197</x:v>
      </x:c>
      <x:c r="AH30" s="211" t="n">
        <x:f>MAX(-0.999,MIN(0.999,J30+V30))</x:f>
        <x:v>-0.20600000000000002</x:v>
      </x:c>
      <x:c r="AI30" s="211" t="n">
        <x:f>MAX(-0.999,MIN(0.999,K30+W30))</x:f>
        <x:v>-0.21500000000000002</x:v>
      </x:c>
      <x:c r="AJ30" s="191"/>
      <x:c r="AK30" s="223" t="str">
        <x:v>=gxlSABRSurfaceShift(RHO_PriorSurface, "10Y_ExpiryRow", RHO_ShockRow_08)</x:v>
      </x:c>
    </x:row>
    <x:row r="31">
      <x:c r="A31" s="244" t="str">
        <x:v>20Y</x:v>
      </x:c>
      <x:c r="B31" s="199" t="n">
        <x:v>-0.11000000000000001</x:v>
      </x:c>
      <x:c r="C31" s="199" t="n">
        <x:v>-0.11800000000000001</x:v>
      </x:c>
      <x:c r="D31" s="199" t="n">
        <x:v>-0.126</x:v>
      </x:c>
      <x:c r="E31" s="199" t="n">
        <x:v>-0.134</x:v>
      </x:c>
      <x:c r="F31" s="199" t="n">
        <x:v>-0.14200000000000002</x:v>
      </x:c>
      <x:c r="G31" s="199" t="n">
        <x:v>-0.15000000000000002</x:v>
      </x:c>
      <x:c r="H31" s="199" t="n">
        <x:v>-0.158</x:v>
      </x:c>
      <x:c r="I31" s="199" t="n">
        <x:v>-0.166</x:v>
      </x:c>
      <x:c r="J31" s="199" t="n">
        <x:v>-0.17400000000000002</x:v>
      </x:c>
      <x:c r="K31" s="199" t="n">
        <x:v>-0.182</x:v>
      </x:c>
      <x:c r="L31" s="191"/>
      <x:c r="M31" s="244" t="str">
        <x:v>20Y</x:v>
      </x:c>
      <x:c r="N31" s="199" t="n">
        <x:v>0.0009999999999999983</x:v>
      </x:c>
      <x:c r="O31" s="199" t="n">
        <x:v>-1.734723475976807e-18</x:v>
      </x:c>
      <x:c r="P31" s="199" t="n">
        <x:v>-0.0010000000000000018</x:v>
      </x:c>
      <x:c r="Q31" s="199" t="n">
        <x:v>-0.0020000000000000018</x:v>
      </x:c>
      <x:c r="R31" s="199" t="n">
        <x:v>-0.003000000000000002</x:v>
      </x:c>
      <x:c r="S31" s="199" t="n">
        <x:v>-0.004000000000000002</x:v>
      </x:c>
      <x:c r="T31" s="199" t="n">
        <x:v>-0.005000000000000002</x:v>
      </x:c>
      <x:c r="U31" s="199" t="n">
        <x:v>-0.006000000000000002</x:v>
      </x:c>
      <x:c r="V31" s="199" t="n">
        <x:v>-0.007000000000000003</x:v>
      </x:c>
      <x:c r="W31" s="199" t="n">
        <x:v>-0.008000000000000002</x:v>
      </x:c>
      <x:c r="X31" s="191"/>
      <x:c r="Y31" s="244" t="str">
        <x:v>20Y</x:v>
      </x:c>
      <x:c r="Z31" s="211" t="n">
        <x:f>MAX(-0.999,MIN(0.999,B31+N31))</x:f>
        <x:v>-0.10900000000000001</x:v>
      </x:c>
      <x:c r="AA31" s="211" t="n">
        <x:f>MAX(-0.999,MIN(0.999,C31+O31))</x:f>
        <x:v>-0.11800000000000001</x:v>
      </x:c>
      <x:c r="AB31" s="211" t="n">
        <x:f>MAX(-0.999,MIN(0.999,D31+P31))</x:f>
        <x:v>-0.127</x:v>
      </x:c>
      <x:c r="AC31" s="211" t="n">
        <x:f>MAX(-0.999,MIN(0.999,E31+Q31))</x:f>
        <x:v>-0.136</x:v>
      </x:c>
      <x:c r="AD31" s="211" t="n">
        <x:f>MAX(-0.999,MIN(0.999,F31+R31))</x:f>
        <x:v>-0.14500000000000002</x:v>
      </x:c>
      <x:c r="AE31" s="211" t="n">
        <x:f>MAX(-0.999,MIN(0.999,G31+S31))</x:f>
        <x:v>-0.15400000000000003</x:v>
      </x:c>
      <x:c r="AF31" s="211" t="n">
        <x:f>MAX(-0.999,MIN(0.999,H31+T31))</x:f>
        <x:v>-0.163</x:v>
      </x:c>
      <x:c r="AG31" s="211" t="n">
        <x:f>MAX(-0.999,MIN(0.999,I31+U31))</x:f>
        <x:v>-0.17200000000000001</x:v>
      </x:c>
      <x:c r="AH31" s="211" t="n">
        <x:f>MAX(-0.999,MIN(0.999,J31+V31))</x:f>
        <x:v>-0.18100000000000002</x:v>
      </x:c>
      <x:c r="AI31" s="211" t="n">
        <x:f>MAX(-0.999,MIN(0.999,K31+W31))</x:f>
        <x:v>-0.19</x:v>
      </x:c>
      <x:c r="AJ31" s="191"/>
      <x:c r="AK31" s="223" t="str">
        <x:v>=gxlSABRSurfaceShift(RHO_PriorSurface, "20Y_ExpiryRow", RHO_ShockRow_09)</x:v>
      </x:c>
    </x:row>
    <x:row r="32">
      <x:c r="A32" s="244" t="str">
        <x:v>30Y</x:v>
      </x:c>
      <x:c r="B32" s="199" t="n">
        <x:v>-0.08800000000000002</x:v>
      </x:c>
      <x:c r="C32" s="199" t="n">
        <x:v>-0.09600000000000002</x:v>
      </x:c>
      <x:c r="D32" s="199" t="n">
        <x:v>-0.10400000000000001</x:v>
      </x:c>
      <x:c r="E32" s="199" t="n">
        <x:v>-0.11200000000000002</x:v>
      </x:c>
      <x:c r="F32" s="199" t="n">
        <x:v>-0.12000000000000002</x:v>
      </x:c>
      <x:c r="G32" s="199" t="n">
        <x:v>-0.128</x:v>
      </x:c>
      <x:c r="H32" s="199" t="n">
        <x:v>-0.136</x:v>
      </x:c>
      <x:c r="I32" s="199" t="n">
        <x:v>-0.14400000000000002</x:v>
      </x:c>
      <x:c r="J32" s="199" t="n">
        <x:v>-0.15200000000000002</x:v>
      </x:c>
      <x:c r="K32" s="199" t="n">
        <x:v>-0.16000000000000003</x:v>
      </x:c>
      <x:c r="L32" s="191"/>
      <x:c r="M32" s="244" t="str">
        <x:v>30Y</x:v>
      </x:c>
      <x:c r="N32" s="199" t="n">
        <x:v>0.0039999999999999975</x:v>
      </x:c>
      <x:c r="O32" s="199" t="n">
        <x:v>0.0029999999999999975</x:v>
      </x:c>
      <x:c r="P32" s="199" t="n">
        <x:v>0.0019999999999999974</x:v>
      </x:c>
      <x:c r="Q32" s="199" t="n">
        <x:v>0.0009999999999999974</x:v>
      </x:c>
      <x:c r="R32" s="199" t="n">
        <x:v>-2.6020852139652106e-18</x:v>
      </x:c>
      <x:c r="S32" s="199" t="n">
        <x:v>-0.0010000000000000026</x:v>
      </x:c>
      <x:c r="T32" s="199" t="n">
        <x:v>-0.0020000000000000026</x:v>
      </x:c>
      <x:c r="U32" s="199" t="n">
        <x:v>-0.0030000000000000027</x:v>
      </x:c>
      <x:c r="V32" s="199" t="n">
        <x:v>-0.0040000000000000036</x:v>
      </x:c>
      <x:c r="W32" s="199" t="n">
        <x:v>-0.005000000000000003</x:v>
      </x:c>
      <x:c r="X32" s="191"/>
      <x:c r="Y32" s="244" t="str">
        <x:v>30Y</x:v>
      </x:c>
      <x:c r="Z32" s="211" t="n">
        <x:f>MAX(-0.999,MIN(0.999,B32+N32))</x:f>
        <x:v>-0.08400000000000002</x:v>
      </x:c>
      <x:c r="AA32" s="211" t="n">
        <x:f>MAX(-0.999,MIN(0.999,C32+O32))</x:f>
        <x:v>-0.09300000000000001</x:v>
      </x:c>
      <x:c r="AB32" s="211" t="n">
        <x:f>MAX(-0.999,MIN(0.999,D32+P32))</x:f>
        <x:v>-0.10200000000000001</x:v>
      </x:c>
      <x:c r="AC32" s="211" t="n">
        <x:f>MAX(-0.999,MIN(0.999,E32+Q32))</x:f>
        <x:v>-0.11100000000000002</x:v>
      </x:c>
      <x:c r="AD32" s="211" t="n">
        <x:f>MAX(-0.999,MIN(0.999,F32+R32))</x:f>
        <x:v>-0.12000000000000002</x:v>
      </x:c>
      <x:c r="AE32" s="211" t="n">
        <x:f>MAX(-0.999,MIN(0.999,G32+S32))</x:f>
        <x:v>-0.129</x:v>
      </x:c>
      <x:c r="AF32" s="211" t="n">
        <x:f>MAX(-0.999,MIN(0.999,H32+T32))</x:f>
        <x:v>-0.138</x:v>
      </x:c>
      <x:c r="AG32" s="211" t="n">
        <x:f>MAX(-0.999,MIN(0.999,I32+U32))</x:f>
        <x:v>-0.14700000000000002</x:v>
      </x:c>
      <x:c r="AH32" s="211" t="n">
        <x:f>MAX(-0.999,MIN(0.999,J32+V32))</x:f>
        <x:v>-0.15600000000000003</x:v>
      </x:c>
      <x:c r="AI32" s="211" t="n">
        <x:f>MAX(-0.999,MIN(0.999,K32+W32))</x:f>
        <x:v>-0.16500000000000004</x:v>
      </x:c>
      <x:c r="AJ32" s="191"/>
      <x:c r="AK32" s="223" t="str">
        <x:v>=gxlSABRSurfaceShift(RHO_PriorSurface, "30Y_ExpiryRow", RHO_ShockRow_10)</x:v>
      </x:c>
    </x:row>
    <x:row r="33">
      <x:c r="A33" s="191"/>
      <x:c r="B33" s="191"/>
      <x:c r="C33" s="191"/>
      <x:c r="D33" s="191"/>
      <x:c r="E33" s="191"/>
      <x:c r="F33" s="191"/>
      <x:c r="G33" s="191"/>
      <x:c r="H33" s="191"/>
      <x:c r="I33" s="191"/>
      <x:c r="J33" s="191"/>
      <x:c r="K33" s="191"/>
      <x:c r="L33" s="191"/>
      <x:c r="M33" s="191"/>
      <x:c r="N33" s="191"/>
      <x:c r="O33" s="191"/>
      <x:c r="P33" s="191"/>
      <x:c r="Q33" s="191"/>
      <x:c r="R33" s="191"/>
      <x:c r="S33" s="191"/>
      <x:c r="T33" s="191"/>
      <x:c r="U33" s="191"/>
      <x:c r="V33" s="191"/>
      <x:c r="W33" s="191"/>
      <x:c r="X33" s="191"/>
      <x:c r="Y33" s="191"/>
      <x:c r="Z33" s="191"/>
      <x:c r="AA33" s="191"/>
      <x:c r="AB33" s="191"/>
      <x:c r="AC33" s="191"/>
      <x:c r="AD33" s="191"/>
      <x:c r="AE33" s="191"/>
      <x:c r="AF33" s="191"/>
      <x:c r="AG33" s="191"/>
      <x:c r="AH33" s="191"/>
      <x:c r="AI33" s="191"/>
      <x:c r="AJ33" s="191"/>
      <x:c r="AK33" s="191"/>
    </x:row>
    <x:row r="34">
      <x:c r="A34" s="191"/>
      <x:c r="B34" s="191"/>
      <x:c r="C34" s="191"/>
      <x:c r="D34" s="191"/>
      <x:c r="E34" s="191"/>
      <x:c r="F34" s="191"/>
      <x:c r="G34" s="191"/>
      <x:c r="H34" s="191"/>
      <x:c r="I34" s="191"/>
      <x:c r="J34" s="191"/>
      <x:c r="K34" s="191"/>
      <x:c r="L34" s="191"/>
      <x:c r="M34" s="191"/>
      <x:c r="N34" s="191"/>
      <x:c r="O34" s="191"/>
      <x:c r="P34" s="191"/>
      <x:c r="Q34" s="191"/>
      <x:c r="R34" s="191"/>
      <x:c r="S34" s="191"/>
      <x:c r="T34" s="191"/>
      <x:c r="U34" s="191"/>
      <x:c r="V34" s="191"/>
      <x:c r="W34" s="191"/>
      <x:c r="X34" s="191"/>
      <x:c r="Y34" s="191"/>
      <x:c r="Z34" s="191"/>
      <x:c r="AA34" s="191"/>
      <x:c r="AB34" s="191"/>
      <x:c r="AC34" s="191"/>
      <x:c r="AD34" s="191"/>
      <x:c r="AE34" s="191"/>
      <x:c r="AF34" s="191"/>
      <x:c r="AG34" s="191"/>
      <x:c r="AH34" s="191"/>
      <x:c r="AI34" s="191"/>
      <x:c r="AJ34" s="191"/>
      <x:c r="AK34" s="191"/>
    </x:row>
    <x:row r="35">
      <x:c r="A35" s="191"/>
      <x:c r="B35" s="191"/>
      <x:c r="C35" s="191"/>
      <x:c r="D35" s="191"/>
      <x:c r="E35" s="191"/>
      <x:c r="F35" s="191"/>
      <x:c r="G35" s="191"/>
      <x:c r="H35" s="191"/>
      <x:c r="I35" s="191"/>
      <x:c r="J35" s="191"/>
      <x:c r="K35" s="191"/>
      <x:c r="L35" s="191"/>
      <x:c r="M35" s="191"/>
      <x:c r="N35" s="191"/>
      <x:c r="O35" s="191"/>
      <x:c r="P35" s="191"/>
      <x:c r="Q35" s="191"/>
      <x:c r="R35" s="191"/>
      <x:c r="S35" s="191"/>
      <x:c r="T35" s="191"/>
      <x:c r="U35" s="191"/>
      <x:c r="V35" s="191"/>
      <x:c r="W35" s="191"/>
      <x:c r="X35" s="191"/>
      <x:c r="Y35" s="191"/>
      <x:c r="Z35" s="191"/>
      <x:c r="AA35" s="191"/>
      <x:c r="AB35" s="191"/>
      <x:c r="AC35" s="191"/>
      <x:c r="AD35" s="191"/>
      <x:c r="AE35" s="191"/>
      <x:c r="AF35" s="191"/>
      <x:c r="AG35" s="191"/>
      <x:c r="AH35" s="191"/>
      <x:c r="AI35" s="191"/>
      <x:c r="AJ35" s="191"/>
      <x:c r="AK35" s="191"/>
    </x:row>
    <x:row r="36" ht="22" customHeight="1">
      <x:c r="A36" s="21" t="str">
        <x:v>NU parameter surface</x:v>
      </x:c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  <x:c r="AA36" s="21"/>
      <x:c r="AB36" s="21"/>
      <x:c r="AC36" s="21"/>
      <x:c r="AD36" s="21"/>
      <x:c r="AE36" s="21"/>
      <x:c r="AF36" s="21"/>
      <x:c r="AG36" s="21"/>
      <x:c r="AH36" s="21"/>
      <x:c r="AI36" s="21"/>
      <x:c r="AJ36" s="21"/>
      <x:c r="AK36" s="21"/>
    </x:row>
    <x:row r="37">
      <x:c r="A37" s="241" t="str">
        <x:v>NU Base Grid</x:v>
      </x:c>
      <x:c r="B37" s="241"/>
      <x:c r="C37" s="241"/>
      <x:c r="D37" s="241"/>
      <x:c r="E37" s="241"/>
      <x:c r="F37" s="241"/>
      <x:c r="G37" s="241"/>
      <x:c r="H37" s="241"/>
      <x:c r="I37" s="241"/>
      <x:c r="J37" s="241"/>
      <x:c r="K37" s="241"/>
      <x:c r="L37" s="191"/>
      <x:c r="M37" s="242" t="str">
        <x:v>NU Shock Grid — 20-Nov-2008</x:v>
      </x:c>
      <x:c r="N37" s="242"/>
      <x:c r="O37" s="242"/>
      <x:c r="P37" s="242"/>
      <x:c r="Q37" s="242"/>
      <x:c r="R37" s="242"/>
      <x:c r="S37" s="242"/>
      <x:c r="T37" s="242"/>
      <x:c r="U37" s="242"/>
      <x:c r="V37" s="242"/>
      <x:c r="W37" s="242"/>
      <x:c r="X37" s="191"/>
      <x:c r="Y37" s="243" t="str">
        <x:v>NU Shocked Grid</x:v>
      </x:c>
      <x:c r="Z37" s="243"/>
      <x:c r="AA37" s="243"/>
      <x:c r="AB37" s="243"/>
      <x:c r="AC37" s="243"/>
      <x:c r="AD37" s="243"/>
      <x:c r="AE37" s="243"/>
      <x:c r="AF37" s="243"/>
      <x:c r="AG37" s="243"/>
      <x:c r="AH37" s="243"/>
      <x:c r="AI37" s="243"/>
      <x:c r="AJ37" s="191"/>
      <x:c r="AK37" s="191"/>
    </x:row>
    <x:row r="38">
      <x:c r="A38" s="45" t="str">
        <x:v>Expiry \ Underlying</x:v>
      </x:c>
      <x:c r="B38" s="45" t="str">
        <x:v>1M</x:v>
      </x:c>
      <x:c r="C38" s="45" t="str">
        <x:v>3M</x:v>
      </x:c>
      <x:c r="D38" s="45" t="str">
        <x:v>6M</x:v>
      </x:c>
      <x:c r="E38" s="45" t="str">
        <x:v>1Y</x:v>
      </x:c>
      <x:c r="F38" s="45" t="str">
        <x:v>2Y</x:v>
      </x:c>
      <x:c r="G38" s="45" t="str">
        <x:v>3Y</x:v>
      </x:c>
      <x:c r="H38" s="45" t="str">
        <x:v>5Y</x:v>
      </x:c>
      <x:c r="I38" s="45" t="str">
        <x:v>10Y</x:v>
      </x:c>
      <x:c r="J38" s="45" t="str">
        <x:v>20Y</x:v>
      </x:c>
      <x:c r="K38" s="45" t="str">
        <x:v>30Y</x:v>
      </x:c>
      <x:c r="L38" s="191"/>
      <x:c r="M38" s="45" t="str">
        <x:v>Expiry \ Underlying</x:v>
      </x:c>
      <x:c r="N38" s="45" t="str">
        <x:v>1M</x:v>
      </x:c>
      <x:c r="O38" s="45" t="str">
        <x:v>3M</x:v>
      </x:c>
      <x:c r="P38" s="45" t="str">
        <x:v>6M</x:v>
      </x:c>
      <x:c r="Q38" s="45" t="str">
        <x:v>1Y</x:v>
      </x:c>
      <x:c r="R38" s="45" t="str">
        <x:v>2Y</x:v>
      </x:c>
      <x:c r="S38" s="45" t="str">
        <x:v>3Y</x:v>
      </x:c>
      <x:c r="T38" s="45" t="str">
        <x:v>5Y</x:v>
      </x:c>
      <x:c r="U38" s="45" t="str">
        <x:v>10Y</x:v>
      </x:c>
      <x:c r="V38" s="45" t="str">
        <x:v>20Y</x:v>
      </x:c>
      <x:c r="W38" s="45" t="str">
        <x:v>30Y</x:v>
      </x:c>
      <x:c r="X38" s="191"/>
      <x:c r="Y38" s="45" t="str">
        <x:v>Expiry \ Underlying</x:v>
      </x:c>
      <x:c r="Z38" s="45" t="str">
        <x:v>1M</x:v>
      </x:c>
      <x:c r="AA38" s="45" t="str">
        <x:v>3M</x:v>
      </x:c>
      <x:c r="AB38" s="45" t="str">
        <x:v>6M</x:v>
      </x:c>
      <x:c r="AC38" s="45" t="str">
        <x:v>1Y</x:v>
      </x:c>
      <x:c r="AD38" s="45" t="str">
        <x:v>2Y</x:v>
      </x:c>
      <x:c r="AE38" s="45" t="str">
        <x:v>3Y</x:v>
      </x:c>
      <x:c r="AF38" s="45" t="str">
        <x:v>5Y</x:v>
      </x:c>
      <x:c r="AG38" s="45" t="str">
        <x:v>10Y</x:v>
      </x:c>
      <x:c r="AH38" s="45" t="str">
        <x:v>20Y</x:v>
      </x:c>
      <x:c r="AI38" s="45" t="str">
        <x:v>30Y</x:v>
      </x:c>
      <x:c r="AJ38" s="191"/>
      <x:c r="AK38" s="45" t="str">
        <x:v>Surface UDF illustration</x:v>
      </x:c>
    </x:row>
    <x:row r="39">
      <x:c r="A39" s="244" t="str">
        <x:v>1M</x:v>
      </x:c>
      <x:c r="B39" s="199" t="n">
        <x:v>0.33</x:v>
      </x:c>
      <x:c r="C39" s="199" t="n">
        <x:v>0.34</x:v>
      </x:c>
      <x:c r="D39" s="199" t="n">
        <x:v>0.35</x:v>
      </x:c>
      <x:c r="E39" s="199" t="n">
        <x:v>0.36</x:v>
      </x:c>
      <x:c r="F39" s="199" t="n">
        <x:v>0.37</x:v>
      </x:c>
      <x:c r="G39" s="199" t="n">
        <x:v>0.38</x:v>
      </x:c>
      <x:c r="H39" s="199" t="n">
        <x:v>0.39</x:v>
      </x:c>
      <x:c r="I39" s="199" t="n">
        <x:v>0.4</x:v>
      </x:c>
      <x:c r="J39" s="199" t="n">
        <x:v>0.41000000000000003</x:v>
      </x:c>
      <x:c r="K39" s="199" t="n">
        <x:v>0.42000000000000004</x:v>
      </x:c>
      <x:c r="L39" s="191"/>
      <x:c r="M39" s="244" t="str">
        <x:v>1M</x:v>
      </x:c>
      <x:c r="N39" s="199" t="n">
        <x:v>0.04000000000000001</x:v>
      </x:c>
      <x:c r="O39" s="199" t="n">
        <x:v>0.04200000000000001</x:v>
      </x:c>
      <x:c r="P39" s="199" t="n">
        <x:v>0.044000000000000004</x:v>
      </x:c>
      <x:c r="Q39" s="199" t="n">
        <x:v>0.046000000000000006</x:v>
      </x:c>
      <x:c r="R39" s="199" t="n">
        <x:v>0.04800000000000001</x:v>
      </x:c>
      <x:c r="S39" s="199" t="n">
        <x:v>0.05</x:v>
      </x:c>
      <x:c r="T39" s="199" t="n">
        <x:v>0.052000000000000005</x:v>
      </x:c>
      <x:c r="U39" s="199" t="n">
        <x:v>0.054000000000000006</x:v>
      </x:c>
      <x:c r="V39" s="199" t="n">
        <x:v>0.05600000000000001</x:v>
      </x:c>
      <x:c r="W39" s="199" t="n">
        <x:v>0.05800000000000001</x:v>
      </x:c>
      <x:c r="X39" s="191"/>
      <x:c r="Y39" s="244" t="str">
        <x:v>1M</x:v>
      </x:c>
      <x:c r="Z39" s="211" t="n">
        <x:f>B39+N39</x:f>
        <x:v>0.37</x:v>
      </x:c>
      <x:c r="AA39" s="211" t="n">
        <x:f>C39+O39</x:f>
        <x:v>0.382</x:v>
      </x:c>
      <x:c r="AB39" s="211" t="n">
        <x:f>D39+P39</x:f>
        <x:v>0.39399999999999996</x:v>
      </x:c>
      <x:c r="AC39" s="211" t="n">
        <x:f>E39+Q39</x:f>
        <x:v>0.40599999999999997</x:v>
      </x:c>
      <x:c r="AD39" s="211" t="n">
        <x:f>F39+R39</x:f>
        <x:v>0.418</x:v>
      </x:c>
      <x:c r="AE39" s="211" t="n">
        <x:f>G39+S39</x:f>
        <x:v>0.43</x:v>
      </x:c>
      <x:c r="AF39" s="211" t="n">
        <x:f>H39+T39</x:f>
        <x:v>0.442</x:v>
      </x:c>
      <x:c r="AG39" s="211" t="n">
        <x:f>I39+U39</x:f>
        <x:v>0.454</x:v>
      </x:c>
      <x:c r="AH39" s="211" t="n">
        <x:f>J39+V39</x:f>
        <x:v>0.466</x:v>
      </x:c>
      <x:c r="AI39" s="211" t="n">
        <x:f>K39+W39</x:f>
        <x:v>0.47800000000000004</x:v>
      </x:c>
      <x:c r="AJ39" s="191"/>
      <x:c r="AK39" s="223" t="str">
        <x:v>=gxlSABRSurfaceShift(NU_PriorSurface, "1M_ExpiryRow", NU_ShockRow_01)</x:v>
      </x:c>
    </x:row>
    <x:row r="40">
      <x:c r="A40" s="244" t="str">
        <x:v>3M</x:v>
      </x:c>
      <x:c r="B40" s="199" t="n">
        <x:v>0.35</x:v>
      </x:c>
      <x:c r="C40" s="199" t="n">
        <x:v>0.36</x:v>
      </x:c>
      <x:c r="D40" s="199" t="n">
        <x:v>0.37</x:v>
      </x:c>
      <x:c r="E40" s="199" t="n">
        <x:v>0.37999999999999995</x:v>
      </x:c>
      <x:c r="F40" s="199" t="n">
        <x:v>0.38999999999999996</x:v>
      </x:c>
      <x:c r="G40" s="199" t="n">
        <x:v>0.39999999999999997</x:v>
      </x:c>
      <x:c r="H40" s="199" t="n">
        <x:v>0.41</x:v>
      </x:c>
      <x:c r="I40" s="199" t="n">
        <x:v>0.42</x:v>
      </x:c>
      <x:c r="J40" s="199" t="n">
        <x:v>0.42999999999999994</x:v>
      </x:c>
      <x:c r="K40" s="199" t="n">
        <x:v>0.43999999999999995</x:v>
      </x:c>
      <x:c r="L40" s="191"/>
      <x:c r="M40" s="244" t="str">
        <x:v>3M</x:v>
      </x:c>
      <x:c r="N40" s="199" t="n">
        <x:v>0.043000000000000003</x:v>
      </x:c>
      <x:c r="O40" s="199" t="n">
        <x:v>0.045</x:v>
      </x:c>
      <x:c r="P40" s="199" t="n">
        <x:v>0.047</x:v>
      </x:c>
      <x:c r="Q40" s="199" t="n">
        <x:v>0.049</x:v>
      </x:c>
      <x:c r="R40" s="199" t="n">
        <x:v>0.051000000000000004</x:v>
      </x:c>
      <x:c r="S40" s="199" t="n">
        <x:v>0.053000000000000005</x:v>
      </x:c>
      <x:c r="T40" s="199" t="n">
        <x:v>0.055</x:v>
      </x:c>
      <x:c r="U40" s="199" t="n">
        <x:v>0.057</x:v>
      </x:c>
      <x:c r="V40" s="199" t="n">
        <x:v>0.059000000000000004</x:v>
      </x:c>
      <x:c r="W40" s="199" t="n">
        <x:v>0.061</x:v>
      </x:c>
      <x:c r="X40" s="191"/>
      <x:c r="Y40" s="244" t="str">
        <x:v>3M</x:v>
      </x:c>
      <x:c r="Z40" s="211" t="n">
        <x:f>B40+N40</x:f>
        <x:v>0.39299999999999996</x:v>
      </x:c>
      <x:c r="AA40" s="211" t="n">
        <x:f>C40+O40</x:f>
        <x:v>0.40499999999999997</x:v>
      </x:c>
      <x:c r="AB40" s="211" t="n">
        <x:f>D40+P40</x:f>
        <x:v>0.417</x:v>
      </x:c>
      <x:c r="AC40" s="211" t="n">
        <x:f>E40+Q40</x:f>
        <x:v>0.42899999999999994</x:v>
      </x:c>
      <x:c r="AD40" s="211" t="n">
        <x:f>F40+R40</x:f>
        <x:v>0.44099999999999995</x:v>
      </x:c>
      <x:c r="AE40" s="211" t="n">
        <x:f>G40+S40</x:f>
        <x:v>0.45299999999999996</x:v>
      </x:c>
      <x:c r="AF40" s="211" t="n">
        <x:f>H40+T40</x:f>
        <x:v>0.46499999999999997</x:v>
      </x:c>
      <x:c r="AG40" s="211" t="n">
        <x:f>I40+U40</x:f>
        <x:v>0.477</x:v>
      </x:c>
      <x:c r="AH40" s="211" t="n">
        <x:f>J40+V40</x:f>
        <x:v>0.48899999999999993</x:v>
      </x:c>
      <x:c r="AI40" s="211" t="n">
        <x:f>K40+W40</x:f>
        <x:v>0.5009999999999999</x:v>
      </x:c>
      <x:c r="AJ40" s="191"/>
      <x:c r="AK40" s="223" t="str">
        <x:v>=gxlSABRSurfaceShift(NU_PriorSurface, "3M_ExpiryRow", NU_ShockRow_02)</x:v>
      </x:c>
    </x:row>
    <x:row r="41">
      <x:c r="A41" s="244" t="str">
        <x:v>6M</x:v>
      </x:c>
      <x:c r="B41" s="199" t="n">
        <x:v>0.37</x:v>
      </x:c>
      <x:c r="C41" s="199" t="n">
        <x:v>0.38</x:v>
      </x:c>
      <x:c r="D41" s="199" t="n">
        <x:v>0.39</x:v>
      </x:c>
      <x:c r="E41" s="199" t="n">
        <x:v>0.39999999999999997</x:v>
      </x:c>
      <x:c r="F41" s="199" t="n">
        <x:v>0.41</x:v>
      </x:c>
      <x:c r="G41" s="199" t="n">
        <x:v>0.42</x:v>
      </x:c>
      <x:c r="H41" s="199" t="n">
        <x:v>0.43</x:v>
      </x:c>
      <x:c r="I41" s="199" t="n">
        <x:v>0.44</x:v>
      </x:c>
      <x:c r="J41" s="199" t="n">
        <x:v>0.44999999999999996</x:v>
      </x:c>
      <x:c r="K41" s="199" t="n">
        <x:v>0.45999999999999996</x:v>
      </x:c>
      <x:c r="L41" s="191"/>
      <x:c r="M41" s="244" t="str">
        <x:v>6M</x:v>
      </x:c>
      <x:c r="N41" s="199" t="n">
        <x:v>0.046000000000000006</x:v>
      </x:c>
      <x:c r="O41" s="199" t="n">
        <x:v>0.048</x:v>
      </x:c>
      <x:c r="P41" s="199" t="n">
        <x:v>0.05</x:v>
      </x:c>
      <x:c r="Q41" s="199" t="n">
        <x:v>0.052000000000000005</x:v>
      </x:c>
      <x:c r="R41" s="199" t="n">
        <x:v>0.054000000000000006</x:v>
      </x:c>
      <x:c r="S41" s="199" t="n">
        <x:v>0.05600000000000001</x:v>
      </x:c>
      <x:c r="T41" s="199" t="n">
        <x:v>0.058</x:v>
      </x:c>
      <x:c r="U41" s="199" t="n">
        <x:v>0.060000000000000005</x:v>
      </x:c>
      <x:c r="V41" s="199" t="n">
        <x:v>0.062000000000000006</x:v>
      </x:c>
      <x:c r="W41" s="199" t="n">
        <x:v>0.064</x:v>
      </x:c>
      <x:c r="X41" s="191"/>
      <x:c r="Y41" s="244" t="str">
        <x:v>6M</x:v>
      </x:c>
      <x:c r="Z41" s="211" t="n">
        <x:f>B41+N41</x:f>
        <x:v>0.416</x:v>
      </x:c>
      <x:c r="AA41" s="211" t="n">
        <x:f>C41+O41</x:f>
        <x:v>0.428</x:v>
      </x:c>
      <x:c r="AB41" s="211" t="n">
        <x:f>D41+P41</x:f>
        <x:v>0.44</x:v>
      </x:c>
      <x:c r="AC41" s="211" t="n">
        <x:f>E41+Q41</x:f>
        <x:v>0.45199999999999996</x:v>
      </x:c>
      <x:c r="AD41" s="211" t="n">
        <x:f>F41+R41</x:f>
        <x:v>0.46399999999999997</x:v>
      </x:c>
      <x:c r="AE41" s="211" t="n">
        <x:f>G41+S41</x:f>
        <x:v>0.476</x:v>
      </x:c>
      <x:c r="AF41" s="211" t="n">
        <x:f>H41+T41</x:f>
        <x:v>0.488</x:v>
      </x:c>
      <x:c r="AG41" s="211" t="n">
        <x:f>I41+U41</x:f>
        <x:v>0.5</x:v>
      </x:c>
      <x:c r="AH41" s="211" t="n">
        <x:f>J41+V41</x:f>
        <x:v>0.512</x:v>
      </x:c>
      <x:c r="AI41" s="211" t="n">
        <x:f>K41+W41</x:f>
        <x:v>0.524</x:v>
      </x:c>
      <x:c r="AJ41" s="191"/>
      <x:c r="AK41" s="223" t="str">
        <x:v>=gxlSABRSurfaceShift(NU_PriorSurface, "6M_ExpiryRow", NU_ShockRow_03)</x:v>
      </x:c>
    </x:row>
    <x:row r="42">
      <x:c r="A42" s="244" t="str">
        <x:v>1Y</x:v>
      </x:c>
      <x:c r="B42" s="199" t="n">
        <x:v>0.39</x:v>
      </x:c>
      <x:c r="C42" s="199" t="n">
        <x:v>0.4</x:v>
      </x:c>
      <x:c r="D42" s="199" t="n">
        <x:v>0.41000000000000003</x:v>
      </x:c>
      <x:c r="E42" s="199" t="n">
        <x:v>0.42</x:v>
      </x:c>
      <x:c r="F42" s="199" t="n">
        <x:v>0.43</x:v>
      </x:c>
      <x:c r="G42" s="199" t="n">
        <x:v>0.44</x:v>
      </x:c>
      <x:c r="H42" s="199" t="n">
        <x:v>0.45</x:v>
      </x:c>
      <x:c r="I42" s="199" t="n">
        <x:v>0.46</x:v>
      </x:c>
      <x:c r="J42" s="199" t="n">
        <x:v>0.47</x:v>
      </x:c>
      <x:c r="K42" s="199" t="n">
        <x:v>0.48</x:v>
      </x:c>
      <x:c r="L42" s="191"/>
      <x:c r="M42" s="244" t="str">
        <x:v>1Y</x:v>
      </x:c>
      <x:c r="N42" s="199" t="n">
        <x:v>0.049</x:v>
      </x:c>
      <x:c r="O42" s="199" t="n">
        <x:v>0.051000000000000004</x:v>
      </x:c>
      <x:c r="P42" s="199" t="n">
        <x:v>0.053</x:v>
      </x:c>
      <x:c r="Q42" s="199" t="n">
        <x:v>0.055</x:v>
      </x:c>
      <x:c r="R42" s="199" t="n">
        <x:v>0.057</x:v>
      </x:c>
      <x:c r="S42" s="199" t="n">
        <x:v>0.059</x:v>
      </x:c>
      <x:c r="T42" s="199" t="n">
        <x:v>0.061</x:v>
      </x:c>
      <x:c r="U42" s="199" t="n">
        <x:v>0.063</x:v>
      </x:c>
      <x:c r="V42" s="199" t="n">
        <x:v>0.065</x:v>
      </x:c>
      <x:c r="W42" s="199" t="n">
        <x:v>0.067</x:v>
      </x:c>
      <x:c r="X42" s="191"/>
      <x:c r="Y42" s="244" t="str">
        <x:v>1Y</x:v>
      </x:c>
      <x:c r="Z42" s="211" t="n">
        <x:f>B42+N42</x:f>
        <x:v>0.439</x:v>
      </x:c>
      <x:c r="AA42" s="211" t="n">
        <x:f>C42+O42</x:f>
        <x:v>0.451</x:v>
      </x:c>
      <x:c r="AB42" s="211" t="n">
        <x:f>D42+P42</x:f>
        <x:v>0.463</x:v>
      </x:c>
      <x:c r="AC42" s="211" t="n">
        <x:f>E42+Q42</x:f>
        <x:v>0.475</x:v>
      </x:c>
      <x:c r="AD42" s="211" t="n">
        <x:f>F42+R42</x:f>
        <x:v>0.487</x:v>
      </x:c>
      <x:c r="AE42" s="211" t="n">
        <x:f>G42+S42</x:f>
        <x:v>0.499</x:v>
      </x:c>
      <x:c r="AF42" s="211" t="n">
        <x:f>H42+T42</x:f>
        <x:v>0.511</x:v>
      </x:c>
      <x:c r="AG42" s="211" t="n">
        <x:f>I42+U42</x:f>
        <x:v>0.523</x:v>
      </x:c>
      <x:c r="AH42" s="211" t="n">
        <x:f>J42+V42</x:f>
        <x:v>0.5349999999999999</x:v>
      </x:c>
      <x:c r="AI42" s="211" t="n">
        <x:f>K42+W42</x:f>
        <x:v>0.5469999999999999</x:v>
      </x:c>
      <x:c r="AJ42" s="191"/>
      <x:c r="AK42" s="223" t="str">
        <x:v>=gxlSABRSurfaceShift(NU_PriorSurface, "1Y_ExpiryRow", NU_ShockRow_04)</x:v>
      </x:c>
    </x:row>
    <x:row r="43">
      <x:c r="A43" s="244" t="str">
        <x:v>2Y</x:v>
      </x:c>
      <x:c r="B43" s="199" t="n">
        <x:v>0.41000000000000003</x:v>
      </x:c>
      <x:c r="C43" s="199" t="n">
        <x:v>0.42000000000000004</x:v>
      </x:c>
      <x:c r="D43" s="199" t="n">
        <x:v>0.43000000000000005</x:v>
      </x:c>
      <x:c r="E43" s="199" t="n">
        <x:v>0.44</x:v>
      </x:c>
      <x:c r="F43" s="199" t="n">
        <x:v>0.45</x:v>
      </x:c>
      <x:c r="G43" s="199" t="n">
        <x:v>0.46</x:v>
      </x:c>
      <x:c r="H43" s="199" t="n">
        <x:v>0.47000000000000003</x:v>
      </x:c>
      <x:c r="I43" s="199" t="n">
        <x:v>0.48000000000000004</x:v>
      </x:c>
      <x:c r="J43" s="199" t="n">
        <x:v>0.49</x:v>
      </x:c>
      <x:c r="K43" s="199" t="n">
        <x:v>0.5</x:v>
      </x:c>
      <x:c r="L43" s="191"/>
      <x:c r="M43" s="244" t="str">
        <x:v>2Y</x:v>
      </x:c>
      <x:c r="N43" s="199" t="n">
        <x:v>0.052000000000000005</x:v>
      </x:c>
      <x:c r="O43" s="199" t="n">
        <x:v>0.054000000000000006</x:v>
      </x:c>
      <x:c r="P43" s="199" t="n">
        <x:v>0.056</x:v>
      </x:c>
      <x:c r="Q43" s="199" t="n">
        <x:v>0.058</x:v>
      </x:c>
      <x:c r="R43" s="199" t="n">
        <x:v>0.060000000000000005</x:v>
      </x:c>
      <x:c r="S43" s="199" t="n">
        <x:v>0.062</x:v>
      </x:c>
      <x:c r="T43" s="199" t="n">
        <x:v>0.064</x:v>
      </x:c>
      <x:c r="U43" s="199" t="n">
        <x:v>0.066</x:v>
      </x:c>
      <x:c r="V43" s="199" t="n">
        <x:v>0.068</x:v>
      </x:c>
      <x:c r="W43" s="199" t="n">
        <x:v>0.07</x:v>
      </x:c>
      <x:c r="X43" s="191"/>
      <x:c r="Y43" s="244" t="str">
        <x:v>2Y</x:v>
      </x:c>
      <x:c r="Z43" s="211" t="n">
        <x:f>B43+N43</x:f>
        <x:v>0.462</x:v>
      </x:c>
      <x:c r="AA43" s="211" t="n">
        <x:f>C43+O43</x:f>
        <x:v>0.47400000000000003</x:v>
      </x:c>
      <x:c r="AB43" s="211" t="n">
        <x:f>D43+P43</x:f>
        <x:v>0.48600000000000004</x:v>
      </x:c>
      <x:c r="AC43" s="211" t="n">
        <x:f>E43+Q43</x:f>
        <x:v>0.498</x:v>
      </x:c>
      <x:c r="AD43" s="211" t="n">
        <x:f>F43+R43</x:f>
        <x:v>0.51</x:v>
      </x:c>
      <x:c r="AE43" s="211" t="n">
        <x:f>G43+S43</x:f>
        <x:v>0.522</x:v>
      </x:c>
      <x:c r="AF43" s="211" t="n">
        <x:f>H43+T43</x:f>
        <x:v>0.534</x:v>
      </x:c>
      <x:c r="AG43" s="211" t="n">
        <x:f>I43+U43</x:f>
        <x:v>0.546</x:v>
      </x:c>
      <x:c r="AH43" s="211" t="n">
        <x:f>J43+V43</x:f>
        <x:v>0.558</x:v>
      </x:c>
      <x:c r="AI43" s="211" t="n">
        <x:f>K43+W43</x:f>
        <x:v>0.5700000000000001</x:v>
      </x:c>
      <x:c r="AJ43" s="191"/>
      <x:c r="AK43" s="223" t="str">
        <x:v>=gxlSABRSurfaceShift(NU_PriorSurface, "2Y_ExpiryRow", NU_ShockRow_05)</x:v>
      </x:c>
    </x:row>
    <x:row r="44">
      <x:c r="A44" s="244" t="str">
        <x:v>3Y</x:v>
      </x:c>
      <x:c r="B44" s="199" t="n">
        <x:v>0.43</x:v>
      </x:c>
      <x:c r="C44" s="199" t="n">
        <x:v>0.44</x:v>
      </x:c>
      <x:c r="D44" s="199" t="n">
        <x:v>0.44999999999999996</x:v>
      </x:c>
      <x:c r="E44" s="199" t="n">
        <x:v>0.45999999999999996</x:v>
      </x:c>
      <x:c r="F44" s="199" t="n">
        <x:v>0.47</x:v>
      </x:c>
      <x:c r="G44" s="199" t="n">
        <x:v>0.48</x:v>
      </x:c>
      <x:c r="H44" s="199" t="n">
        <x:v>0.49</x:v>
      </x:c>
      <x:c r="I44" s="199" t="n">
        <x:v>0.5</x:v>
      </x:c>
      <x:c r="J44" s="199" t="n">
        <x:v>0.51</x:v>
      </x:c>
      <x:c r="K44" s="199" t="n">
        <x:v>0.52</x:v>
      </x:c>
      <x:c r="L44" s="191"/>
      <x:c r="M44" s="244" t="str">
        <x:v>3Y</x:v>
      </x:c>
      <x:c r="N44" s="199" t="n">
        <x:v>0.05500000000000001</x:v>
      </x:c>
      <x:c r="O44" s="199" t="n">
        <x:v>0.05700000000000001</x:v>
      </x:c>
      <x:c r="P44" s="199" t="n">
        <x:v>0.059000000000000004</x:v>
      </x:c>
      <x:c r="Q44" s="199" t="n">
        <x:v>0.061000000000000006</x:v>
      </x:c>
      <x:c r="R44" s="199" t="n">
        <x:v>0.063</x:v>
      </x:c>
      <x:c r="S44" s="199" t="n">
        <x:v>0.065</x:v>
      </x:c>
      <x:c r="T44" s="199" t="n">
        <x:v>0.067</x:v>
      </x:c>
      <x:c r="U44" s="199" t="n">
        <x:v>0.069</x:v>
      </x:c>
      <x:c r="V44" s="199" t="n">
        <x:v>0.07100000000000001</x:v>
      </x:c>
      <x:c r="W44" s="199" t="n">
        <x:v>0.07300000000000001</x:v>
      </x:c>
      <x:c r="X44" s="191"/>
      <x:c r="Y44" s="244" t="str">
        <x:v>3Y</x:v>
      </x:c>
      <x:c r="Z44" s="211" t="n">
        <x:f>B44+N44</x:f>
        <x:v>0.485</x:v>
      </x:c>
      <x:c r="AA44" s="211" t="n">
        <x:f>C44+O44</x:f>
        <x:v>0.497</x:v>
      </x:c>
      <x:c r="AB44" s="211" t="n">
        <x:f>D44+P44</x:f>
        <x:v>0.509</x:v>
      </x:c>
      <x:c r="AC44" s="211" t="n">
        <x:f>E44+Q44</x:f>
        <x:v>0.521</x:v>
      </x:c>
      <x:c r="AD44" s="211" t="n">
        <x:f>F44+R44</x:f>
        <x:v>0.5329999999999999</x:v>
      </x:c>
      <x:c r="AE44" s="211" t="n">
        <x:f>G44+S44</x:f>
        <x:v>0.5449999999999999</x:v>
      </x:c>
      <x:c r="AF44" s="211" t="n">
        <x:f>H44+T44</x:f>
        <x:v>0.5569999999999999</x:v>
      </x:c>
      <x:c r="AG44" s="211" t="n">
        <x:f>I44+U44</x:f>
        <x:v>0.569</x:v>
      </x:c>
      <x:c r="AH44" s="211" t="n">
        <x:f>J44+V44</x:f>
        <x:v>0.581</x:v>
      </x:c>
      <x:c r="AI44" s="211" t="n">
        <x:f>K44+W44</x:f>
        <x:v>0.593</x:v>
      </x:c>
      <x:c r="AJ44" s="191"/>
      <x:c r="AK44" s="223" t="str">
        <x:v>=gxlSABRSurfaceShift(NU_PriorSurface, "3Y_ExpiryRow", NU_ShockRow_06)</x:v>
      </x:c>
    </x:row>
    <x:row r="45">
      <x:c r="A45" s="244" t="str">
        <x:v>5Y</x:v>
      </x:c>
      <x:c r="B45" s="199" t="n">
        <x:v>0.45</x:v>
      </x:c>
      <x:c r="C45" s="199" t="n">
        <x:v>0.46</x:v>
      </x:c>
      <x:c r="D45" s="199" t="n">
        <x:v>0.47</x:v>
      </x:c>
      <x:c r="E45" s="199" t="n">
        <x:v>0.48</x:v>
      </x:c>
      <x:c r="F45" s="199" t="n">
        <x:v>0.49</x:v>
      </x:c>
      <x:c r="G45" s="199" t="n">
        <x:v>0.5</x:v>
      </x:c>
      <x:c r="H45" s="199" t="n">
        <x:v>0.51</x:v>
      </x:c>
      <x:c r="I45" s="199" t="n">
        <x:v>0.52</x:v>
      </x:c>
      <x:c r="J45" s="199" t="n">
        <x:v>0.53</x:v>
      </x:c>
      <x:c r="K45" s="199" t="n">
        <x:v>0.54</x:v>
      </x:c>
      <x:c r="L45" s="191"/>
      <x:c r="M45" s="244" t="str">
        <x:v>5Y</x:v>
      </x:c>
      <x:c r="N45" s="199" t="n">
        <x:v>0.05800000000000001</x:v>
      </x:c>
      <x:c r="O45" s="199" t="n">
        <x:v>0.06000000000000001</x:v>
      </x:c>
      <x:c r="P45" s="199" t="n">
        <x:v>0.062000000000000006</x:v>
      </x:c>
      <x:c r="Q45" s="199" t="n">
        <x:v>0.064</x:v>
      </x:c>
      <x:c r="R45" s="199" t="n">
        <x:v>0.066</x:v>
      </x:c>
      <x:c r="S45" s="199" t="n">
        <x:v>0.068</x:v>
      </x:c>
      <x:c r="T45" s="199" t="n">
        <x:v>0.07</x:v>
      </x:c>
      <x:c r="U45" s="199" t="n">
        <x:v>0.07200000000000001</x:v>
      </x:c>
      <x:c r="V45" s="199" t="n">
        <x:v>0.07400000000000001</x:v>
      </x:c>
      <x:c r="W45" s="199" t="n">
        <x:v>0.07600000000000001</x:v>
      </x:c>
      <x:c r="X45" s="191"/>
      <x:c r="Y45" s="244" t="str">
        <x:v>5Y</x:v>
      </x:c>
      <x:c r="Z45" s="211" t="n">
        <x:f>B45+N45</x:f>
        <x:v>0.508</x:v>
      </x:c>
      <x:c r="AA45" s="211" t="n">
        <x:f>C45+O45</x:f>
        <x:v>0.52</x:v>
      </x:c>
      <x:c r="AB45" s="211" t="n">
        <x:f>D45+P45</x:f>
        <x:v>0.532</x:v>
      </x:c>
      <x:c r="AC45" s="211" t="n">
        <x:f>E45+Q45</x:f>
        <x:v>0.544</x:v>
      </x:c>
      <x:c r="AD45" s="211" t="n">
        <x:f>F45+R45</x:f>
        <x:v>0.556</x:v>
      </x:c>
      <x:c r="AE45" s="211" t="n">
        <x:f>G45+S45</x:f>
        <x:v>0.5680000000000001</x:v>
      </x:c>
      <x:c r="AF45" s="211" t="n">
        <x:f>H45+T45</x:f>
        <x:v>0.5800000000000001</x:v>
      </x:c>
      <x:c r="AG45" s="211" t="n">
        <x:f>I45+U45</x:f>
        <x:v>0.5920000000000001</x:v>
      </x:c>
      <x:c r="AH45" s="211" t="n">
        <x:f>J45+V45</x:f>
        <x:v>0.6040000000000001</x:v>
      </x:c>
      <x:c r="AI45" s="211" t="n">
        <x:f>K45+W45</x:f>
        <x:v>0.6160000000000001</x:v>
      </x:c>
      <x:c r="AJ45" s="191"/>
      <x:c r="AK45" s="223" t="str">
        <x:v>=gxlSABRSurfaceShift(NU_PriorSurface, "5Y_ExpiryRow", NU_ShockRow_07)</x:v>
      </x:c>
    </x:row>
    <x:row r="46">
      <x:c r="A46" s="244" t="str">
        <x:v>10Y</x:v>
      </x:c>
      <x:c r="B46" s="199" t="n">
        <x:v>0.47</x:v>
      </x:c>
      <x:c r="C46" s="199" t="n">
        <x:v>0.48</x:v>
      </x:c>
      <x:c r="D46" s="199" t="n">
        <x:v>0.49</x:v>
      </x:c>
      <x:c r="E46" s="199" t="n">
        <x:v>0.49999999999999994</x:v>
      </x:c>
      <x:c r="F46" s="199" t="n">
        <x:v>0.51</x:v>
      </x:c>
      <x:c r="G46" s="199" t="n">
        <x:v>0.52</x:v>
      </x:c>
      <x:c r="H46" s="199" t="n">
        <x:v>0.53</x:v>
      </x:c>
      <x:c r="I46" s="199" t="n">
        <x:v>0.5399999999999999</x:v>
      </x:c>
      <x:c r="J46" s="199" t="n">
        <x:v>0.5499999999999999</x:v>
      </x:c>
      <x:c r="K46" s="199" t="n">
        <x:v>0.5599999999999999</x:v>
      </x:c>
      <x:c r="L46" s="191"/>
      <x:c r="M46" s="244" t="str">
        <x:v>10Y</x:v>
      </x:c>
      <x:c r="N46" s="199" t="n">
        <x:v>0.061000000000000006</x:v>
      </x:c>
      <x:c r="O46" s="199" t="n">
        <x:v>0.063</x:v>
      </x:c>
      <x:c r="P46" s="199" t="n">
        <x:v>0.065</x:v>
      </x:c>
      <x:c r="Q46" s="199" t="n">
        <x:v>0.067</x:v>
      </x:c>
      <x:c r="R46" s="199" t="n">
        <x:v>0.069</x:v>
      </x:c>
      <x:c r="S46" s="199" t="n">
        <x:v>0.07100000000000001</x:v>
      </x:c>
      <x:c r="T46" s="199" t="n">
        <x:v>0.07300000000000001</x:v>
      </x:c>
      <x:c r="U46" s="199" t="n">
        <x:v>0.07500000000000001</x:v>
      </x:c>
      <x:c r="V46" s="199" t="n">
        <x:v>0.07700000000000001</x:v>
      </x:c>
      <x:c r="W46" s="199" t="n">
        <x:v>0.079</x:v>
      </x:c>
      <x:c r="X46" s="191"/>
      <x:c r="Y46" s="244" t="str">
        <x:v>10Y</x:v>
      </x:c>
      <x:c r="Z46" s="211" t="n">
        <x:f>B46+N46</x:f>
        <x:v>0.531</x:v>
      </x:c>
      <x:c r="AA46" s="211" t="n">
        <x:f>C46+O46</x:f>
        <x:v>0.5429999999999999</x:v>
      </x:c>
      <x:c r="AB46" s="211" t="n">
        <x:f>D46+P46</x:f>
        <x:v>0.5549999999999999</x:v>
      </x:c>
      <x:c r="AC46" s="211" t="n">
        <x:f>E46+Q46</x:f>
        <x:v>0.567</x:v>
      </x:c>
      <x:c r="AD46" s="211" t="n">
        <x:f>F46+R46</x:f>
        <x:v>0.579</x:v>
      </x:c>
      <x:c r="AE46" s="211" t="n">
        <x:f>G46+S46</x:f>
        <x:v>0.591</x:v>
      </x:c>
      <x:c r="AF46" s="211" t="n">
        <x:f>H46+T46</x:f>
        <x:v>0.603</x:v>
      </x:c>
      <x:c r="AG46" s="211" t="n">
        <x:f>I46+U46</x:f>
        <x:v>0.615</x:v>
      </x:c>
      <x:c r="AH46" s="211" t="n">
        <x:f>J46+V46</x:f>
        <x:v>0.627</x:v>
      </x:c>
      <x:c r="AI46" s="211" t="n">
        <x:f>K46+W46</x:f>
        <x:v>0.6389999999999999</x:v>
      </x:c>
      <x:c r="AJ46" s="191"/>
      <x:c r="AK46" s="223" t="str">
        <x:v>=gxlSABRSurfaceShift(NU_PriorSurface, "10Y_ExpiryRow", NU_ShockRow_08)</x:v>
      </x:c>
    </x:row>
    <x:row r="47">
      <x:c r="A47" s="244" t="str">
        <x:v>20Y</x:v>
      </x:c>
      <x:c r="B47" s="199" t="n">
        <x:v>0.49</x:v>
      </x:c>
      <x:c r="C47" s="199" t="n">
        <x:v>0.5</x:v>
      </x:c>
      <x:c r="D47" s="199" t="n">
        <x:v>0.51</x:v>
      </x:c>
      <x:c r="E47" s="199" t="n">
        <x:v>0.52</x:v>
      </x:c>
      <x:c r="F47" s="199" t="n">
        <x:v>0.53</x:v>
      </x:c>
      <x:c r="G47" s="199" t="n">
        <x:v>0.54</x:v>
      </x:c>
      <x:c r="H47" s="199" t="n">
        <x:v>0.55</x:v>
      </x:c>
      <x:c r="I47" s="199" t="n">
        <x:v>0.5599999999999999</x:v>
      </x:c>
      <x:c r="J47" s="199" t="n">
        <x:v>0.57</x:v>
      </x:c>
      <x:c r="K47" s="199" t="n">
        <x:v>0.58</x:v>
      </x:c>
      <x:c r="L47" s="191"/>
      <x:c r="M47" s="244" t="str">
        <x:v>20Y</x:v>
      </x:c>
      <x:c r="N47" s="199" t="n">
        <x:v>0.064</x:v>
      </x:c>
      <x:c r="O47" s="199" t="n">
        <x:v>0.066</x:v>
      </x:c>
      <x:c r="P47" s="199" t="n">
        <x:v>0.068</x:v>
      </x:c>
      <x:c r="Q47" s="199" t="n">
        <x:v>0.07</x:v>
      </x:c>
      <x:c r="R47" s="199" t="n">
        <x:v>0.072</x:v>
      </x:c>
      <x:c r="S47" s="199" t="n">
        <x:v>0.074</x:v>
      </x:c>
      <x:c r="T47" s="199" t="n">
        <x:v>0.076</x:v>
      </x:c>
      <x:c r="U47" s="199" t="n">
        <x:v>0.078</x:v>
      </x:c>
      <x:c r="V47" s="199" t="n">
        <x:v>0.08</x:v>
      </x:c>
      <x:c r="W47" s="199" t="n">
        <x:v>0.082</x:v>
      </x:c>
      <x:c r="X47" s="191"/>
      <x:c r="Y47" s="244" t="str">
        <x:v>20Y</x:v>
      </x:c>
      <x:c r="Z47" s="211" t="n">
        <x:f>B47+N47</x:f>
        <x:v>0.554</x:v>
      </x:c>
      <x:c r="AA47" s="211" t="n">
        <x:f>C47+O47</x:f>
        <x:v>0.5660000000000001</x:v>
      </x:c>
      <x:c r="AB47" s="211" t="n">
        <x:f>D47+P47</x:f>
        <x:v>0.5780000000000001</x:v>
      </x:c>
      <x:c r="AC47" s="211" t="n">
        <x:f>E47+Q47</x:f>
        <x:v>0.5900000000000001</x:v>
      </x:c>
      <x:c r="AD47" s="211" t="n">
        <x:f>F47+R47</x:f>
        <x:v>0.602</x:v>
      </x:c>
      <x:c r="AE47" s="211" t="n">
        <x:f>G47+S47</x:f>
        <x:v>0.614</x:v>
      </x:c>
      <x:c r="AF47" s="211" t="n">
        <x:f>H47+T47</x:f>
        <x:v>0.626</x:v>
      </x:c>
      <x:c r="AG47" s="211" t="n">
        <x:f>I47+U47</x:f>
        <x:v>0.6379999999999999</x:v>
      </x:c>
      <x:c r="AH47" s="211" t="n">
        <x:f>J47+V47</x:f>
        <x:v>0.6499999999999999</x:v>
      </x:c>
      <x:c r="AI47" s="211" t="n">
        <x:f>K47+W47</x:f>
        <x:v>0.6619999999999999</x:v>
      </x:c>
      <x:c r="AJ47" s="191"/>
      <x:c r="AK47" s="223" t="str">
        <x:v>=gxlSABRSurfaceShift(NU_PriorSurface, "20Y_ExpiryRow", NU_ShockRow_09)</x:v>
      </x:c>
    </x:row>
    <x:row r="48">
      <x:c r="A48" s="244" t="str">
        <x:v>30Y</x:v>
      </x:c>
      <x:c r="B48" s="199" t="n">
        <x:v>0.51</x:v>
      </x:c>
      <x:c r="C48" s="199" t="n">
        <x:v>0.52</x:v>
      </x:c>
      <x:c r="D48" s="199" t="n">
        <x:v>0.53</x:v>
      </x:c>
      <x:c r="E48" s="199" t="n">
        <x:v>0.54</x:v>
      </x:c>
      <x:c r="F48" s="199" t="n">
        <x:v>0.55</x:v>
      </x:c>
      <x:c r="G48" s="199" t="n">
        <x:v>0.56</x:v>
      </x:c>
      <x:c r="H48" s="199" t="n">
        <x:v>0.5700000000000001</x:v>
      </x:c>
      <x:c r="I48" s="199" t="n">
        <x:v>0.58</x:v>
      </x:c>
      <x:c r="J48" s="199" t="n">
        <x:v>0.59</x:v>
      </x:c>
      <x:c r="K48" s="199" t="n">
        <x:v>0.6</x:v>
      </x:c>
      <x:c r="L48" s="191"/>
      <x:c r="M48" s="244" t="str">
        <x:v>30Y</x:v>
      </x:c>
      <x:c r="N48" s="199" t="n">
        <x:v>0.067</x:v>
      </x:c>
      <x:c r="O48" s="199" t="n">
        <x:v>0.069</x:v>
      </x:c>
      <x:c r="P48" s="199" t="n">
        <x:v>0.07100000000000001</x:v>
      </x:c>
      <x:c r="Q48" s="199" t="n">
        <x:v>0.07300000000000001</x:v>
      </x:c>
      <x:c r="R48" s="199" t="n">
        <x:v>0.075</x:v>
      </x:c>
      <x:c r="S48" s="199" t="n">
        <x:v>0.077</x:v>
      </x:c>
      <x:c r="T48" s="199" t="n">
        <x:v>0.079</x:v>
      </x:c>
      <x:c r="U48" s="199" t="n">
        <x:v>0.081</x:v>
      </x:c>
      <x:c r="V48" s="199" t="n">
        <x:v>0.083</x:v>
      </x:c>
      <x:c r="W48" s="199" t="n">
        <x:v>0.085</x:v>
      </x:c>
      <x:c r="X48" s="191"/>
      <x:c r="Y48" s="244" t="str">
        <x:v>30Y</x:v>
      </x:c>
      <x:c r="Z48" s="211" t="n">
        <x:f>B48+N48</x:f>
        <x:v>0.577</x:v>
      </x:c>
      <x:c r="AA48" s="211" t="n">
        <x:f>C48+O48</x:f>
        <x:v>0.589</x:v>
      </x:c>
      <x:c r="AB48" s="211" t="n">
        <x:f>D48+P48</x:f>
        <x:v>0.601</x:v>
      </x:c>
      <x:c r="AC48" s="211" t="n">
        <x:f>E48+Q48</x:f>
        <x:v>0.613</x:v>
      </x:c>
      <x:c r="AD48" s="211" t="n">
        <x:f>F48+R48</x:f>
        <x:v>0.625</x:v>
      </x:c>
      <x:c r="AE48" s="211" t="n">
        <x:f>G48+S48</x:f>
        <x:v>0.637</x:v>
      </x:c>
      <x:c r="AF48" s="211" t="n">
        <x:f>H48+T48</x:f>
        <x:v>0.649</x:v>
      </x:c>
      <x:c r="AG48" s="211" t="n">
        <x:f>I48+U48</x:f>
        <x:v>0.6609999999999999</x:v>
      </x:c>
      <x:c r="AH48" s="211" t="n">
        <x:f>J48+V48</x:f>
        <x:v>0.6729999999999999</x:v>
      </x:c>
      <x:c r="AI48" s="211" t="n">
        <x:f>K48+W48</x:f>
        <x:v>0.6849999999999999</x:v>
      </x:c>
      <x:c r="AJ48" s="191"/>
      <x:c r="AK48" s="223" t="str">
        <x:v>=gxlSABRSurfaceShift(NU_PriorSurface, "30Y_ExpiryRow", NU_ShockRow_10)</x:v>
      </x:c>
    </x:row>
    <x:row r="49">
      <x:c r="A49" s="191"/>
      <x:c r="B49" s="191"/>
      <x:c r="C49" s="191"/>
      <x:c r="D49" s="191"/>
      <x:c r="E49" s="191"/>
      <x:c r="F49" s="191"/>
      <x:c r="G49" s="191"/>
      <x:c r="H49" s="191"/>
      <x:c r="I49" s="191"/>
      <x:c r="J49" s="191"/>
      <x:c r="K49" s="191"/>
      <x:c r="L49" s="191"/>
      <x:c r="M49" s="191"/>
      <x:c r="N49" s="191"/>
      <x:c r="O49" s="191"/>
      <x:c r="P49" s="191"/>
      <x:c r="Q49" s="191"/>
      <x:c r="R49" s="191"/>
      <x:c r="S49" s="191"/>
      <x:c r="T49" s="191"/>
      <x:c r="U49" s="191"/>
      <x:c r="V49" s="191"/>
      <x:c r="W49" s="191"/>
      <x:c r="X49" s="191"/>
      <x:c r="Y49" s="191"/>
      <x:c r="Z49" s="191"/>
      <x:c r="AA49" s="191"/>
      <x:c r="AB49" s="191"/>
      <x:c r="AC49" s="191"/>
      <x:c r="AD49" s="191"/>
      <x:c r="AE49" s="191"/>
      <x:c r="AF49" s="191"/>
      <x:c r="AG49" s="191"/>
      <x:c r="AH49" s="191"/>
      <x:c r="AI49" s="191"/>
      <x:c r="AJ49" s="191"/>
      <x:c r="AK49" s="191"/>
    </x:row>
    <x:row r="50">
      <x:c r="A50" s="191"/>
      <x:c r="B50" s="191"/>
      <x:c r="C50" s="191"/>
      <x:c r="D50" s="191"/>
      <x:c r="E50" s="191"/>
      <x:c r="F50" s="191"/>
      <x:c r="G50" s="191"/>
      <x:c r="H50" s="191"/>
      <x:c r="I50" s="191"/>
      <x:c r="J50" s="191"/>
      <x:c r="K50" s="191"/>
      <x:c r="L50" s="191"/>
      <x:c r="M50" s="191"/>
      <x:c r="N50" s="191"/>
      <x:c r="O50" s="191"/>
      <x:c r="P50" s="191"/>
      <x:c r="Q50" s="191"/>
      <x:c r="R50" s="191"/>
      <x:c r="S50" s="191"/>
      <x:c r="T50" s="191"/>
      <x:c r="U50" s="191"/>
      <x:c r="V50" s="191"/>
      <x:c r="W50" s="191"/>
      <x:c r="X50" s="191"/>
      <x:c r="Y50" s="191"/>
      <x:c r="Z50" s="191"/>
      <x:c r="AA50" s="191"/>
      <x:c r="AB50" s="191"/>
      <x:c r="AC50" s="191"/>
      <x:c r="AD50" s="191"/>
      <x:c r="AE50" s="191"/>
      <x:c r="AF50" s="191"/>
      <x:c r="AG50" s="191"/>
      <x:c r="AH50" s="191"/>
      <x:c r="AI50" s="191"/>
      <x:c r="AJ50" s="191"/>
      <x:c r="AK50" s="191"/>
    </x:row>
    <x:row r="51">
      <x:c r="A51" s="191"/>
      <x:c r="B51" s="191"/>
      <x:c r="C51" s="191"/>
      <x:c r="D51" s="191"/>
      <x:c r="E51" s="191"/>
      <x:c r="F51" s="191"/>
      <x:c r="G51" s="191"/>
      <x:c r="H51" s="191"/>
      <x:c r="I51" s="191"/>
      <x:c r="J51" s="191"/>
      <x:c r="K51" s="191"/>
      <x:c r="L51" s="191"/>
      <x:c r="M51" s="191"/>
      <x:c r="N51" s="191"/>
      <x:c r="O51" s="191"/>
      <x:c r="P51" s="191"/>
      <x:c r="Q51" s="191"/>
      <x:c r="R51" s="191"/>
      <x:c r="S51" s="191"/>
      <x:c r="T51" s="191"/>
      <x:c r="U51" s="191"/>
      <x:c r="V51" s="191"/>
      <x:c r="W51" s="191"/>
      <x:c r="X51" s="191"/>
      <x:c r="Y51" s="191"/>
      <x:c r="Z51" s="191"/>
      <x:c r="AA51" s="191"/>
      <x:c r="AB51" s="191"/>
      <x:c r="AC51" s="191"/>
      <x:c r="AD51" s="191"/>
      <x:c r="AE51" s="191"/>
      <x:c r="AF51" s="191"/>
      <x:c r="AG51" s="191"/>
      <x:c r="AH51" s="191"/>
      <x:c r="AI51" s="191"/>
      <x:c r="AJ51" s="191"/>
      <x:c r="AK51" s="191"/>
    </x:row>
    <x:row r="52">
      <x:c r="A52" s="191"/>
      <x:c r="B52" s="191"/>
      <x:c r="C52" s="191"/>
      <x:c r="D52" s="191"/>
      <x:c r="E52" s="191"/>
      <x:c r="F52" s="191"/>
      <x:c r="G52" s="191"/>
      <x:c r="H52" s="191"/>
      <x:c r="I52" s="191"/>
      <x:c r="J52" s="191"/>
      <x:c r="K52" s="191"/>
      <x:c r="L52" s="191"/>
      <x:c r="M52" s="191"/>
      <x:c r="N52" s="191"/>
      <x:c r="O52" s="191"/>
      <x:c r="P52" s="191"/>
      <x:c r="Q52" s="191"/>
      <x:c r="R52" s="191"/>
      <x:c r="S52" s="191"/>
      <x:c r="T52" s="191"/>
      <x:c r="U52" s="191"/>
      <x:c r="V52" s="191"/>
      <x:c r="W52" s="191"/>
      <x:c r="X52" s="191"/>
      <x:c r="Y52" s="191"/>
      <x:c r="Z52" s="191"/>
      <x:c r="AA52" s="191"/>
      <x:c r="AB52" s="191"/>
      <x:c r="AC52" s="191"/>
      <x:c r="AD52" s="191"/>
      <x:c r="AE52" s="191"/>
      <x:c r="AF52" s="191"/>
      <x:c r="AG52" s="191"/>
      <x:c r="AH52" s="191"/>
      <x:c r="AI52" s="191"/>
      <x:c r="AJ52" s="191"/>
      <x:c r="AK52" s="191"/>
    </x:row>
    <x:row r="53" ht="22" customHeight="1">
      <x:c r="A53" s="21" t="str">
        <x:v>Final combined shocked volatility surface</x:v>
      </x:c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  <x:c r="AA53" s="21"/>
      <x:c r="AB53" s="21"/>
      <x:c r="AC53" s="21"/>
      <x:c r="AD53" s="21"/>
      <x:c r="AE53" s="21"/>
      <x:c r="AF53" s="21"/>
      <x:c r="AG53" s="21"/>
      <x:c r="AH53" s="21"/>
      <x:c r="AI53" s="21"/>
      <x:c r="AJ53" s="21"/>
      <x:c r="AK53" s="21"/>
    </x:row>
    <x:row r="54">
      <x:c r="A54" s="146" t="str">
        <x:v>=gxlBuildSABRSurface(ATM_Shocked_Step10, RHO_Shocked_Step10, NU_Shocked_Step10)</x:v>
      </x:c>
      <x:c r="B54" s="146"/>
      <x:c r="C54" s="146"/>
      <x:c r="D54" s="146"/>
      <x:c r="E54" s="146"/>
      <x:c r="F54" s="146"/>
      <x:c r="G54" s="146"/>
      <x:c r="H54" s="146"/>
      <x:c r="I54" s="146"/>
      <x:c r="J54" s="146"/>
      <x:c r="K54" s="146"/>
      <x:c r="L54" s="146"/>
      <x:c r="M54" s="146"/>
      <x:c r="N54" s="146"/>
      <x:c r="O54" s="146"/>
      <x:c r="P54" s="146"/>
      <x:c r="Q54" s="146"/>
      <x:c r="R54" s="146"/>
      <x:c r="S54" s="146"/>
      <x:c r="T54" s="146"/>
      <x:c r="U54" s="146"/>
      <x:c r="V54" s="146"/>
      <x:c r="W54" s="146"/>
      <x:c r="X54" s="146"/>
      <x:c r="Y54" s="146"/>
      <x:c r="Z54" s="146"/>
      <x:c r="AA54" s="146"/>
      <x:c r="AB54" s="146"/>
      <x:c r="AC54" s="146"/>
      <x:c r="AD54" s="146"/>
      <x:c r="AE54" s="146"/>
      <x:c r="AF54" s="146"/>
      <x:c r="AG54" s="146"/>
      <x:c r="AH54" s="146"/>
      <x:c r="AI54" s="146"/>
      <x:c r="AJ54" s="146"/>
      <x:c r="AK54" s="146"/>
    </x:row>
    <x:row r="55">
      <x:c r="A55" s="146"/>
      <x:c r="B55" s="146"/>
      <x:c r="C55" s="146"/>
      <x:c r="D55" s="146"/>
      <x:c r="E55" s="146"/>
      <x:c r="F55" s="146"/>
      <x:c r="G55" s="146"/>
      <x:c r="H55" s="146"/>
      <x:c r="I55" s="146"/>
      <x:c r="J55" s="146"/>
      <x:c r="K55" s="146"/>
      <x:c r="L55" s="146"/>
      <x:c r="M55" s="146"/>
      <x:c r="N55" s="146"/>
      <x:c r="O55" s="146"/>
      <x:c r="P55" s="146"/>
      <x:c r="Q55" s="146"/>
      <x:c r="R55" s="146"/>
      <x:c r="S55" s="146"/>
      <x:c r="T55" s="146"/>
      <x:c r="U55" s="146"/>
      <x:c r="V55" s="146"/>
      <x:c r="W55" s="146"/>
      <x:c r="X55" s="146"/>
      <x:c r="Y55" s="146"/>
      <x:c r="Z55" s="146"/>
      <x:c r="AA55" s="146"/>
      <x:c r="AB55" s="146"/>
      <x:c r="AC55" s="146"/>
      <x:c r="AD55" s="146"/>
      <x:c r="AE55" s="146"/>
      <x:c r="AF55" s="146"/>
      <x:c r="AG55" s="146"/>
      <x:c r="AH55" s="146"/>
      <x:c r="AI55" s="146"/>
      <x:c r="AJ55" s="146"/>
      <x:c r="AK55" s="146"/>
    </x:row>
    <x:row r="56">
      <x:c r="A56" s="146"/>
      <x:c r="B56" s="146"/>
      <x:c r="C56" s="146"/>
      <x:c r="D56" s="146"/>
      <x:c r="E56" s="146"/>
      <x:c r="F56" s="146"/>
      <x:c r="G56" s="146"/>
      <x:c r="H56" s="146"/>
      <x:c r="I56" s="146"/>
      <x:c r="J56" s="146"/>
      <x:c r="K56" s="146"/>
      <x:c r="L56" s="146"/>
      <x:c r="M56" s="146"/>
      <x:c r="N56" s="146"/>
      <x:c r="O56" s="146"/>
      <x:c r="P56" s="146"/>
      <x:c r="Q56" s="146"/>
      <x:c r="R56" s="146"/>
      <x:c r="S56" s="146"/>
      <x:c r="T56" s="146"/>
      <x:c r="U56" s="146"/>
      <x:c r="V56" s="146"/>
      <x:c r="W56" s="146"/>
      <x:c r="X56" s="146"/>
      <x:c r="Y56" s="146"/>
      <x:c r="Z56" s="146"/>
      <x:c r="AA56" s="146"/>
      <x:c r="AB56" s="146"/>
      <x:c r="AC56" s="146"/>
      <x:c r="AD56" s="146"/>
      <x:c r="AE56" s="146"/>
      <x:c r="AF56" s="146"/>
      <x:c r="AG56" s="146"/>
      <x:c r="AH56" s="146"/>
      <x:c r="AI56" s="146"/>
      <x:c r="AJ56" s="146"/>
      <x:c r="AK56" s="146"/>
    </x:row>
    <x:row r="57">
      <x:c r="A57" s="191"/>
      <x:c r="B57" s="191"/>
      <x:c r="C57" s="191"/>
      <x:c r="D57" s="191"/>
      <x:c r="E57" s="191"/>
      <x:c r="F57" s="191"/>
      <x:c r="G57" s="191"/>
      <x:c r="H57" s="191"/>
      <x:c r="I57" s="191"/>
      <x:c r="J57" s="191"/>
      <x:c r="K57" s="191"/>
      <x:c r="L57" s="191"/>
      <x:c r="M57" s="191"/>
      <x:c r="N57" s="191"/>
      <x:c r="O57" s="191"/>
      <x:c r="P57" s="191"/>
      <x:c r="Q57" s="191"/>
      <x:c r="R57" s="191"/>
      <x:c r="S57" s="191"/>
      <x:c r="T57" s="191"/>
      <x:c r="U57" s="191"/>
      <x:c r="V57" s="191"/>
      <x:c r="W57" s="191"/>
      <x:c r="X57" s="191"/>
      <x:c r="Y57" s="191"/>
      <x:c r="Z57" s="191"/>
      <x:c r="AA57" s="191"/>
      <x:c r="AB57" s="191"/>
      <x:c r="AC57" s="191"/>
      <x:c r="AD57" s="191"/>
      <x:c r="AE57" s="191"/>
      <x:c r="AF57" s="191"/>
      <x:c r="AG57" s="191"/>
      <x:c r="AH57" s="191"/>
      <x:c r="AI57" s="191"/>
      <x:c r="AJ57" s="191"/>
      <x:c r="AK57" s="191"/>
    </x:row>
    <x:row r="58">
      <x:c r="A58" s="191"/>
      <x:c r="B58" s="191"/>
      <x:c r="C58" s="191"/>
      <x:c r="D58" s="191"/>
      <x:c r="E58" s="191"/>
      <x:c r="F58" s="191"/>
      <x:c r="G58" s="191"/>
      <x:c r="H58" s="191"/>
      <x:c r="I58" s="191"/>
      <x:c r="J58" s="191"/>
      <x:c r="K58" s="191"/>
      <x:c r="L58" s="191"/>
      <x:c r="M58" s="191"/>
      <x:c r="N58" s="191"/>
      <x:c r="O58" s="191"/>
      <x:c r="P58" s="191"/>
      <x:c r="Q58" s="191"/>
      <x:c r="R58" s="191"/>
      <x:c r="S58" s="191"/>
      <x:c r="T58" s="191"/>
      <x:c r="U58" s="191"/>
      <x:c r="V58" s="191"/>
      <x:c r="W58" s="191"/>
      <x:c r="X58" s="191"/>
      <x:c r="Y58" s="191"/>
      <x:c r="Z58" s="191"/>
      <x:c r="AA58" s="191"/>
      <x:c r="AB58" s="191"/>
      <x:c r="AC58" s="191"/>
      <x:c r="AD58" s="191"/>
      <x:c r="AE58" s="191"/>
      <x:c r="AF58" s="191"/>
      <x:c r="AG58" s="191"/>
      <x:c r="AH58" s="191"/>
      <x:c r="AI58" s="191"/>
      <x:c r="AJ58" s="191"/>
      <x:c r="AK58" s="191"/>
    </x:row>
    <x:row r="59">
      <x:c r="A59" s="191"/>
      <x:c r="B59" s="191"/>
      <x:c r="C59" s="191"/>
      <x:c r="D59" s="191"/>
      <x:c r="E59" s="191"/>
      <x:c r="F59" s="191"/>
      <x:c r="G59" s="191"/>
      <x:c r="H59" s="191"/>
      <x:c r="I59" s="191"/>
      <x:c r="J59" s="191"/>
      <x:c r="K59" s="191"/>
      <x:c r="L59" s="191"/>
      <x:c r="M59" s="191"/>
      <x:c r="N59" s="191"/>
      <x:c r="O59" s="191"/>
      <x:c r="P59" s="191"/>
      <x:c r="Q59" s="191"/>
      <x:c r="R59" s="191"/>
      <x:c r="S59" s="191"/>
      <x:c r="T59" s="191"/>
      <x:c r="U59" s="191"/>
      <x:c r="V59" s="191"/>
      <x:c r="W59" s="191"/>
      <x:c r="X59" s="191"/>
      <x:c r="Y59" s="191"/>
      <x:c r="Z59" s="191"/>
      <x:c r="AA59" s="191"/>
      <x:c r="AB59" s="191"/>
      <x:c r="AC59" s="191"/>
      <x:c r="AD59" s="191"/>
      <x:c r="AE59" s="191"/>
      <x:c r="AF59" s="191"/>
      <x:c r="AG59" s="191"/>
      <x:c r="AH59" s="191"/>
      <x:c r="AI59" s="191"/>
      <x:c r="AJ59" s="191"/>
      <x:c r="AK59" s="191"/>
    </x:row>
    <x:row r="60">
      <x:c r="A60" s="191"/>
      <x:c r="B60" s="191"/>
      <x:c r="C60" s="191"/>
      <x:c r="D60" s="191"/>
      <x:c r="E60" s="191"/>
      <x:c r="F60" s="191"/>
      <x:c r="G60" s="191"/>
      <x:c r="H60" s="191"/>
      <x:c r="I60" s="191"/>
      <x:c r="J60" s="191"/>
      <x:c r="K60" s="191"/>
      <x:c r="L60" s="191"/>
      <x:c r="M60" s="191"/>
      <x:c r="N60" s="191"/>
      <x:c r="O60" s="191"/>
      <x:c r="P60" s="191"/>
      <x:c r="Q60" s="191"/>
      <x:c r="R60" s="191"/>
      <x:c r="S60" s="191"/>
      <x:c r="T60" s="191"/>
      <x:c r="U60" s="191"/>
      <x:c r="V60" s="191"/>
      <x:c r="W60" s="191"/>
      <x:c r="X60" s="191"/>
      <x:c r="Y60" s="191"/>
      <x:c r="Z60" s="191"/>
      <x:c r="AA60" s="191"/>
      <x:c r="AB60" s="191"/>
      <x:c r="AC60" s="191"/>
      <x:c r="AD60" s="191"/>
      <x:c r="AE60" s="191"/>
      <x:c r="AF60" s="191"/>
      <x:c r="AG60" s="191"/>
      <x:c r="AH60" s="191"/>
      <x:c r="AI60" s="191"/>
      <x:c r="AJ60" s="191"/>
      <x:c r="AK60" s="191"/>
    </x:row>
    <x:row r="61">
      <x:c r="A61" s="191"/>
      <x:c r="B61" s="191"/>
      <x:c r="C61" s="191"/>
      <x:c r="D61" s="191"/>
      <x:c r="E61" s="191"/>
      <x:c r="F61" s="191"/>
      <x:c r="G61" s="191"/>
      <x:c r="H61" s="191"/>
      <x:c r="I61" s="191"/>
      <x:c r="J61" s="191"/>
      <x:c r="K61" s="191"/>
      <x:c r="L61" s="191"/>
      <x:c r="M61" s="191"/>
      <x:c r="N61" s="191"/>
      <x:c r="O61" s="191"/>
      <x:c r="P61" s="191"/>
      <x:c r="Q61" s="191"/>
      <x:c r="R61" s="191"/>
      <x:c r="S61" s="191"/>
      <x:c r="T61" s="191"/>
      <x:c r="U61" s="191"/>
      <x:c r="V61" s="191"/>
      <x:c r="W61" s="191"/>
      <x:c r="X61" s="191"/>
      <x:c r="Y61" s="191"/>
      <x:c r="Z61" s="191"/>
      <x:c r="AA61" s="191"/>
      <x:c r="AB61" s="191"/>
      <x:c r="AC61" s="191"/>
      <x:c r="AD61" s="191"/>
      <x:c r="AE61" s="191"/>
      <x:c r="AF61" s="191"/>
      <x:c r="AG61" s="191"/>
      <x:c r="AH61" s="191"/>
      <x:c r="AI61" s="191"/>
      <x:c r="AJ61" s="191"/>
      <x:c r="AK61" s="191"/>
    </x:row>
    <x:row r="62">
      <x:c r="A62" s="191"/>
      <x:c r="B62" s="191"/>
      <x:c r="C62" s="191"/>
      <x:c r="D62" s="191"/>
      <x:c r="E62" s="191"/>
      <x:c r="F62" s="191"/>
      <x:c r="G62" s="191"/>
      <x:c r="H62" s="191"/>
      <x:c r="I62" s="191"/>
      <x:c r="J62" s="191"/>
      <x:c r="K62" s="191"/>
      <x:c r="L62" s="191"/>
      <x:c r="M62" s="191"/>
      <x:c r="N62" s="191"/>
      <x:c r="O62" s="191"/>
      <x:c r="P62" s="191"/>
      <x:c r="Q62" s="191"/>
      <x:c r="R62" s="191"/>
      <x:c r="S62" s="191"/>
      <x:c r="T62" s="191"/>
      <x:c r="U62" s="191"/>
      <x:c r="V62" s="191"/>
      <x:c r="W62" s="191"/>
      <x:c r="X62" s="191"/>
      <x:c r="Y62" s="191"/>
      <x:c r="Z62" s="191"/>
      <x:c r="AA62" s="191"/>
      <x:c r="AB62" s="191"/>
      <x:c r="AC62" s="191"/>
      <x:c r="AD62" s="191"/>
      <x:c r="AE62" s="191"/>
      <x:c r="AF62" s="191"/>
      <x:c r="AG62" s="191"/>
      <x:c r="AH62" s="191"/>
      <x:c r="AI62" s="191"/>
      <x:c r="AJ62" s="191"/>
      <x:c r="AK62" s="191"/>
    </x:row>
    <x:row r="63">
      <x:c r="A63" s="191"/>
      <x:c r="B63" s="191"/>
      <x:c r="C63" s="191"/>
      <x:c r="D63" s="191"/>
      <x:c r="E63" s="191"/>
      <x:c r="F63" s="191"/>
      <x:c r="G63" s="191"/>
      <x:c r="H63" s="191"/>
      <x:c r="I63" s="191"/>
      <x:c r="J63" s="191"/>
      <x:c r="K63" s="191"/>
      <x:c r="L63" s="191"/>
      <x:c r="M63" s="191"/>
      <x:c r="N63" s="191"/>
      <x:c r="O63" s="191"/>
      <x:c r="P63" s="191"/>
      <x:c r="Q63" s="191"/>
      <x:c r="R63" s="191"/>
      <x:c r="S63" s="191"/>
      <x:c r="T63" s="191"/>
      <x:c r="U63" s="191"/>
      <x:c r="V63" s="191"/>
      <x:c r="W63" s="191"/>
      <x:c r="X63" s="191"/>
      <x:c r="Y63" s="191"/>
      <x:c r="Z63" s="191"/>
      <x:c r="AA63" s="191"/>
      <x:c r="AB63" s="191"/>
      <x:c r="AC63" s="191"/>
      <x:c r="AD63" s="191"/>
      <x:c r="AE63" s="191"/>
      <x:c r="AF63" s="191"/>
      <x:c r="AG63" s="191"/>
      <x:c r="AH63" s="191"/>
      <x:c r="AI63" s="191"/>
      <x:c r="AJ63" s="191"/>
      <x:c r="AK63" s="191"/>
    </x:row>
    <x:row r="64">
      <x:c r="A64" s="191"/>
      <x:c r="B64" s="191"/>
      <x:c r="C64" s="191"/>
      <x:c r="D64" s="191"/>
      <x:c r="E64" s="191"/>
      <x:c r="F64" s="191"/>
      <x:c r="G64" s="191"/>
      <x:c r="H64" s="191"/>
      <x:c r="I64" s="191"/>
      <x:c r="J64" s="191"/>
      <x:c r="K64" s="191"/>
      <x:c r="L64" s="191"/>
      <x:c r="M64" s="191"/>
      <x:c r="N64" s="191"/>
      <x:c r="O64" s="191"/>
      <x:c r="P64" s="191"/>
      <x:c r="Q64" s="191"/>
      <x:c r="R64" s="191"/>
      <x:c r="S64" s="191"/>
      <x:c r="T64" s="191"/>
      <x:c r="U64" s="191"/>
      <x:c r="V64" s="191"/>
      <x:c r="W64" s="191"/>
      <x:c r="X64" s="191"/>
      <x:c r="Y64" s="191"/>
      <x:c r="Z64" s="191"/>
      <x:c r="AA64" s="191"/>
      <x:c r="AB64" s="191"/>
      <x:c r="AC64" s="191"/>
      <x:c r="AD64" s="191"/>
      <x:c r="AE64" s="191"/>
      <x:c r="AF64" s="191"/>
      <x:c r="AG64" s="191"/>
      <x:c r="AH64" s="191"/>
      <x:c r="AI64" s="191"/>
      <x:c r="AJ64" s="191"/>
      <x:c r="AK64" s="191"/>
    </x:row>
    <x:row r="65">
      <x:c r="A65" s="191"/>
      <x:c r="B65" s="191"/>
      <x:c r="C65" s="191"/>
      <x:c r="D65" s="191"/>
      <x:c r="E65" s="191"/>
      <x:c r="F65" s="191"/>
      <x:c r="G65" s="191"/>
      <x:c r="H65" s="191"/>
      <x:c r="I65" s="191"/>
      <x:c r="J65" s="191"/>
      <x:c r="K65" s="191"/>
      <x:c r="L65" s="191"/>
      <x:c r="M65" s="191"/>
      <x:c r="N65" s="191"/>
      <x:c r="O65" s="191"/>
      <x:c r="P65" s="191"/>
      <x:c r="Q65" s="191"/>
      <x:c r="R65" s="191"/>
      <x:c r="S65" s="191"/>
      <x:c r="T65" s="191"/>
      <x:c r="U65" s="191"/>
      <x:c r="V65" s="191"/>
      <x:c r="W65" s="191"/>
      <x:c r="X65" s="191"/>
      <x:c r="Y65" s="191"/>
      <x:c r="Z65" s="191"/>
      <x:c r="AA65" s="191"/>
      <x:c r="AB65" s="191"/>
      <x:c r="AC65" s="191"/>
      <x:c r="AD65" s="191"/>
      <x:c r="AE65" s="191"/>
      <x:c r="AF65" s="191"/>
      <x:c r="AG65" s="191"/>
      <x:c r="AH65" s="191"/>
      <x:c r="AI65" s="191"/>
      <x:c r="AJ65" s="191"/>
      <x:c r="AK65" s="191"/>
    </x:row>
    <x:row r="66">
      <x:c r="A66" s="191"/>
      <x:c r="B66" s="191"/>
      <x:c r="C66" s="191"/>
      <x:c r="D66" s="191"/>
      <x:c r="E66" s="191"/>
      <x:c r="F66" s="191"/>
      <x:c r="G66" s="191"/>
      <x:c r="H66" s="191"/>
      <x:c r="I66" s="191"/>
      <x:c r="J66" s="191"/>
      <x:c r="K66" s="191"/>
      <x:c r="L66" s="191"/>
      <x:c r="M66" s="191"/>
      <x:c r="N66" s="191"/>
      <x:c r="O66" s="191"/>
      <x:c r="P66" s="191"/>
      <x:c r="Q66" s="191"/>
      <x:c r="R66" s="191"/>
      <x:c r="S66" s="191"/>
      <x:c r="T66" s="191"/>
      <x:c r="U66" s="191"/>
      <x:c r="V66" s="191"/>
      <x:c r="W66" s="191"/>
      <x:c r="X66" s="191"/>
      <x:c r="Y66" s="191"/>
      <x:c r="Z66" s="191"/>
      <x:c r="AA66" s="191"/>
      <x:c r="AB66" s="191"/>
      <x:c r="AC66" s="191"/>
      <x:c r="AD66" s="191"/>
      <x:c r="AE66" s="191"/>
      <x:c r="AF66" s="191"/>
      <x:c r="AG66" s="191"/>
      <x:c r="AH66" s="191"/>
      <x:c r="AI66" s="191"/>
      <x:c r="AJ66" s="191"/>
      <x:c r="AK66" s="191"/>
    </x:row>
    <x:row r="67">
      <x:c r="A67" s="191"/>
      <x:c r="B67" s="191"/>
      <x:c r="C67" s="191"/>
      <x:c r="D67" s="191"/>
      <x:c r="E67" s="191"/>
      <x:c r="F67" s="191"/>
      <x:c r="G67" s="191"/>
      <x:c r="H67" s="191"/>
      <x:c r="I67" s="191"/>
      <x:c r="J67" s="191"/>
      <x:c r="K67" s="191"/>
      <x:c r="L67" s="191"/>
      <x:c r="M67" s="191"/>
      <x:c r="N67" s="191"/>
      <x:c r="O67" s="191"/>
      <x:c r="P67" s="191"/>
      <x:c r="Q67" s="191"/>
      <x:c r="R67" s="191"/>
      <x:c r="S67" s="191"/>
      <x:c r="T67" s="191"/>
      <x:c r="U67" s="191"/>
      <x:c r="V67" s="191"/>
      <x:c r="W67" s="191"/>
      <x:c r="X67" s="191"/>
      <x:c r="Y67" s="191"/>
      <x:c r="Z67" s="191"/>
      <x:c r="AA67" s="191"/>
      <x:c r="AB67" s="191"/>
      <x:c r="AC67" s="191"/>
      <x:c r="AD67" s="191"/>
      <x:c r="AE67" s="191"/>
      <x:c r="AF67" s="191"/>
      <x:c r="AG67" s="191"/>
      <x:c r="AH67" s="191"/>
      <x:c r="AI67" s="191"/>
      <x:c r="AJ67" s="191"/>
      <x:c r="AK67" s="191"/>
    </x:row>
    <x:row r="68">
      <x:c r="A68" s="191"/>
      <x:c r="B68" s="191"/>
      <x:c r="C68" s="191"/>
      <x:c r="D68" s="191"/>
      <x:c r="E68" s="191"/>
      <x:c r="F68" s="191"/>
      <x:c r="G68" s="191"/>
      <x:c r="H68" s="191"/>
      <x:c r="I68" s="191"/>
      <x:c r="J68" s="191"/>
      <x:c r="K68" s="191"/>
      <x:c r="L68" s="191"/>
      <x:c r="M68" s="191"/>
      <x:c r="N68" s="191"/>
      <x:c r="O68" s="191"/>
      <x:c r="P68" s="191"/>
      <x:c r="Q68" s="191"/>
      <x:c r="R68" s="191"/>
      <x:c r="S68" s="191"/>
      <x:c r="T68" s="191"/>
      <x:c r="U68" s="191"/>
      <x:c r="V68" s="191"/>
      <x:c r="W68" s="191"/>
      <x:c r="X68" s="191"/>
      <x:c r="Y68" s="191"/>
      <x:c r="Z68" s="191"/>
      <x:c r="AA68" s="191"/>
      <x:c r="AB68" s="191"/>
      <x:c r="AC68" s="191"/>
      <x:c r="AD68" s="191"/>
      <x:c r="AE68" s="191"/>
      <x:c r="AF68" s="191"/>
      <x:c r="AG68" s="191"/>
      <x:c r="AH68" s="191"/>
      <x:c r="AI68" s="191"/>
      <x:c r="AJ68" s="191"/>
      <x:c r="AK68" s="191"/>
    </x:row>
    <x:row r="69">
      <x:c r="A69" s="191"/>
      <x:c r="B69" s="191"/>
      <x:c r="C69" s="191"/>
      <x:c r="D69" s="191"/>
      <x:c r="E69" s="191"/>
      <x:c r="F69" s="191"/>
      <x:c r="G69" s="191"/>
      <x:c r="H69" s="191"/>
      <x:c r="I69" s="191"/>
      <x:c r="J69" s="191"/>
      <x:c r="K69" s="191"/>
      <x:c r="L69" s="191"/>
      <x:c r="M69" s="191"/>
      <x:c r="N69" s="191"/>
      <x:c r="O69" s="191"/>
      <x:c r="P69" s="191"/>
      <x:c r="Q69" s="191"/>
      <x:c r="R69" s="191"/>
      <x:c r="S69" s="191"/>
      <x:c r="T69" s="191"/>
      <x:c r="U69" s="191"/>
      <x:c r="V69" s="191"/>
      <x:c r="W69" s="191"/>
      <x:c r="X69" s="191"/>
      <x:c r="Y69" s="191"/>
      <x:c r="Z69" s="191"/>
      <x:c r="AA69" s="191"/>
      <x:c r="AB69" s="191"/>
      <x:c r="AC69" s="191"/>
      <x:c r="AD69" s="191"/>
      <x:c r="AE69" s="191"/>
      <x:c r="AF69" s="191"/>
      <x:c r="AG69" s="191"/>
      <x:c r="AH69" s="191"/>
      <x:c r="AI69" s="191"/>
      <x:c r="AJ69" s="191"/>
      <x:c r="AK69" s="191"/>
    </x:row>
    <x:row r="70">
      <x:c r="A70" s="191"/>
      <x:c r="B70" s="191"/>
      <x:c r="C70" s="191"/>
      <x:c r="D70" s="191"/>
      <x:c r="E70" s="191"/>
      <x:c r="F70" s="191"/>
      <x:c r="G70" s="191"/>
      <x:c r="H70" s="191"/>
      <x:c r="I70" s="191"/>
      <x:c r="J70" s="191"/>
      <x:c r="K70" s="191"/>
      <x:c r="L70" s="191"/>
      <x:c r="M70" s="191"/>
      <x:c r="N70" s="191"/>
      <x:c r="O70" s="191"/>
      <x:c r="P70" s="191"/>
      <x:c r="Q70" s="191"/>
      <x:c r="R70" s="191"/>
      <x:c r="S70" s="191"/>
      <x:c r="T70" s="191"/>
      <x:c r="U70" s="191"/>
      <x:c r="V70" s="191"/>
      <x:c r="W70" s="191"/>
      <x:c r="X70" s="191"/>
      <x:c r="Y70" s="191"/>
      <x:c r="Z70" s="191"/>
      <x:c r="AA70" s="191"/>
      <x:c r="AB70" s="191"/>
      <x:c r="AC70" s="191"/>
      <x:c r="AD70" s="191"/>
      <x:c r="AE70" s="191"/>
      <x:c r="AF70" s="191"/>
      <x:c r="AG70" s="191"/>
      <x:c r="AH70" s="191"/>
      <x:c r="AI70" s="191"/>
      <x:c r="AJ70" s="191"/>
      <x:c r="AK70" s="191"/>
    </x:row>
    <x:row r="71">
      <x:c r="A71" s="191"/>
      <x:c r="B71" s="191"/>
      <x:c r="C71" s="191"/>
      <x:c r="D71" s="191"/>
      <x:c r="E71" s="191"/>
      <x:c r="F71" s="191"/>
      <x:c r="G71" s="191"/>
      <x:c r="H71" s="191"/>
      <x:c r="I71" s="191"/>
      <x:c r="J71" s="191"/>
      <x:c r="K71" s="191"/>
      <x:c r="L71" s="191"/>
      <x:c r="M71" s="191"/>
      <x:c r="N71" s="191"/>
      <x:c r="O71" s="191"/>
      <x:c r="P71" s="191"/>
      <x:c r="Q71" s="191"/>
      <x:c r="R71" s="191"/>
      <x:c r="S71" s="191"/>
      <x:c r="T71" s="191"/>
      <x:c r="U71" s="191"/>
      <x:c r="V71" s="191"/>
      <x:c r="W71" s="191"/>
      <x:c r="X71" s="191"/>
      <x:c r="Y71" s="191"/>
      <x:c r="Z71" s="191"/>
      <x:c r="AA71" s="191"/>
      <x:c r="AB71" s="191"/>
      <x:c r="AC71" s="191"/>
      <x:c r="AD71" s="191"/>
      <x:c r="AE71" s="191"/>
      <x:c r="AF71" s="191"/>
      <x:c r="AG71" s="191"/>
      <x:c r="AH71" s="191"/>
      <x:c r="AI71" s="191"/>
      <x:c r="AJ71" s="191"/>
      <x:c r="AK71" s="191"/>
    </x:row>
    <x:row r="72">
      <x:c r="A72" s="191"/>
      <x:c r="B72" s="191"/>
      <x:c r="C72" s="191"/>
      <x:c r="D72" s="191"/>
      <x:c r="E72" s="191"/>
      <x:c r="F72" s="191"/>
      <x:c r="G72" s="191"/>
      <x:c r="H72" s="191"/>
      <x:c r="I72" s="191"/>
      <x:c r="J72" s="191"/>
      <x:c r="K72" s="191"/>
      <x:c r="L72" s="191"/>
      <x:c r="M72" s="191"/>
      <x:c r="N72" s="191"/>
      <x:c r="O72" s="191"/>
      <x:c r="P72" s="191"/>
      <x:c r="Q72" s="191"/>
      <x:c r="R72" s="191"/>
      <x:c r="S72" s="191"/>
      <x:c r="T72" s="191"/>
      <x:c r="U72" s="191"/>
      <x:c r="V72" s="191"/>
      <x:c r="W72" s="191"/>
      <x:c r="X72" s="191"/>
      <x:c r="Y72" s="191"/>
      <x:c r="Z72" s="191"/>
      <x:c r="AA72" s="191"/>
      <x:c r="AB72" s="191"/>
      <x:c r="AC72" s="191"/>
      <x:c r="AD72" s="191"/>
      <x:c r="AE72" s="191"/>
      <x:c r="AF72" s="191"/>
      <x:c r="AG72" s="191"/>
      <x:c r="AH72" s="191"/>
      <x:c r="AI72" s="191"/>
      <x:c r="AJ72" s="191"/>
      <x:c r="AK72" s="191"/>
    </x:row>
    <x:row r="73">
      <x:c r="A73" s="191"/>
      <x:c r="B73" s="191"/>
      <x:c r="C73" s="191"/>
      <x:c r="D73" s="191"/>
      <x:c r="E73" s="191"/>
      <x:c r="F73" s="191"/>
      <x:c r="G73" s="191"/>
      <x:c r="H73" s="191"/>
      <x:c r="I73" s="191"/>
      <x:c r="J73" s="191"/>
      <x:c r="K73" s="191"/>
      <x:c r="L73" s="191"/>
      <x:c r="M73" s="191"/>
      <x:c r="N73" s="191"/>
      <x:c r="O73" s="191"/>
      <x:c r="P73" s="191"/>
      <x:c r="Q73" s="191"/>
      <x:c r="R73" s="191"/>
      <x:c r="S73" s="191"/>
      <x:c r="T73" s="191"/>
      <x:c r="U73" s="191"/>
      <x:c r="V73" s="191"/>
      <x:c r="W73" s="191"/>
      <x:c r="X73" s="191"/>
      <x:c r="Y73" s="191"/>
      <x:c r="Z73" s="191"/>
      <x:c r="AA73" s="191"/>
      <x:c r="AB73" s="191"/>
      <x:c r="AC73" s="191"/>
      <x:c r="AD73" s="191"/>
      <x:c r="AE73" s="191"/>
      <x:c r="AF73" s="191"/>
      <x:c r="AG73" s="191"/>
      <x:c r="AH73" s="191"/>
      <x:c r="AI73" s="191"/>
      <x:c r="AJ73" s="191"/>
      <x:c r="AK73" s="191"/>
    </x:row>
    <x:row r="74">
      <x:c r="A74" s="191"/>
      <x:c r="B74" s="191"/>
      <x:c r="C74" s="191"/>
      <x:c r="D74" s="191"/>
      <x:c r="E74" s="191"/>
      <x:c r="F74" s="191"/>
      <x:c r="G74" s="191"/>
      <x:c r="H74" s="191"/>
      <x:c r="I74" s="191"/>
      <x:c r="J74" s="191"/>
      <x:c r="K74" s="191"/>
      <x:c r="L74" s="191"/>
      <x:c r="M74" s="191"/>
      <x:c r="N74" s="191"/>
      <x:c r="O74" s="191"/>
      <x:c r="P74" s="191"/>
      <x:c r="Q74" s="191"/>
      <x:c r="R74" s="191"/>
      <x:c r="S74" s="191"/>
      <x:c r="T74" s="191"/>
      <x:c r="U74" s="191"/>
      <x:c r="V74" s="191"/>
      <x:c r="W74" s="191"/>
      <x:c r="X74" s="191"/>
      <x:c r="Y74" s="191"/>
      <x:c r="Z74" s="191"/>
      <x:c r="AA74" s="191"/>
      <x:c r="AB74" s="191"/>
      <x:c r="AC74" s="191"/>
      <x:c r="AD74" s="191"/>
      <x:c r="AE74" s="191"/>
      <x:c r="AF74" s="191"/>
      <x:c r="AG74" s="191"/>
      <x:c r="AH74" s="191"/>
      <x:c r="AI74" s="191"/>
      <x:c r="AJ74" s="191"/>
      <x:c r="AK74" s="191"/>
    </x:row>
    <x:row r="75">
      <x:c r="A75" s="191"/>
      <x:c r="B75" s="191"/>
      <x:c r="C75" s="191"/>
      <x:c r="D75" s="191"/>
      <x:c r="E75" s="191"/>
      <x:c r="F75" s="191"/>
      <x:c r="G75" s="191"/>
      <x:c r="H75" s="191"/>
      <x:c r="I75" s="191"/>
      <x:c r="J75" s="191"/>
      <x:c r="K75" s="191"/>
      <x:c r="L75" s="191"/>
      <x:c r="M75" s="191"/>
      <x:c r="N75" s="191"/>
      <x:c r="O75" s="191"/>
      <x:c r="P75" s="191"/>
      <x:c r="Q75" s="191"/>
      <x:c r="R75" s="191"/>
      <x:c r="S75" s="191"/>
      <x:c r="T75" s="191"/>
      <x:c r="U75" s="191"/>
      <x:c r="V75" s="191"/>
      <x:c r="W75" s="191"/>
      <x:c r="X75" s="191"/>
      <x:c r="Y75" s="191"/>
      <x:c r="Z75" s="191"/>
      <x:c r="AA75" s="191"/>
      <x:c r="AB75" s="191"/>
      <x:c r="AC75" s="191"/>
      <x:c r="AD75" s="191"/>
      <x:c r="AE75" s="191"/>
      <x:c r="AF75" s="191"/>
      <x:c r="AG75" s="191"/>
      <x:c r="AH75" s="191"/>
      <x:c r="AI75" s="191"/>
      <x:c r="AJ75" s="191"/>
      <x:c r="AK75" s="191"/>
    </x:row>
    <x:row r="76">
      <x:c r="A76" s="191"/>
      <x:c r="B76" s="191"/>
      <x:c r="C76" s="191"/>
      <x:c r="D76" s="191"/>
      <x:c r="E76" s="191"/>
      <x:c r="F76" s="191"/>
      <x:c r="G76" s="191"/>
      <x:c r="H76" s="191"/>
      <x:c r="I76" s="191"/>
      <x:c r="J76" s="191"/>
      <x:c r="K76" s="191"/>
      <x:c r="L76" s="191"/>
      <x:c r="M76" s="191"/>
      <x:c r="N76" s="191"/>
      <x:c r="O76" s="191"/>
      <x:c r="P76" s="191"/>
      <x:c r="Q76" s="191"/>
      <x:c r="R76" s="191"/>
      <x:c r="S76" s="191"/>
      <x:c r="T76" s="191"/>
      <x:c r="U76" s="191"/>
      <x:c r="V76" s="191"/>
      <x:c r="W76" s="191"/>
      <x:c r="X76" s="191"/>
      <x:c r="Y76" s="191"/>
      <x:c r="Z76" s="191"/>
      <x:c r="AA76" s="191"/>
      <x:c r="AB76" s="191"/>
      <x:c r="AC76" s="191"/>
      <x:c r="AD76" s="191"/>
      <x:c r="AE76" s="191"/>
      <x:c r="AF76" s="191"/>
      <x:c r="AG76" s="191"/>
      <x:c r="AH76" s="191"/>
      <x:c r="AI76" s="191"/>
      <x:c r="AJ76" s="191"/>
      <x:c r="AK76" s="191"/>
    </x:row>
    <x:row r="77">
      <x:c r="A77" s="191"/>
      <x:c r="B77" s="191"/>
      <x:c r="C77" s="191"/>
      <x:c r="D77" s="191"/>
      <x:c r="E77" s="191"/>
      <x:c r="F77" s="191"/>
      <x:c r="G77" s="191"/>
      <x:c r="H77" s="191"/>
      <x:c r="I77" s="191"/>
      <x:c r="J77" s="191"/>
      <x:c r="K77" s="191"/>
      <x:c r="L77" s="191"/>
      <x:c r="M77" s="191"/>
      <x:c r="N77" s="191"/>
      <x:c r="O77" s="191"/>
      <x:c r="P77" s="191"/>
      <x:c r="Q77" s="191"/>
      <x:c r="R77" s="191"/>
      <x:c r="S77" s="191"/>
      <x:c r="T77" s="191"/>
      <x:c r="U77" s="191"/>
      <x:c r="V77" s="191"/>
      <x:c r="W77" s="191"/>
      <x:c r="X77" s="191"/>
      <x:c r="Y77" s="191"/>
      <x:c r="Z77" s="191"/>
      <x:c r="AA77" s="191"/>
      <x:c r="AB77" s="191"/>
      <x:c r="AC77" s="191"/>
      <x:c r="AD77" s="191"/>
      <x:c r="AE77" s="191"/>
      <x:c r="AF77" s="191"/>
      <x:c r="AG77" s="191"/>
      <x:c r="AH77" s="191"/>
      <x:c r="AI77" s="191"/>
      <x:c r="AJ77" s="191"/>
      <x:c r="AK77" s="191"/>
    </x:row>
    <x:row r="78">
      <x:c r="A78" s="191"/>
      <x:c r="B78" s="191"/>
      <x:c r="C78" s="191"/>
      <x:c r="D78" s="191"/>
      <x:c r="E78" s="191"/>
      <x:c r="F78" s="191"/>
      <x:c r="G78" s="191"/>
      <x:c r="H78" s="191"/>
      <x:c r="I78" s="191"/>
      <x:c r="J78" s="191"/>
      <x:c r="K78" s="191"/>
      <x:c r="L78" s="191"/>
      <x:c r="M78" s="191"/>
      <x:c r="N78" s="191"/>
      <x:c r="O78" s="191"/>
      <x:c r="P78" s="191"/>
      <x:c r="Q78" s="191"/>
      <x:c r="R78" s="191"/>
      <x:c r="S78" s="191"/>
      <x:c r="T78" s="191"/>
      <x:c r="U78" s="191"/>
      <x:c r="V78" s="191"/>
      <x:c r="W78" s="191"/>
      <x:c r="X78" s="191"/>
      <x:c r="Y78" s="191"/>
      <x:c r="Z78" s="191"/>
      <x:c r="AA78" s="191"/>
      <x:c r="AB78" s="191"/>
      <x:c r="AC78" s="191"/>
      <x:c r="AD78" s="191"/>
      <x:c r="AE78" s="191"/>
      <x:c r="AF78" s="191"/>
      <x:c r="AG78" s="191"/>
      <x:c r="AH78" s="191"/>
      <x:c r="AI78" s="191"/>
      <x:c r="AJ78" s="191"/>
      <x:c r="AK78" s="191"/>
    </x:row>
    <x:row r="79">
      <x:c r="A79" s="191"/>
      <x:c r="B79" s="191"/>
      <x:c r="C79" s="191"/>
      <x:c r="D79" s="191"/>
      <x:c r="E79" s="191"/>
      <x:c r="F79" s="191"/>
      <x:c r="G79" s="191"/>
      <x:c r="H79" s="191"/>
      <x:c r="I79" s="191"/>
      <x:c r="J79" s="191"/>
      <x:c r="K79" s="191"/>
      <x:c r="L79" s="191"/>
      <x:c r="M79" s="191"/>
      <x:c r="N79" s="191"/>
      <x:c r="O79" s="191"/>
      <x:c r="P79" s="191"/>
      <x:c r="Q79" s="191"/>
      <x:c r="R79" s="191"/>
      <x:c r="S79" s="191"/>
      <x:c r="T79" s="191"/>
      <x:c r="U79" s="191"/>
      <x:c r="V79" s="191"/>
      <x:c r="W79" s="191"/>
      <x:c r="X79" s="191"/>
      <x:c r="Y79" s="191"/>
      <x:c r="Z79" s="191"/>
      <x:c r="AA79" s="191"/>
      <x:c r="AB79" s="191"/>
      <x:c r="AC79" s="191"/>
      <x:c r="AD79" s="191"/>
      <x:c r="AE79" s="191"/>
      <x:c r="AF79" s="191"/>
      <x:c r="AG79" s="191"/>
      <x:c r="AH79" s="191"/>
      <x:c r="AI79" s="191"/>
      <x:c r="AJ79" s="191"/>
      <x:c r="AK79" s="191"/>
    </x:row>
    <x:row r="80">
      <x:c r="A80" s="191"/>
      <x:c r="B80" s="191"/>
      <x:c r="C80" s="191"/>
      <x:c r="D80" s="191"/>
      <x:c r="E80" s="191"/>
      <x:c r="F80" s="191"/>
      <x:c r="G80" s="191"/>
      <x:c r="H80" s="191"/>
      <x:c r="I80" s="191"/>
      <x:c r="J80" s="191"/>
      <x:c r="K80" s="191"/>
      <x:c r="L80" s="191"/>
      <x:c r="M80" s="191"/>
      <x:c r="N80" s="191"/>
      <x:c r="O80" s="191"/>
      <x:c r="P80" s="191"/>
      <x:c r="Q80" s="191"/>
      <x:c r="R80" s="191"/>
      <x:c r="S80" s="191"/>
      <x:c r="T80" s="191"/>
      <x:c r="U80" s="191"/>
      <x:c r="V80" s="191"/>
      <x:c r="W80" s="191"/>
      <x:c r="X80" s="191"/>
      <x:c r="Y80" s="191"/>
      <x:c r="Z80" s="191"/>
      <x:c r="AA80" s="191"/>
      <x:c r="AB80" s="191"/>
      <x:c r="AC80" s="191"/>
      <x:c r="AD80" s="191"/>
      <x:c r="AE80" s="191"/>
      <x:c r="AF80" s="191"/>
      <x:c r="AG80" s="191"/>
      <x:c r="AH80" s="191"/>
      <x:c r="AI80" s="191"/>
      <x:c r="AJ80" s="191"/>
      <x:c r="AK80" s="191"/>
    </x:row>
    <x:row r="81">
      <x:c r="A81" s="191"/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  <x:c r="S81" s="191"/>
      <x:c r="T81" s="191"/>
      <x:c r="U81" s="191"/>
      <x:c r="V81" s="191"/>
      <x:c r="W81" s="191"/>
      <x:c r="X81" s="191"/>
      <x:c r="Y81" s="191"/>
      <x:c r="Z81" s="191"/>
      <x:c r="AA81" s="191"/>
      <x:c r="AB81" s="191"/>
      <x:c r="AC81" s="191"/>
      <x:c r="AD81" s="191"/>
      <x:c r="AE81" s="191"/>
      <x:c r="AF81" s="191"/>
      <x:c r="AG81" s="191"/>
      <x:c r="AH81" s="191"/>
      <x:c r="AI81" s="191"/>
      <x:c r="AJ81" s="191"/>
      <x:c r="AK81" s="191"/>
    </x:row>
    <x:row r="82">
      <x:c r="A82" s="191"/>
      <x:c r="B82" s="191"/>
      <x:c r="C82" s="191"/>
      <x:c r="D82" s="191"/>
      <x:c r="E82" s="191"/>
      <x:c r="F82" s="191"/>
      <x:c r="G82" s="191"/>
      <x:c r="H82" s="191"/>
      <x:c r="I82" s="191"/>
      <x:c r="J82" s="191"/>
      <x:c r="K82" s="191"/>
      <x:c r="L82" s="191"/>
      <x:c r="M82" s="191"/>
      <x:c r="N82" s="191"/>
      <x:c r="O82" s="191"/>
      <x:c r="P82" s="191"/>
      <x:c r="Q82" s="191"/>
      <x:c r="R82" s="191"/>
      <x:c r="S82" s="191"/>
      <x:c r="T82" s="191"/>
      <x:c r="U82" s="191"/>
      <x:c r="V82" s="191"/>
      <x:c r="W82" s="191"/>
      <x:c r="X82" s="191"/>
      <x:c r="Y82" s="191"/>
      <x:c r="Z82" s="191"/>
      <x:c r="AA82" s="191"/>
      <x:c r="AB82" s="191"/>
      <x:c r="AC82" s="191"/>
      <x:c r="AD82" s="191"/>
      <x:c r="AE82" s="191"/>
      <x:c r="AF82" s="191"/>
      <x:c r="AG82" s="191"/>
      <x:c r="AH82" s="191"/>
      <x:c r="AI82" s="191"/>
      <x:c r="AJ82" s="191"/>
      <x:c r="AK82" s="191"/>
    </x:row>
    <x:row r="83">
      <x:c r="A83" s="191"/>
      <x:c r="B83" s="191"/>
      <x:c r="C83" s="191"/>
      <x:c r="D83" s="191"/>
      <x:c r="E83" s="191"/>
      <x:c r="F83" s="191"/>
      <x:c r="G83" s="191"/>
      <x:c r="H83" s="191"/>
      <x:c r="I83" s="191"/>
      <x:c r="J83" s="191"/>
      <x:c r="K83" s="191"/>
      <x:c r="L83" s="191"/>
      <x:c r="M83" s="191"/>
      <x:c r="N83" s="191"/>
      <x:c r="O83" s="191"/>
      <x:c r="P83" s="191"/>
      <x:c r="Q83" s="191"/>
      <x:c r="R83" s="191"/>
      <x:c r="S83" s="191"/>
      <x:c r="T83" s="191"/>
      <x:c r="U83" s="191"/>
      <x:c r="V83" s="191"/>
      <x:c r="W83" s="191"/>
      <x:c r="X83" s="191"/>
      <x:c r="Y83" s="191"/>
      <x:c r="Z83" s="191"/>
      <x:c r="AA83" s="191"/>
      <x:c r="AB83" s="191"/>
      <x:c r="AC83" s="191"/>
      <x:c r="AD83" s="191"/>
      <x:c r="AE83" s="191"/>
      <x:c r="AF83" s="191"/>
      <x:c r="AG83" s="191"/>
      <x:c r="AH83" s="191"/>
      <x:c r="AI83" s="191"/>
      <x:c r="AJ83" s="191"/>
      <x:c r="AK83" s="191"/>
    </x:row>
    <x:row r="84">
      <x:c r="A84" s="191"/>
      <x:c r="B84" s="191"/>
      <x:c r="C84" s="191"/>
      <x:c r="D84" s="191"/>
      <x:c r="E84" s="191"/>
      <x:c r="F84" s="191"/>
      <x:c r="G84" s="191"/>
      <x:c r="H84" s="191"/>
      <x:c r="I84" s="191"/>
      <x:c r="J84" s="191"/>
      <x:c r="K84" s="191"/>
      <x:c r="L84" s="191"/>
      <x:c r="M84" s="191"/>
      <x:c r="N84" s="191"/>
      <x:c r="O84" s="191"/>
      <x:c r="P84" s="191"/>
      <x:c r="Q84" s="191"/>
      <x:c r="R84" s="191"/>
      <x:c r="S84" s="191"/>
      <x:c r="T84" s="191"/>
      <x:c r="U84" s="191"/>
      <x:c r="V84" s="191"/>
      <x:c r="W84" s="191"/>
      <x:c r="X84" s="191"/>
      <x:c r="Y84" s="191"/>
      <x:c r="Z84" s="191"/>
      <x:c r="AA84" s="191"/>
      <x:c r="AB84" s="191"/>
      <x:c r="AC84" s="191"/>
      <x:c r="AD84" s="191"/>
      <x:c r="AE84" s="191"/>
      <x:c r="AF84" s="191"/>
      <x:c r="AG84" s="191"/>
      <x:c r="AH84" s="191"/>
      <x:c r="AI84" s="191"/>
      <x:c r="AJ84" s="191"/>
      <x:c r="AK84" s="191"/>
    </x:row>
    <x:row r="85">
      <x:c r="A85" s="191"/>
      <x:c r="B85" s="191"/>
      <x:c r="C85" s="191"/>
      <x:c r="D85" s="191"/>
      <x:c r="E85" s="191"/>
      <x:c r="F85" s="191"/>
      <x:c r="G85" s="191"/>
      <x:c r="H85" s="191"/>
      <x:c r="I85" s="191"/>
      <x:c r="J85" s="191"/>
      <x:c r="K85" s="191"/>
      <x:c r="L85" s="191"/>
      <x:c r="M85" s="191"/>
      <x:c r="N85" s="191"/>
      <x:c r="O85" s="191"/>
      <x:c r="P85" s="191"/>
      <x:c r="Q85" s="191"/>
      <x:c r="R85" s="191"/>
      <x:c r="S85" s="191"/>
      <x:c r="T85" s="191"/>
      <x:c r="U85" s="191"/>
      <x:c r="V85" s="191"/>
      <x:c r="W85" s="191"/>
      <x:c r="X85" s="191"/>
      <x:c r="Y85" s="191"/>
      <x:c r="Z85" s="191"/>
      <x:c r="AA85" s="191"/>
      <x:c r="AB85" s="191"/>
      <x:c r="AC85" s="191"/>
      <x:c r="AD85" s="191"/>
      <x:c r="AE85" s="191"/>
      <x:c r="AF85" s="191"/>
      <x:c r="AG85" s="191"/>
      <x:c r="AH85" s="191"/>
      <x:c r="AI85" s="191"/>
      <x:c r="AJ85" s="191"/>
      <x:c r="AK85" s="191"/>
    </x:row>
    <x:row r="86">
      <x:c r="A86" s="191"/>
      <x:c r="B86" s="191"/>
      <x:c r="C86" s="191"/>
      <x:c r="D86" s="191"/>
      <x:c r="E86" s="191"/>
      <x:c r="F86" s="191"/>
      <x:c r="G86" s="191"/>
      <x:c r="H86" s="191"/>
      <x:c r="I86" s="191"/>
      <x:c r="J86" s="191"/>
      <x:c r="K86" s="191"/>
      <x:c r="L86" s="191"/>
      <x:c r="M86" s="191"/>
      <x:c r="N86" s="191"/>
      <x:c r="O86" s="191"/>
      <x:c r="P86" s="191"/>
      <x:c r="Q86" s="191"/>
      <x:c r="R86" s="191"/>
      <x:c r="S86" s="191"/>
      <x:c r="T86" s="191"/>
      <x:c r="U86" s="191"/>
      <x:c r="V86" s="191"/>
      <x:c r="W86" s="191"/>
      <x:c r="X86" s="191"/>
      <x:c r="Y86" s="191"/>
      <x:c r="Z86" s="191"/>
      <x:c r="AA86" s="191"/>
      <x:c r="AB86" s="191"/>
      <x:c r="AC86" s="191"/>
      <x:c r="AD86" s="191"/>
      <x:c r="AE86" s="191"/>
      <x:c r="AF86" s="191"/>
      <x:c r="AG86" s="191"/>
      <x:c r="AH86" s="191"/>
      <x:c r="AI86" s="191"/>
      <x:c r="AJ86" s="191"/>
      <x:c r="AK86" s="191"/>
    </x:row>
    <x:row r="87">
      <x:c r="A87" s="191"/>
      <x:c r="B87" s="191"/>
      <x:c r="C87" s="191"/>
      <x:c r="D87" s="191"/>
      <x:c r="E87" s="191"/>
      <x:c r="F87" s="191"/>
      <x:c r="G87" s="191"/>
      <x:c r="H87" s="191"/>
      <x:c r="I87" s="191"/>
      <x:c r="J87" s="191"/>
      <x:c r="K87" s="191"/>
      <x:c r="L87" s="191"/>
      <x:c r="M87" s="191"/>
      <x:c r="N87" s="191"/>
      <x:c r="O87" s="191"/>
      <x:c r="P87" s="191"/>
      <x:c r="Q87" s="191"/>
      <x:c r="R87" s="191"/>
      <x:c r="S87" s="191"/>
      <x:c r="T87" s="191"/>
      <x:c r="U87" s="191"/>
      <x:c r="V87" s="191"/>
      <x:c r="W87" s="191"/>
      <x:c r="X87" s="191"/>
      <x:c r="Y87" s="191"/>
      <x:c r="Z87" s="191"/>
      <x:c r="AA87" s="191"/>
      <x:c r="AB87" s="191"/>
      <x:c r="AC87" s="191"/>
      <x:c r="AD87" s="191"/>
      <x:c r="AE87" s="191"/>
      <x:c r="AF87" s="191"/>
      <x:c r="AG87" s="191"/>
      <x:c r="AH87" s="191"/>
      <x:c r="AI87" s="191"/>
      <x:c r="AJ87" s="191"/>
      <x:c r="AK87" s="191"/>
    </x:row>
    <x:row r="88">
      <x:c r="A88" s="191"/>
      <x:c r="B88" s="191"/>
      <x:c r="C88" s="191"/>
      <x:c r="D88" s="191"/>
      <x:c r="E88" s="191"/>
      <x:c r="F88" s="191"/>
      <x:c r="G88" s="191"/>
      <x:c r="H88" s="191"/>
      <x:c r="I88" s="191"/>
      <x:c r="J88" s="191"/>
      <x:c r="K88" s="191"/>
      <x:c r="L88" s="191"/>
      <x:c r="M88" s="191"/>
      <x:c r="N88" s="191"/>
      <x:c r="O88" s="191"/>
      <x:c r="P88" s="191"/>
      <x:c r="Q88" s="191"/>
      <x:c r="R88" s="191"/>
      <x:c r="S88" s="191"/>
      <x:c r="T88" s="191"/>
      <x:c r="U88" s="191"/>
      <x:c r="V88" s="191"/>
      <x:c r="W88" s="191"/>
      <x:c r="X88" s="191"/>
      <x:c r="Y88" s="191"/>
      <x:c r="Z88" s="191"/>
      <x:c r="AA88" s="191"/>
      <x:c r="AB88" s="191"/>
      <x:c r="AC88" s="191"/>
      <x:c r="AD88" s="191"/>
      <x:c r="AE88" s="191"/>
      <x:c r="AF88" s="191"/>
      <x:c r="AG88" s="191"/>
      <x:c r="AH88" s="191"/>
      <x:c r="AI88" s="191"/>
      <x:c r="AJ88" s="191"/>
      <x:c r="AK88" s="191"/>
    </x:row>
    <x:row r="89">
      <x:c r="A89" s="191"/>
      <x:c r="B89" s="191"/>
      <x:c r="C89" s="191"/>
      <x:c r="D89" s="191"/>
      <x:c r="E89" s="191"/>
      <x:c r="F89" s="191"/>
      <x:c r="G89" s="191"/>
      <x:c r="H89" s="191"/>
      <x:c r="I89" s="191"/>
      <x:c r="J89" s="191"/>
      <x:c r="K89" s="191"/>
      <x:c r="L89" s="191"/>
      <x:c r="M89" s="191"/>
      <x:c r="N89" s="191"/>
      <x:c r="O89" s="191"/>
      <x:c r="P89" s="191"/>
      <x:c r="Q89" s="191"/>
      <x:c r="R89" s="191"/>
      <x:c r="S89" s="191"/>
      <x:c r="T89" s="191"/>
      <x:c r="U89" s="191"/>
      <x:c r="V89" s="191"/>
      <x:c r="W89" s="191"/>
      <x:c r="X89" s="191"/>
      <x:c r="Y89" s="191"/>
      <x:c r="Z89" s="191"/>
      <x:c r="AA89" s="191"/>
      <x:c r="AB89" s="191"/>
      <x:c r="AC89" s="191"/>
      <x:c r="AD89" s="191"/>
      <x:c r="AE89" s="191"/>
      <x:c r="AF89" s="191"/>
      <x:c r="AG89" s="191"/>
      <x:c r="AH89" s="191"/>
      <x:c r="AI89" s="191"/>
      <x:c r="AJ89" s="191"/>
      <x:c r="AK89" s="191"/>
    </x:row>
    <x:row r="90">
      <x:c r="A90" s="191"/>
      <x:c r="B90" s="191"/>
      <x:c r="C90" s="191"/>
      <x:c r="D90" s="191"/>
      <x:c r="E90" s="191"/>
      <x:c r="F90" s="191"/>
      <x:c r="G90" s="191"/>
      <x:c r="H90" s="191"/>
      <x:c r="I90" s="191"/>
      <x:c r="J90" s="191"/>
      <x:c r="K90" s="191"/>
      <x:c r="L90" s="191"/>
      <x:c r="M90" s="191"/>
      <x:c r="N90" s="191"/>
      <x:c r="O90" s="191"/>
      <x:c r="P90" s="191"/>
      <x:c r="Q90" s="191"/>
      <x:c r="R90" s="191"/>
      <x:c r="S90" s="191"/>
      <x:c r="T90" s="191"/>
      <x:c r="U90" s="191"/>
      <x:c r="V90" s="191"/>
      <x:c r="W90" s="191"/>
      <x:c r="X90" s="191"/>
      <x:c r="Y90" s="191"/>
      <x:c r="Z90" s="191"/>
      <x:c r="AA90" s="191"/>
      <x:c r="AB90" s="191"/>
      <x:c r="AC90" s="191"/>
      <x:c r="AD90" s="191"/>
      <x:c r="AE90" s="191"/>
      <x:c r="AF90" s="191"/>
      <x:c r="AG90" s="191"/>
      <x:c r="AH90" s="191"/>
      <x:c r="AI90" s="191"/>
      <x:c r="AJ90" s="191"/>
      <x:c r="AK90" s="191"/>
    </x:row>
    <x:row r="91">
      <x:c r="A91" s="191"/>
      <x:c r="B91" s="191"/>
      <x:c r="C91" s="191"/>
      <x:c r="D91" s="191"/>
      <x:c r="E91" s="191"/>
      <x:c r="F91" s="191"/>
      <x:c r="G91" s="191"/>
      <x:c r="H91" s="191"/>
      <x:c r="I91" s="191"/>
      <x:c r="J91" s="191"/>
      <x:c r="K91" s="191"/>
      <x:c r="L91" s="191"/>
      <x:c r="M91" s="191"/>
      <x:c r="N91" s="191"/>
      <x:c r="O91" s="191"/>
      <x:c r="P91" s="191"/>
      <x:c r="Q91" s="191"/>
      <x:c r="R91" s="191"/>
      <x:c r="S91" s="191"/>
      <x:c r="T91" s="191"/>
      <x:c r="U91" s="191"/>
      <x:c r="V91" s="191"/>
      <x:c r="W91" s="191"/>
      <x:c r="X91" s="191"/>
      <x:c r="Y91" s="191"/>
      <x:c r="Z91" s="191"/>
      <x:c r="AA91" s="191"/>
      <x:c r="AB91" s="191"/>
      <x:c r="AC91" s="191"/>
      <x:c r="AD91" s="191"/>
      <x:c r="AE91" s="191"/>
      <x:c r="AF91" s="191"/>
      <x:c r="AG91" s="191"/>
      <x:c r="AH91" s="191"/>
      <x:c r="AI91" s="191"/>
      <x:c r="AJ91" s="191"/>
      <x:c r="AK91" s="191"/>
    </x:row>
    <x:row r="92">
      <x:c r="A92" s="191"/>
      <x:c r="B92" s="191"/>
      <x:c r="C92" s="191"/>
      <x:c r="D92" s="191"/>
      <x:c r="E92" s="191"/>
      <x:c r="F92" s="191"/>
      <x:c r="G92" s="191"/>
      <x:c r="H92" s="191"/>
      <x:c r="I92" s="191"/>
      <x:c r="J92" s="191"/>
      <x:c r="K92" s="191"/>
      <x:c r="L92" s="191"/>
      <x:c r="M92" s="191"/>
      <x:c r="N92" s="191"/>
      <x:c r="O92" s="191"/>
      <x:c r="P92" s="191"/>
      <x:c r="Q92" s="191"/>
      <x:c r="R92" s="191"/>
      <x:c r="S92" s="191"/>
      <x:c r="T92" s="191"/>
      <x:c r="U92" s="191"/>
      <x:c r="V92" s="191"/>
      <x:c r="W92" s="191"/>
      <x:c r="X92" s="191"/>
      <x:c r="Y92" s="191"/>
      <x:c r="Z92" s="191"/>
      <x:c r="AA92" s="191"/>
      <x:c r="AB92" s="191"/>
      <x:c r="AC92" s="191"/>
      <x:c r="AD92" s="191"/>
      <x:c r="AE92" s="191"/>
      <x:c r="AF92" s="191"/>
      <x:c r="AG92" s="191"/>
      <x:c r="AH92" s="191"/>
      <x:c r="AI92" s="191"/>
      <x:c r="AJ92" s="191"/>
      <x:c r="AK92" s="191"/>
    </x:row>
    <x:row r="93">
      <x:c r="A93" s="191"/>
      <x:c r="B93" s="191"/>
      <x:c r="C93" s="191"/>
      <x:c r="D93" s="191"/>
      <x:c r="E93" s="191"/>
      <x:c r="F93" s="191"/>
      <x:c r="G93" s="191"/>
      <x:c r="H93" s="191"/>
      <x:c r="I93" s="191"/>
      <x:c r="J93" s="191"/>
      <x:c r="K93" s="191"/>
      <x:c r="L93" s="191"/>
      <x:c r="M93" s="191"/>
      <x:c r="N93" s="191"/>
      <x:c r="O93" s="191"/>
      <x:c r="P93" s="191"/>
      <x:c r="Q93" s="191"/>
      <x:c r="R93" s="191"/>
      <x:c r="S93" s="191"/>
      <x:c r="T93" s="191"/>
      <x:c r="U93" s="191"/>
      <x:c r="V93" s="191"/>
      <x:c r="W93" s="191"/>
      <x:c r="X93" s="191"/>
      <x:c r="Y93" s="191"/>
      <x:c r="Z93" s="191"/>
      <x:c r="AA93" s="191"/>
      <x:c r="AB93" s="191"/>
      <x:c r="AC93" s="191"/>
      <x:c r="AD93" s="191"/>
      <x:c r="AE93" s="191"/>
      <x:c r="AF93" s="191"/>
      <x:c r="AG93" s="191"/>
      <x:c r="AH93" s="191"/>
      <x:c r="AI93" s="191"/>
      <x:c r="AJ93" s="191"/>
      <x:c r="AK93" s="191"/>
    </x:row>
    <x:row r="94">
      <x:c r="A94" s="191"/>
      <x:c r="B94" s="191"/>
      <x:c r="C94" s="191"/>
      <x:c r="D94" s="191"/>
      <x:c r="E94" s="191"/>
      <x:c r="F94" s="191"/>
      <x:c r="G94" s="191"/>
      <x:c r="H94" s="191"/>
      <x:c r="I94" s="191"/>
      <x:c r="J94" s="191"/>
      <x:c r="K94" s="191"/>
      <x:c r="L94" s="191"/>
      <x:c r="M94" s="191"/>
      <x:c r="N94" s="191"/>
      <x:c r="O94" s="191"/>
      <x:c r="P94" s="191"/>
      <x:c r="Q94" s="191"/>
      <x:c r="R94" s="191"/>
      <x:c r="S94" s="191"/>
      <x:c r="T94" s="191"/>
      <x:c r="U94" s="191"/>
      <x:c r="V94" s="191"/>
      <x:c r="W94" s="191"/>
      <x:c r="X94" s="191"/>
      <x:c r="Y94" s="191"/>
      <x:c r="Z94" s="191"/>
      <x:c r="AA94" s="191"/>
      <x:c r="AB94" s="191"/>
      <x:c r="AC94" s="191"/>
      <x:c r="AD94" s="191"/>
      <x:c r="AE94" s="191"/>
      <x:c r="AF94" s="191"/>
      <x:c r="AG94" s="191"/>
      <x:c r="AH94" s="191"/>
      <x:c r="AI94" s="191"/>
      <x:c r="AJ94" s="191"/>
      <x:c r="AK94" s="191"/>
    </x:row>
    <x:row r="95">
      <x:c r="A95" s="191"/>
      <x:c r="B95" s="191"/>
      <x:c r="C95" s="191"/>
      <x:c r="D95" s="191"/>
      <x:c r="E95" s="191"/>
      <x:c r="F95" s="191"/>
      <x:c r="G95" s="191"/>
      <x:c r="H95" s="191"/>
      <x:c r="I95" s="191"/>
      <x:c r="J95" s="191"/>
      <x:c r="K95" s="191"/>
      <x:c r="L95" s="191"/>
      <x:c r="M95" s="191"/>
      <x:c r="N95" s="191"/>
      <x:c r="O95" s="191"/>
      <x:c r="P95" s="191"/>
      <x:c r="Q95" s="191"/>
      <x:c r="R95" s="191"/>
      <x:c r="S95" s="191"/>
      <x:c r="T95" s="191"/>
      <x:c r="U95" s="191"/>
      <x:c r="V95" s="191"/>
      <x:c r="W95" s="191"/>
      <x:c r="X95" s="191"/>
      <x:c r="Y95" s="191"/>
      <x:c r="Z95" s="191"/>
      <x:c r="AA95" s="191"/>
      <x:c r="AB95" s="191"/>
      <x:c r="AC95" s="191"/>
      <x:c r="AD95" s="191"/>
      <x:c r="AE95" s="191"/>
      <x:c r="AF95" s="191"/>
      <x:c r="AG95" s="191"/>
      <x:c r="AH95" s="191"/>
      <x:c r="AI95" s="191"/>
      <x:c r="AJ95" s="191"/>
      <x:c r="AK95" s="191"/>
    </x:row>
    <x:row r="96">
      <x:c r="A96" s="191"/>
      <x:c r="B96" s="191"/>
      <x:c r="C96" s="191"/>
      <x:c r="D96" s="191"/>
      <x:c r="E96" s="191"/>
      <x:c r="F96" s="191"/>
      <x:c r="G96" s="191"/>
      <x:c r="H96" s="191"/>
      <x:c r="I96" s="191"/>
      <x:c r="J96" s="191"/>
      <x:c r="K96" s="191"/>
      <x:c r="L96" s="191"/>
      <x:c r="M96" s="191"/>
      <x:c r="N96" s="191"/>
      <x:c r="O96" s="191"/>
      <x:c r="P96" s="191"/>
      <x:c r="Q96" s="191"/>
      <x:c r="R96" s="191"/>
      <x:c r="S96" s="191"/>
      <x:c r="T96" s="191"/>
      <x:c r="U96" s="191"/>
      <x:c r="V96" s="191"/>
      <x:c r="W96" s="191"/>
      <x:c r="X96" s="191"/>
      <x:c r="Y96" s="191"/>
      <x:c r="Z96" s="191"/>
      <x:c r="AA96" s="191"/>
      <x:c r="AB96" s="191"/>
      <x:c r="AC96" s="191"/>
      <x:c r="AD96" s="191"/>
      <x:c r="AE96" s="191"/>
      <x:c r="AF96" s="191"/>
      <x:c r="AG96" s="191"/>
      <x:c r="AH96" s="191"/>
      <x:c r="AI96" s="191"/>
      <x:c r="AJ96" s="191"/>
      <x:c r="AK96" s="191"/>
    </x:row>
    <x:row r="97">
      <x:c r="A97" s="191"/>
      <x:c r="B97" s="191"/>
      <x:c r="C97" s="191"/>
      <x:c r="D97" s="191"/>
      <x:c r="E97" s="191"/>
      <x:c r="F97" s="191"/>
      <x:c r="G97" s="191"/>
      <x:c r="H97" s="191"/>
      <x:c r="I97" s="191"/>
      <x:c r="J97" s="191"/>
      <x:c r="K97" s="191"/>
      <x:c r="L97" s="191"/>
      <x:c r="M97" s="191"/>
      <x:c r="N97" s="191"/>
      <x:c r="O97" s="191"/>
      <x:c r="P97" s="191"/>
      <x:c r="Q97" s="191"/>
      <x:c r="R97" s="191"/>
      <x:c r="S97" s="191"/>
      <x:c r="T97" s="191"/>
      <x:c r="U97" s="191"/>
      <x:c r="V97" s="191"/>
      <x:c r="W97" s="191"/>
      <x:c r="X97" s="191"/>
      <x:c r="Y97" s="191"/>
      <x:c r="Z97" s="191"/>
      <x:c r="AA97" s="191"/>
      <x:c r="AB97" s="191"/>
      <x:c r="AC97" s="191"/>
      <x:c r="AD97" s="191"/>
      <x:c r="AE97" s="191"/>
      <x:c r="AF97" s="191"/>
      <x:c r="AG97" s="191"/>
      <x:c r="AH97" s="191"/>
      <x:c r="AI97" s="191"/>
      <x:c r="AJ97" s="191"/>
      <x:c r="AK97" s="191"/>
    </x:row>
    <x:row r="98">
      <x:c r="A98" s="191"/>
      <x:c r="B98" s="191"/>
      <x:c r="C98" s="191"/>
      <x:c r="D98" s="191"/>
      <x:c r="E98" s="191"/>
      <x:c r="F98" s="191"/>
      <x:c r="G98" s="191"/>
      <x:c r="H98" s="191"/>
      <x:c r="I98" s="191"/>
      <x:c r="J98" s="191"/>
      <x:c r="K98" s="191"/>
      <x:c r="L98" s="191"/>
      <x:c r="M98" s="191"/>
      <x:c r="N98" s="191"/>
      <x:c r="O98" s="191"/>
      <x:c r="P98" s="191"/>
      <x:c r="Q98" s="191"/>
      <x:c r="R98" s="191"/>
      <x:c r="S98" s="191"/>
      <x:c r="T98" s="191"/>
      <x:c r="U98" s="191"/>
      <x:c r="V98" s="191"/>
      <x:c r="W98" s="191"/>
      <x:c r="X98" s="191"/>
      <x:c r="Y98" s="191"/>
      <x:c r="Z98" s="191"/>
      <x:c r="AA98" s="191"/>
      <x:c r="AB98" s="191"/>
      <x:c r="AC98" s="191"/>
      <x:c r="AD98" s="191"/>
      <x:c r="AE98" s="191"/>
      <x:c r="AF98" s="191"/>
      <x:c r="AG98" s="191"/>
      <x:c r="AH98" s="191"/>
      <x:c r="AI98" s="191"/>
      <x:c r="AJ98" s="191"/>
      <x:c r="AK98" s="191"/>
    </x:row>
    <x:row r="99">
      <x:c r="A99" s="191"/>
      <x:c r="B99" s="191"/>
      <x:c r="C99" s="191"/>
      <x:c r="D99" s="191"/>
      <x:c r="E99" s="191"/>
      <x:c r="F99" s="191"/>
      <x:c r="G99" s="191"/>
      <x:c r="H99" s="191"/>
      <x:c r="I99" s="191"/>
      <x:c r="J99" s="191"/>
      <x:c r="K99" s="191"/>
      <x:c r="L99" s="191"/>
      <x:c r="M99" s="191"/>
      <x:c r="N99" s="191"/>
      <x:c r="O99" s="191"/>
      <x:c r="P99" s="191"/>
      <x:c r="Q99" s="191"/>
      <x:c r="R99" s="191"/>
      <x:c r="S99" s="191"/>
      <x:c r="T99" s="191"/>
      <x:c r="U99" s="191"/>
      <x:c r="V99" s="191"/>
      <x:c r="W99" s="191"/>
      <x:c r="X99" s="191"/>
      <x:c r="Y99" s="191"/>
      <x:c r="Z99" s="191"/>
      <x:c r="AA99" s="191"/>
      <x:c r="AB99" s="191"/>
      <x:c r="AC99" s="191"/>
      <x:c r="AD99" s="191"/>
      <x:c r="AE99" s="191"/>
      <x:c r="AF99" s="191"/>
      <x:c r="AG99" s="191"/>
      <x:c r="AH99" s="191"/>
      <x:c r="AI99" s="191"/>
      <x:c r="AJ99" s="191"/>
      <x:c r="AK99" s="191"/>
    </x:row>
    <x:row r="100">
      <x:c r="A100" s="191"/>
      <x:c r="B100" s="191"/>
      <x:c r="C100" s="191"/>
      <x:c r="D100" s="191"/>
      <x:c r="E100" s="191"/>
      <x:c r="F100" s="191"/>
      <x:c r="G100" s="191"/>
      <x:c r="H100" s="191"/>
      <x:c r="I100" s="191"/>
      <x:c r="J100" s="191"/>
      <x:c r="K100" s="191"/>
      <x:c r="L100" s="191"/>
      <x:c r="M100" s="191"/>
      <x:c r="N100" s="191"/>
      <x:c r="O100" s="191"/>
      <x:c r="P100" s="191"/>
      <x:c r="Q100" s="191"/>
      <x:c r="R100" s="191"/>
      <x:c r="S100" s="191"/>
      <x:c r="T100" s="191"/>
      <x:c r="U100" s="191"/>
      <x:c r="V100" s="191"/>
      <x:c r="W100" s="191"/>
      <x:c r="X100" s="191"/>
      <x:c r="Y100" s="191"/>
      <x:c r="Z100" s="191"/>
      <x:c r="AA100" s="191"/>
      <x:c r="AB100" s="191"/>
      <x:c r="AC100" s="191"/>
      <x:c r="AD100" s="191"/>
      <x:c r="AE100" s="191"/>
      <x:c r="AF100" s="191"/>
      <x:c r="AG100" s="191"/>
      <x:c r="AH100" s="191"/>
      <x:c r="AI100" s="191"/>
      <x:c r="AJ100" s="191"/>
      <x:c r="AK100" s="191"/>
    </x:row>
    <x:row r="101">
      <x:c r="A101" s="191"/>
      <x:c r="B101" s="191"/>
      <x:c r="C101" s="191"/>
      <x:c r="D101" s="191"/>
      <x:c r="E101" s="191"/>
      <x:c r="F101" s="191"/>
      <x:c r="G101" s="191"/>
      <x:c r="H101" s="191"/>
      <x:c r="I101" s="191"/>
      <x:c r="J101" s="191"/>
      <x:c r="K101" s="191"/>
      <x:c r="L101" s="191"/>
      <x:c r="M101" s="191"/>
      <x:c r="N101" s="191"/>
      <x:c r="O101" s="191"/>
      <x:c r="P101" s="191"/>
      <x:c r="Q101" s="191"/>
      <x:c r="R101" s="191"/>
      <x:c r="S101" s="191"/>
      <x:c r="T101" s="191"/>
      <x:c r="U101" s="191"/>
      <x:c r="V101" s="191"/>
      <x:c r="W101" s="191"/>
      <x:c r="X101" s="191"/>
      <x:c r="Y101" s="191"/>
      <x:c r="Z101" s="191"/>
      <x:c r="AA101" s="191"/>
      <x:c r="AB101" s="191"/>
      <x:c r="AC101" s="191"/>
      <x:c r="AD101" s="191"/>
      <x:c r="AE101" s="191"/>
      <x:c r="AF101" s="191"/>
      <x:c r="AG101" s="191"/>
      <x:c r="AH101" s="191"/>
      <x:c r="AI101" s="191"/>
      <x:c r="AJ101" s="191"/>
      <x:c r="AK101" s="191"/>
    </x:row>
    <x:row r="102">
      <x:c r="A102" s="191"/>
      <x:c r="B102" s="191"/>
      <x:c r="C102" s="191"/>
      <x:c r="D102" s="191"/>
      <x:c r="E102" s="191"/>
      <x:c r="F102" s="191"/>
      <x:c r="G102" s="191"/>
      <x:c r="H102" s="191"/>
      <x:c r="I102" s="191"/>
      <x:c r="J102" s="191"/>
      <x:c r="K102" s="191"/>
      <x:c r="L102" s="191"/>
      <x:c r="M102" s="191"/>
      <x:c r="N102" s="191"/>
      <x:c r="O102" s="191"/>
      <x:c r="P102" s="191"/>
      <x:c r="Q102" s="191"/>
      <x:c r="R102" s="191"/>
      <x:c r="S102" s="191"/>
      <x:c r="T102" s="191"/>
      <x:c r="U102" s="191"/>
      <x:c r="V102" s="191"/>
      <x:c r="W102" s="191"/>
      <x:c r="X102" s="191"/>
      <x:c r="Y102" s="191"/>
      <x:c r="Z102" s="191"/>
      <x:c r="AA102" s="191"/>
      <x:c r="AB102" s="191"/>
      <x:c r="AC102" s="191"/>
      <x:c r="AD102" s="191"/>
      <x:c r="AE102" s="191"/>
      <x:c r="AF102" s="191"/>
      <x:c r="AG102" s="191"/>
      <x:c r="AH102" s="191"/>
      <x:c r="AI102" s="191"/>
      <x:c r="AJ102" s="191"/>
      <x:c r="AK102" s="191"/>
    </x:row>
    <x:row r="103">
      <x:c r="A103" s="191"/>
      <x:c r="B103" s="191"/>
      <x:c r="C103" s="191"/>
      <x:c r="D103" s="191"/>
      <x:c r="E103" s="191"/>
      <x:c r="F103" s="191"/>
      <x:c r="G103" s="191"/>
      <x:c r="H103" s="191"/>
      <x:c r="I103" s="191"/>
      <x:c r="J103" s="191"/>
      <x:c r="K103" s="191"/>
      <x:c r="L103" s="191"/>
      <x:c r="M103" s="191"/>
      <x:c r="N103" s="191"/>
      <x:c r="O103" s="191"/>
      <x:c r="P103" s="191"/>
      <x:c r="Q103" s="191"/>
      <x:c r="R103" s="191"/>
      <x:c r="S103" s="191"/>
      <x:c r="T103" s="191"/>
      <x:c r="U103" s="191"/>
      <x:c r="V103" s="191"/>
      <x:c r="W103" s="191"/>
      <x:c r="X103" s="191"/>
      <x:c r="Y103" s="191"/>
      <x:c r="Z103" s="191"/>
      <x:c r="AA103" s="191"/>
      <x:c r="AB103" s="191"/>
      <x:c r="AC103" s="191"/>
      <x:c r="AD103" s="191"/>
      <x:c r="AE103" s="191"/>
      <x:c r="AF103" s="191"/>
      <x:c r="AG103" s="191"/>
      <x:c r="AH103" s="191"/>
      <x:c r="AI103" s="191"/>
      <x:c r="AJ103" s="191"/>
      <x:c r="AK103" s="191"/>
    </x:row>
    <x:row r="104">
      <x:c r="A104" s="191"/>
      <x:c r="B104" s="191"/>
      <x:c r="C104" s="191"/>
      <x:c r="D104" s="191"/>
      <x:c r="E104" s="191"/>
      <x:c r="F104" s="191"/>
      <x:c r="G104" s="191"/>
      <x:c r="H104" s="191"/>
      <x:c r="I104" s="191"/>
      <x:c r="J104" s="191"/>
      <x:c r="K104" s="191"/>
      <x:c r="L104" s="191"/>
      <x:c r="M104" s="191"/>
      <x:c r="N104" s="191"/>
      <x:c r="O104" s="191"/>
      <x:c r="P104" s="191"/>
      <x:c r="Q104" s="191"/>
      <x:c r="R104" s="191"/>
      <x:c r="S104" s="191"/>
      <x:c r="T104" s="191"/>
      <x:c r="U104" s="191"/>
      <x:c r="V104" s="191"/>
      <x:c r="W104" s="191"/>
      <x:c r="X104" s="191"/>
      <x:c r="Y104" s="191"/>
      <x:c r="Z104" s="191"/>
      <x:c r="AA104" s="191"/>
      <x:c r="AB104" s="191"/>
      <x:c r="AC104" s="191"/>
      <x:c r="AD104" s="191"/>
      <x:c r="AE104" s="191"/>
      <x:c r="AF104" s="191"/>
      <x:c r="AG104" s="191"/>
      <x:c r="AH104" s="191"/>
      <x:c r="AI104" s="191"/>
      <x:c r="AJ104" s="191"/>
      <x:c r="AK104" s="191"/>
    </x:row>
    <x:row r="105">
      <x:c r="A105" s="191"/>
      <x:c r="B105" s="191"/>
      <x:c r="C105" s="191"/>
      <x:c r="D105" s="191"/>
      <x:c r="E105" s="191"/>
      <x:c r="F105" s="191"/>
      <x:c r="G105" s="191"/>
      <x:c r="H105" s="191"/>
      <x:c r="I105" s="191"/>
      <x:c r="J105" s="191"/>
      <x:c r="K105" s="191"/>
      <x:c r="L105" s="191"/>
      <x:c r="M105" s="191"/>
      <x:c r="N105" s="191"/>
      <x:c r="O105" s="191"/>
      <x:c r="P105" s="191"/>
      <x:c r="Q105" s="191"/>
      <x:c r="R105" s="191"/>
      <x:c r="S105" s="191"/>
      <x:c r="T105" s="191"/>
      <x:c r="U105" s="191"/>
      <x:c r="V105" s="191"/>
      <x:c r="W105" s="191"/>
      <x:c r="X105" s="191"/>
      <x:c r="Y105" s="191"/>
      <x:c r="Z105" s="191"/>
      <x:c r="AA105" s="191"/>
      <x:c r="AB105" s="191"/>
      <x:c r="AC105" s="191"/>
      <x:c r="AD105" s="191"/>
      <x:c r="AE105" s="191"/>
      <x:c r="AF105" s="191"/>
      <x:c r="AG105" s="191"/>
      <x:c r="AH105" s="191"/>
      <x:c r="AI105" s="191"/>
      <x:c r="AJ105" s="191"/>
      <x:c r="AK105" s="191"/>
    </x:row>
    <x:row r="106">
      <x:c r="A106" s="191"/>
      <x:c r="B106" s="191"/>
      <x:c r="C106" s="191"/>
      <x:c r="D106" s="191"/>
      <x:c r="E106" s="191"/>
      <x:c r="F106" s="191"/>
      <x:c r="G106" s="191"/>
      <x:c r="H106" s="191"/>
      <x:c r="I106" s="191"/>
      <x:c r="J106" s="191"/>
      <x:c r="K106" s="191"/>
      <x:c r="L106" s="191"/>
      <x:c r="M106" s="191"/>
      <x:c r="N106" s="191"/>
      <x:c r="O106" s="191"/>
      <x:c r="P106" s="191"/>
      <x:c r="Q106" s="191"/>
      <x:c r="R106" s="191"/>
      <x:c r="S106" s="191"/>
      <x:c r="T106" s="191"/>
      <x:c r="U106" s="191"/>
      <x:c r="V106" s="191"/>
      <x:c r="W106" s="191"/>
      <x:c r="X106" s="191"/>
      <x:c r="Y106" s="191"/>
      <x:c r="Z106" s="191"/>
      <x:c r="AA106" s="191"/>
      <x:c r="AB106" s="191"/>
      <x:c r="AC106" s="191"/>
      <x:c r="AD106" s="191"/>
      <x:c r="AE106" s="191"/>
      <x:c r="AF106" s="191"/>
      <x:c r="AG106" s="191"/>
      <x:c r="AH106" s="191"/>
      <x:c r="AI106" s="191"/>
      <x:c r="AJ106" s="191"/>
      <x:c r="AK106" s="191"/>
    </x:row>
    <x:row r="107">
      <x:c r="A107" s="191"/>
      <x:c r="B107" s="191"/>
      <x:c r="C107" s="191"/>
      <x:c r="D107" s="191"/>
      <x:c r="E107" s="191"/>
      <x:c r="F107" s="191"/>
      <x:c r="G107" s="191"/>
      <x:c r="H107" s="191"/>
      <x:c r="I107" s="191"/>
      <x:c r="J107" s="191"/>
      <x:c r="K107" s="191"/>
      <x:c r="L107" s="191"/>
      <x:c r="M107" s="191"/>
      <x:c r="N107" s="191"/>
      <x:c r="O107" s="191"/>
      <x:c r="P107" s="191"/>
      <x:c r="Q107" s="191"/>
      <x:c r="R107" s="191"/>
      <x:c r="S107" s="191"/>
      <x:c r="T107" s="191"/>
      <x:c r="U107" s="191"/>
      <x:c r="V107" s="191"/>
      <x:c r="W107" s="191"/>
      <x:c r="X107" s="191"/>
      <x:c r="Y107" s="191"/>
      <x:c r="Z107" s="191"/>
      <x:c r="AA107" s="191"/>
      <x:c r="AB107" s="191"/>
      <x:c r="AC107" s="191"/>
      <x:c r="AD107" s="191"/>
      <x:c r="AE107" s="191"/>
      <x:c r="AF107" s="191"/>
      <x:c r="AG107" s="191"/>
      <x:c r="AH107" s="191"/>
      <x:c r="AI107" s="191"/>
      <x:c r="AJ107" s="191"/>
      <x:c r="AK107" s="191"/>
    </x:row>
    <x:row r="108">
      <x:c r="A108" s="191"/>
      <x:c r="B108" s="191"/>
      <x:c r="C108" s="191"/>
      <x:c r="D108" s="191"/>
      <x:c r="E108" s="191"/>
      <x:c r="F108" s="191"/>
      <x:c r="G108" s="191"/>
      <x:c r="H108" s="191"/>
      <x:c r="I108" s="191"/>
      <x:c r="J108" s="191"/>
      <x:c r="K108" s="191"/>
      <x:c r="L108" s="191"/>
      <x:c r="M108" s="191"/>
      <x:c r="N108" s="191"/>
      <x:c r="O108" s="191"/>
      <x:c r="P108" s="191"/>
      <x:c r="Q108" s="191"/>
      <x:c r="R108" s="191"/>
      <x:c r="S108" s="191"/>
      <x:c r="T108" s="191"/>
      <x:c r="U108" s="191"/>
      <x:c r="V108" s="191"/>
      <x:c r="W108" s="191"/>
      <x:c r="X108" s="191"/>
      <x:c r="Y108" s="191"/>
      <x:c r="Z108" s="191"/>
      <x:c r="AA108" s="191"/>
      <x:c r="AB108" s="191"/>
      <x:c r="AC108" s="191"/>
      <x:c r="AD108" s="191"/>
      <x:c r="AE108" s="191"/>
      <x:c r="AF108" s="191"/>
      <x:c r="AG108" s="191"/>
      <x:c r="AH108" s="191"/>
      <x:c r="AI108" s="191"/>
      <x:c r="AJ108" s="191"/>
      <x:c r="AK108" s="191"/>
    </x:row>
    <x:row r="109">
      <x:c r="A109" s="191"/>
      <x:c r="B109" s="191"/>
      <x:c r="C109" s="191"/>
      <x:c r="D109" s="191"/>
      <x:c r="E109" s="191"/>
      <x:c r="F109" s="191"/>
      <x:c r="G109" s="191"/>
      <x:c r="H109" s="191"/>
      <x:c r="I109" s="191"/>
      <x:c r="J109" s="191"/>
      <x:c r="K109" s="191"/>
      <x:c r="L109" s="191"/>
      <x:c r="M109" s="191"/>
      <x:c r="N109" s="191"/>
      <x:c r="O109" s="191"/>
      <x:c r="P109" s="191"/>
      <x:c r="Q109" s="191"/>
      <x:c r="R109" s="191"/>
      <x:c r="S109" s="191"/>
      <x:c r="T109" s="191"/>
      <x:c r="U109" s="191"/>
      <x:c r="V109" s="191"/>
      <x:c r="W109" s="191"/>
      <x:c r="X109" s="191"/>
      <x:c r="Y109" s="191"/>
      <x:c r="Z109" s="191"/>
      <x:c r="AA109" s="191"/>
      <x:c r="AB109" s="191"/>
      <x:c r="AC109" s="191"/>
      <x:c r="AD109" s="191"/>
      <x:c r="AE109" s="191"/>
      <x:c r="AF109" s="191"/>
      <x:c r="AG109" s="191"/>
      <x:c r="AH109" s="191"/>
      <x:c r="AI109" s="191"/>
      <x:c r="AJ109" s="191"/>
      <x:c r="AK109" s="191"/>
    </x:row>
    <x:row r="110">
      <x:c r="A110" s="191"/>
      <x:c r="B110" s="191"/>
      <x:c r="C110" s="191"/>
      <x:c r="D110" s="191"/>
      <x:c r="E110" s="191"/>
      <x:c r="F110" s="191"/>
      <x:c r="G110" s="191"/>
      <x:c r="H110" s="191"/>
      <x:c r="I110" s="191"/>
      <x:c r="J110" s="191"/>
      <x:c r="K110" s="191"/>
      <x:c r="L110" s="191"/>
      <x:c r="M110" s="191"/>
      <x:c r="N110" s="191"/>
      <x:c r="O110" s="191"/>
      <x:c r="P110" s="191"/>
      <x:c r="Q110" s="191"/>
      <x:c r="R110" s="191"/>
      <x:c r="S110" s="191"/>
      <x:c r="T110" s="191"/>
      <x:c r="U110" s="191"/>
      <x:c r="V110" s="191"/>
      <x:c r="W110" s="191"/>
      <x:c r="X110" s="191"/>
      <x:c r="Y110" s="191"/>
      <x:c r="Z110" s="191"/>
      <x:c r="AA110" s="191"/>
      <x:c r="AB110" s="191"/>
      <x:c r="AC110" s="191"/>
      <x:c r="AD110" s="191"/>
      <x:c r="AE110" s="191"/>
      <x:c r="AF110" s="191"/>
      <x:c r="AG110" s="191"/>
      <x:c r="AH110" s="191"/>
      <x:c r="AI110" s="191"/>
      <x:c r="AJ110" s="191"/>
      <x:c r="AK110" s="191"/>
    </x:row>
    <x:row r="111">
      <x:c r="A111" s="191"/>
      <x:c r="B111" s="191"/>
      <x:c r="C111" s="191"/>
      <x:c r="D111" s="191"/>
      <x:c r="E111" s="191"/>
      <x:c r="F111" s="191"/>
      <x:c r="G111" s="191"/>
      <x:c r="H111" s="191"/>
      <x:c r="I111" s="191"/>
      <x:c r="J111" s="191"/>
      <x:c r="K111" s="191"/>
      <x:c r="L111" s="191"/>
      <x:c r="M111" s="191"/>
      <x:c r="N111" s="191"/>
      <x:c r="O111" s="191"/>
      <x:c r="P111" s="191"/>
      <x:c r="Q111" s="191"/>
      <x:c r="R111" s="191"/>
      <x:c r="S111" s="191"/>
      <x:c r="T111" s="191"/>
      <x:c r="U111" s="191"/>
      <x:c r="V111" s="191"/>
      <x:c r="W111" s="191"/>
      <x:c r="X111" s="191"/>
      <x:c r="Y111" s="191"/>
      <x:c r="Z111" s="191"/>
      <x:c r="AA111" s="191"/>
      <x:c r="AB111" s="191"/>
      <x:c r="AC111" s="191"/>
      <x:c r="AD111" s="191"/>
      <x:c r="AE111" s="191"/>
      <x:c r="AF111" s="191"/>
      <x:c r="AG111" s="191"/>
      <x:c r="AH111" s="191"/>
      <x:c r="AI111" s="191"/>
      <x:c r="AJ111" s="191"/>
      <x:c r="AK111" s="191"/>
    </x:row>
    <x:row r="112">
      <x:c r="A112" s="191"/>
      <x:c r="B112" s="191"/>
      <x:c r="C112" s="191"/>
      <x:c r="D112" s="191"/>
      <x:c r="E112" s="191"/>
      <x:c r="F112" s="191"/>
      <x:c r="G112" s="191"/>
      <x:c r="H112" s="191"/>
      <x:c r="I112" s="191"/>
      <x:c r="J112" s="191"/>
      <x:c r="K112" s="191"/>
      <x:c r="L112" s="191"/>
      <x:c r="M112" s="191"/>
      <x:c r="N112" s="191"/>
      <x:c r="O112" s="191"/>
      <x:c r="P112" s="191"/>
      <x:c r="Q112" s="191"/>
      <x:c r="R112" s="191"/>
      <x:c r="S112" s="191"/>
      <x:c r="T112" s="191"/>
      <x:c r="U112" s="191"/>
      <x:c r="V112" s="191"/>
      <x:c r="W112" s="191"/>
      <x:c r="X112" s="191"/>
      <x:c r="Y112" s="191"/>
      <x:c r="Z112" s="191"/>
      <x:c r="AA112" s="191"/>
      <x:c r="AB112" s="191"/>
      <x:c r="AC112" s="191"/>
      <x:c r="AD112" s="191"/>
      <x:c r="AE112" s="191"/>
      <x:c r="AF112" s="191"/>
      <x:c r="AG112" s="191"/>
      <x:c r="AH112" s="191"/>
      <x:c r="AI112" s="191"/>
      <x:c r="AJ112" s="191"/>
      <x:c r="AK112" s="191"/>
    </x:row>
    <x:row r="113">
      <x:c r="A113" s="191"/>
      <x:c r="B113" s="191"/>
      <x:c r="C113" s="191"/>
      <x:c r="D113" s="191"/>
      <x:c r="E113" s="191"/>
      <x:c r="F113" s="191"/>
      <x:c r="G113" s="191"/>
      <x:c r="H113" s="191"/>
      <x:c r="I113" s="191"/>
      <x:c r="J113" s="191"/>
      <x:c r="K113" s="191"/>
      <x:c r="L113" s="191"/>
      <x:c r="M113" s="191"/>
      <x:c r="N113" s="191"/>
      <x:c r="O113" s="191"/>
      <x:c r="P113" s="191"/>
      <x:c r="Q113" s="191"/>
      <x:c r="R113" s="191"/>
      <x:c r="S113" s="191"/>
      <x:c r="T113" s="191"/>
      <x:c r="U113" s="191"/>
      <x:c r="V113" s="191"/>
      <x:c r="W113" s="191"/>
      <x:c r="X113" s="191"/>
      <x:c r="Y113" s="191"/>
      <x:c r="Z113" s="191"/>
      <x:c r="AA113" s="191"/>
      <x:c r="AB113" s="191"/>
      <x:c r="AC113" s="191"/>
      <x:c r="AD113" s="191"/>
      <x:c r="AE113" s="191"/>
      <x:c r="AF113" s="191"/>
      <x:c r="AG113" s="191"/>
      <x:c r="AH113" s="191"/>
      <x:c r="AI113" s="191"/>
      <x:c r="AJ113" s="191"/>
      <x:c r="AK113" s="191"/>
    </x:row>
    <x:row r="114">
      <x:c r="A114" s="191"/>
      <x:c r="B114" s="191"/>
      <x:c r="C114" s="191"/>
      <x:c r="D114" s="191"/>
      <x:c r="E114" s="191"/>
      <x:c r="F114" s="191"/>
      <x:c r="G114" s="191"/>
      <x:c r="H114" s="191"/>
      <x:c r="I114" s="191"/>
      <x:c r="J114" s="191"/>
      <x:c r="K114" s="191"/>
      <x:c r="L114" s="191"/>
      <x:c r="M114" s="191"/>
      <x:c r="N114" s="191"/>
      <x:c r="O114" s="191"/>
      <x:c r="P114" s="191"/>
      <x:c r="Q114" s="191"/>
      <x:c r="R114" s="191"/>
      <x:c r="S114" s="191"/>
      <x:c r="T114" s="191"/>
      <x:c r="U114" s="191"/>
      <x:c r="V114" s="191"/>
      <x:c r="W114" s="191"/>
      <x:c r="X114" s="191"/>
      <x:c r="Y114" s="191"/>
      <x:c r="Z114" s="191"/>
      <x:c r="AA114" s="191"/>
      <x:c r="AB114" s="191"/>
      <x:c r="AC114" s="191"/>
      <x:c r="AD114" s="191"/>
      <x:c r="AE114" s="191"/>
      <x:c r="AF114" s="191"/>
      <x:c r="AG114" s="191"/>
      <x:c r="AH114" s="191"/>
      <x:c r="AI114" s="191"/>
      <x:c r="AJ114" s="191"/>
      <x:c r="AK114" s="191"/>
    </x:row>
    <x:row r="115">
      <x:c r="A115" s="191"/>
      <x:c r="B115" s="191"/>
      <x:c r="C115" s="191"/>
      <x:c r="D115" s="191"/>
      <x:c r="E115" s="191"/>
      <x:c r="F115" s="191"/>
      <x:c r="G115" s="191"/>
      <x:c r="H115" s="191"/>
      <x:c r="I115" s="191"/>
      <x:c r="J115" s="191"/>
      <x:c r="K115" s="191"/>
      <x:c r="L115" s="191"/>
      <x:c r="M115" s="191"/>
      <x:c r="N115" s="191"/>
      <x:c r="O115" s="191"/>
      <x:c r="P115" s="191"/>
      <x:c r="Q115" s="191"/>
      <x:c r="R115" s="191"/>
      <x:c r="S115" s="191"/>
      <x:c r="T115" s="191"/>
      <x:c r="U115" s="191"/>
      <x:c r="V115" s="191"/>
      <x:c r="W115" s="191"/>
      <x:c r="X115" s="191"/>
      <x:c r="Y115" s="191"/>
      <x:c r="Z115" s="191"/>
      <x:c r="AA115" s="191"/>
      <x:c r="AB115" s="191"/>
      <x:c r="AC115" s="191"/>
      <x:c r="AD115" s="191"/>
      <x:c r="AE115" s="191"/>
      <x:c r="AF115" s="191"/>
      <x:c r="AG115" s="191"/>
      <x:c r="AH115" s="191"/>
      <x:c r="AI115" s="191"/>
      <x:c r="AJ115" s="191"/>
      <x:c r="AK115" s="191"/>
    </x:row>
    <x:row r="116">
      <x:c r="A116" s="191"/>
      <x:c r="B116" s="191"/>
      <x:c r="C116" s="191"/>
      <x:c r="D116" s="191"/>
      <x:c r="E116" s="191"/>
      <x:c r="F116" s="191"/>
      <x:c r="G116" s="191"/>
      <x:c r="H116" s="191"/>
      <x:c r="I116" s="191"/>
      <x:c r="J116" s="191"/>
      <x:c r="K116" s="191"/>
      <x:c r="L116" s="191"/>
      <x:c r="M116" s="191"/>
      <x:c r="N116" s="191"/>
      <x:c r="O116" s="191"/>
      <x:c r="P116" s="191"/>
      <x:c r="Q116" s="191"/>
      <x:c r="R116" s="191"/>
      <x:c r="S116" s="191"/>
      <x:c r="T116" s="191"/>
      <x:c r="U116" s="191"/>
      <x:c r="V116" s="191"/>
      <x:c r="W116" s="191"/>
      <x:c r="X116" s="191"/>
      <x:c r="Y116" s="191"/>
      <x:c r="Z116" s="191"/>
      <x:c r="AA116" s="191"/>
      <x:c r="AB116" s="191"/>
      <x:c r="AC116" s="191"/>
      <x:c r="AD116" s="191"/>
      <x:c r="AE116" s="191"/>
      <x:c r="AF116" s="191"/>
      <x:c r="AG116" s="191"/>
      <x:c r="AH116" s="191"/>
      <x:c r="AI116" s="191"/>
      <x:c r="AJ116" s="191"/>
      <x:c r="AK116" s="191"/>
    </x:row>
    <x:row r="117">
      <x:c r="A117" s="191"/>
      <x:c r="B117" s="191"/>
      <x:c r="C117" s="191"/>
      <x:c r="D117" s="191"/>
      <x:c r="E117" s="191"/>
      <x:c r="F117" s="191"/>
      <x:c r="G117" s="191"/>
      <x:c r="H117" s="191"/>
      <x:c r="I117" s="191"/>
      <x:c r="J117" s="191"/>
      <x:c r="K117" s="191"/>
      <x:c r="L117" s="191"/>
      <x:c r="M117" s="191"/>
      <x:c r="N117" s="191"/>
      <x:c r="O117" s="191"/>
      <x:c r="P117" s="191"/>
      <x:c r="Q117" s="191"/>
      <x:c r="R117" s="191"/>
      <x:c r="S117" s="191"/>
      <x:c r="T117" s="191"/>
      <x:c r="U117" s="191"/>
      <x:c r="V117" s="191"/>
      <x:c r="W117" s="191"/>
      <x:c r="X117" s="191"/>
      <x:c r="Y117" s="191"/>
      <x:c r="Z117" s="191"/>
      <x:c r="AA117" s="191"/>
      <x:c r="AB117" s="191"/>
      <x:c r="AC117" s="191"/>
      <x:c r="AD117" s="191"/>
      <x:c r="AE117" s="191"/>
      <x:c r="AF117" s="191"/>
      <x:c r="AG117" s="191"/>
      <x:c r="AH117" s="191"/>
      <x:c r="AI117" s="191"/>
      <x:c r="AJ117" s="191"/>
      <x:c r="AK117" s="191"/>
    </x:row>
    <x:row r="118">
      <x:c r="A118" s="191"/>
      <x:c r="B118" s="191"/>
      <x:c r="C118" s="191"/>
      <x:c r="D118" s="191"/>
      <x:c r="E118" s="191"/>
      <x:c r="F118" s="191"/>
      <x:c r="G118" s="191"/>
      <x:c r="H118" s="191"/>
      <x:c r="I118" s="191"/>
      <x:c r="J118" s="191"/>
      <x:c r="K118" s="191"/>
      <x:c r="L118" s="191"/>
      <x:c r="M118" s="191"/>
      <x:c r="N118" s="191"/>
      <x:c r="O118" s="191"/>
      <x:c r="P118" s="191"/>
      <x:c r="Q118" s="191"/>
      <x:c r="R118" s="191"/>
      <x:c r="S118" s="191"/>
      <x:c r="T118" s="191"/>
      <x:c r="U118" s="191"/>
      <x:c r="V118" s="191"/>
      <x:c r="W118" s="191"/>
      <x:c r="X118" s="191"/>
      <x:c r="Y118" s="191"/>
      <x:c r="Z118" s="191"/>
      <x:c r="AA118" s="191"/>
      <x:c r="AB118" s="191"/>
      <x:c r="AC118" s="191"/>
      <x:c r="AD118" s="191"/>
      <x:c r="AE118" s="191"/>
      <x:c r="AF118" s="191"/>
      <x:c r="AG118" s="191"/>
      <x:c r="AH118" s="191"/>
      <x:c r="AI118" s="191"/>
      <x:c r="AJ118" s="191"/>
      <x:c r="AK118" s="191"/>
    </x:row>
    <x:row r="119">
      <x:c r="A119" s="191"/>
      <x:c r="B119" s="191"/>
      <x:c r="C119" s="191"/>
      <x:c r="D119" s="191"/>
      <x:c r="E119" s="191"/>
      <x:c r="F119" s="191"/>
      <x:c r="G119" s="191"/>
      <x:c r="H119" s="191"/>
      <x:c r="I119" s="191"/>
      <x:c r="J119" s="191"/>
      <x:c r="K119" s="191"/>
      <x:c r="L119" s="191"/>
      <x:c r="M119" s="191"/>
      <x:c r="N119" s="191"/>
      <x:c r="O119" s="191"/>
      <x:c r="P119" s="191"/>
      <x:c r="Q119" s="191"/>
      <x:c r="R119" s="191"/>
      <x:c r="S119" s="191"/>
      <x:c r="T119" s="191"/>
      <x:c r="U119" s="191"/>
      <x:c r="V119" s="191"/>
      <x:c r="W119" s="191"/>
      <x:c r="X119" s="191"/>
      <x:c r="Y119" s="191"/>
      <x:c r="Z119" s="191"/>
      <x:c r="AA119" s="191"/>
      <x:c r="AB119" s="191"/>
      <x:c r="AC119" s="191"/>
      <x:c r="AD119" s="191"/>
      <x:c r="AE119" s="191"/>
      <x:c r="AF119" s="191"/>
      <x:c r="AG119" s="191"/>
      <x:c r="AH119" s="191"/>
      <x:c r="AI119" s="191"/>
      <x:c r="AJ119" s="191"/>
      <x:c r="AK119" s="191"/>
    </x:row>
    <x:row r="120">
      <x:c r="A120" s="191"/>
      <x:c r="B120" s="191"/>
      <x:c r="C120" s="191"/>
      <x:c r="D120" s="191"/>
      <x:c r="E120" s="191"/>
      <x:c r="F120" s="191"/>
      <x:c r="G120" s="191"/>
      <x:c r="H120" s="191"/>
      <x:c r="I120" s="191"/>
      <x:c r="J120" s="191"/>
      <x:c r="K120" s="191"/>
      <x:c r="L120" s="191"/>
      <x:c r="M120" s="191"/>
      <x:c r="N120" s="191"/>
      <x:c r="O120" s="191"/>
      <x:c r="P120" s="191"/>
      <x:c r="Q120" s="191"/>
      <x:c r="R120" s="191"/>
      <x:c r="S120" s="191"/>
      <x:c r="T120" s="191"/>
      <x:c r="U120" s="191"/>
      <x:c r="V120" s="191"/>
      <x:c r="W120" s="191"/>
      <x:c r="X120" s="191"/>
      <x:c r="Y120" s="191"/>
      <x:c r="Z120" s="191"/>
      <x:c r="AA120" s="191"/>
      <x:c r="AB120" s="191"/>
      <x:c r="AC120" s="191"/>
      <x:c r="AD120" s="191"/>
      <x:c r="AE120" s="191"/>
      <x:c r="AF120" s="191"/>
      <x:c r="AG120" s="191"/>
      <x:c r="AH120" s="191"/>
      <x:c r="AI120" s="191"/>
      <x:c r="AJ120" s="191"/>
      <x:c r="AK120" s="191"/>
    </x:row>
    <x:row r="121">
      <x:c r="A121" s="191"/>
      <x:c r="B121" s="191"/>
      <x:c r="C121" s="191"/>
      <x:c r="D121" s="191"/>
      <x:c r="E121" s="191"/>
      <x:c r="F121" s="191"/>
      <x:c r="G121" s="191"/>
      <x:c r="H121" s="191"/>
      <x:c r="I121" s="191"/>
      <x:c r="J121" s="191"/>
      <x:c r="K121" s="191"/>
      <x:c r="L121" s="191"/>
      <x:c r="M121" s="191"/>
      <x:c r="N121" s="191"/>
      <x:c r="O121" s="191"/>
      <x:c r="P121" s="191"/>
      <x:c r="Q121" s="191"/>
      <x:c r="R121" s="191"/>
      <x:c r="S121" s="191"/>
      <x:c r="T121" s="191"/>
      <x:c r="U121" s="191"/>
      <x:c r="V121" s="191"/>
      <x:c r="W121" s="191"/>
      <x:c r="X121" s="191"/>
      <x:c r="Y121" s="191"/>
      <x:c r="Z121" s="191"/>
      <x:c r="AA121" s="191"/>
      <x:c r="AB121" s="191"/>
      <x:c r="AC121" s="191"/>
      <x:c r="AD121" s="191"/>
      <x:c r="AE121" s="191"/>
      <x:c r="AF121" s="191"/>
      <x:c r="AG121" s="191"/>
      <x:c r="AH121" s="191"/>
      <x:c r="AI121" s="191"/>
      <x:c r="AJ121" s="191"/>
      <x:c r="AK121" s="191"/>
    </x:row>
    <x:row r="122">
      <x:c r="A122" s="191"/>
      <x:c r="B122" s="191"/>
      <x:c r="C122" s="191"/>
      <x:c r="D122" s="191"/>
      <x:c r="E122" s="191"/>
      <x:c r="F122" s="191"/>
      <x:c r="G122" s="191"/>
      <x:c r="H122" s="191"/>
      <x:c r="I122" s="191"/>
      <x:c r="J122" s="191"/>
      <x:c r="K122" s="191"/>
      <x:c r="L122" s="191"/>
      <x:c r="M122" s="191"/>
      <x:c r="N122" s="191"/>
      <x:c r="O122" s="191"/>
      <x:c r="P122" s="191"/>
      <x:c r="Q122" s="191"/>
      <x:c r="R122" s="191"/>
      <x:c r="S122" s="191"/>
      <x:c r="T122" s="191"/>
      <x:c r="U122" s="191"/>
      <x:c r="V122" s="191"/>
      <x:c r="W122" s="191"/>
      <x:c r="X122" s="191"/>
      <x:c r="Y122" s="191"/>
      <x:c r="Z122" s="191"/>
      <x:c r="AA122" s="191"/>
      <x:c r="AB122" s="191"/>
      <x:c r="AC122" s="191"/>
      <x:c r="AD122" s="191"/>
      <x:c r="AE122" s="191"/>
      <x:c r="AF122" s="191"/>
      <x:c r="AG122" s="191"/>
      <x:c r="AH122" s="191"/>
      <x:c r="AI122" s="191"/>
      <x:c r="AJ122" s="191"/>
      <x:c r="AK122" s="191"/>
    </x:row>
    <x:row r="123">
      <x:c r="A123" s="191"/>
      <x:c r="B123" s="191"/>
      <x:c r="C123" s="191"/>
      <x:c r="D123" s="191"/>
      <x:c r="E123" s="191"/>
      <x:c r="F123" s="191"/>
      <x:c r="G123" s="191"/>
      <x:c r="H123" s="191"/>
      <x:c r="I123" s="191"/>
      <x:c r="J123" s="191"/>
      <x:c r="K123" s="191"/>
      <x:c r="L123" s="191"/>
      <x:c r="M123" s="191"/>
      <x:c r="N123" s="191"/>
      <x:c r="O123" s="191"/>
      <x:c r="P123" s="191"/>
      <x:c r="Q123" s="191"/>
      <x:c r="R123" s="191"/>
      <x:c r="S123" s="191"/>
      <x:c r="T123" s="191"/>
      <x:c r="U123" s="191"/>
      <x:c r="V123" s="191"/>
      <x:c r="W123" s="191"/>
      <x:c r="X123" s="191"/>
      <x:c r="Y123" s="191"/>
      <x:c r="Z123" s="191"/>
      <x:c r="AA123" s="191"/>
      <x:c r="AB123" s="191"/>
      <x:c r="AC123" s="191"/>
      <x:c r="AD123" s="191"/>
      <x:c r="AE123" s="191"/>
      <x:c r="AF123" s="191"/>
      <x:c r="AG123" s="191"/>
      <x:c r="AH123" s="191"/>
      <x:c r="AI123" s="191"/>
      <x:c r="AJ123" s="191"/>
      <x:c r="AK123" s="191"/>
    </x:row>
    <x:row r="124">
      <x:c r="A124" s="191"/>
      <x:c r="B124" s="191"/>
      <x:c r="C124" s="191"/>
      <x:c r="D124" s="191"/>
      <x:c r="E124" s="191"/>
      <x:c r="F124" s="191"/>
      <x:c r="G124" s="191"/>
      <x:c r="H124" s="191"/>
      <x:c r="I124" s="191"/>
      <x:c r="J124" s="191"/>
      <x:c r="K124" s="191"/>
      <x:c r="L124" s="191"/>
      <x:c r="M124" s="191"/>
      <x:c r="N124" s="191"/>
      <x:c r="O124" s="191"/>
      <x:c r="P124" s="191"/>
      <x:c r="Q124" s="191"/>
      <x:c r="R124" s="191"/>
      <x:c r="S124" s="191"/>
      <x:c r="T124" s="191"/>
      <x:c r="U124" s="191"/>
      <x:c r="V124" s="191"/>
      <x:c r="W124" s="191"/>
      <x:c r="X124" s="191"/>
      <x:c r="Y124" s="191"/>
      <x:c r="Z124" s="191"/>
      <x:c r="AA124" s="191"/>
      <x:c r="AB124" s="191"/>
      <x:c r="AC124" s="191"/>
      <x:c r="AD124" s="191"/>
      <x:c r="AE124" s="191"/>
      <x:c r="AF124" s="191"/>
      <x:c r="AG124" s="191"/>
      <x:c r="AH124" s="191"/>
      <x:c r="AI124" s="191"/>
      <x:c r="AJ124" s="191"/>
      <x:c r="AK124" s="191"/>
    </x:row>
    <x:row r="125">
      <x:c r="A125" s="191"/>
      <x:c r="B125" s="191"/>
      <x:c r="C125" s="191"/>
      <x:c r="D125" s="191"/>
      <x:c r="E125" s="191"/>
      <x:c r="F125" s="191"/>
      <x:c r="G125" s="191"/>
      <x:c r="H125" s="191"/>
      <x:c r="I125" s="191"/>
      <x:c r="J125" s="191"/>
      <x:c r="K125" s="191"/>
      <x:c r="L125" s="191"/>
      <x:c r="M125" s="191"/>
      <x:c r="N125" s="191"/>
      <x:c r="O125" s="191"/>
      <x:c r="P125" s="191"/>
      <x:c r="Q125" s="191"/>
      <x:c r="R125" s="191"/>
      <x:c r="S125" s="191"/>
      <x:c r="T125" s="191"/>
      <x:c r="U125" s="191"/>
      <x:c r="V125" s="191"/>
      <x:c r="W125" s="191"/>
      <x:c r="X125" s="191"/>
      <x:c r="Y125" s="191"/>
      <x:c r="Z125" s="191"/>
      <x:c r="AA125" s="191"/>
      <x:c r="AB125" s="191"/>
      <x:c r="AC125" s="191"/>
      <x:c r="AD125" s="191"/>
      <x:c r="AE125" s="191"/>
      <x:c r="AF125" s="191"/>
      <x:c r="AG125" s="191"/>
      <x:c r="AH125" s="191"/>
      <x:c r="AI125" s="191"/>
      <x:c r="AJ125" s="191"/>
      <x:c r="AK125" s="191"/>
    </x:row>
    <x:row r="126">
      <x:c r="A126" s="191"/>
      <x:c r="B126" s="191"/>
      <x:c r="C126" s="191"/>
      <x:c r="D126" s="191"/>
      <x:c r="E126" s="191"/>
      <x:c r="F126" s="191"/>
      <x:c r="G126" s="191"/>
      <x:c r="H126" s="191"/>
      <x:c r="I126" s="191"/>
      <x:c r="J126" s="191"/>
      <x:c r="K126" s="191"/>
      <x:c r="L126" s="191"/>
      <x:c r="M126" s="191"/>
      <x:c r="N126" s="191"/>
      <x:c r="O126" s="191"/>
      <x:c r="P126" s="191"/>
      <x:c r="Q126" s="191"/>
      <x:c r="R126" s="191"/>
      <x:c r="S126" s="191"/>
      <x:c r="T126" s="191"/>
      <x:c r="U126" s="191"/>
      <x:c r="V126" s="191"/>
      <x:c r="W126" s="191"/>
      <x:c r="X126" s="191"/>
      <x:c r="Y126" s="191"/>
      <x:c r="Z126" s="191"/>
      <x:c r="AA126" s="191"/>
      <x:c r="AB126" s="191"/>
      <x:c r="AC126" s="191"/>
      <x:c r="AD126" s="191"/>
      <x:c r="AE126" s="191"/>
      <x:c r="AF126" s="191"/>
      <x:c r="AG126" s="191"/>
      <x:c r="AH126" s="191"/>
      <x:c r="AI126" s="191"/>
      <x:c r="AJ126" s="191"/>
      <x:c r="AK126" s="191"/>
    </x:row>
    <x:row r="127">
      <x:c r="A127" s="191"/>
      <x:c r="B127" s="191"/>
      <x:c r="C127" s="191"/>
      <x:c r="D127" s="191"/>
      <x:c r="E127" s="191"/>
      <x:c r="F127" s="191"/>
      <x:c r="G127" s="191"/>
      <x:c r="H127" s="191"/>
      <x:c r="I127" s="191"/>
      <x:c r="J127" s="191"/>
      <x:c r="K127" s="191"/>
      <x:c r="L127" s="191"/>
      <x:c r="M127" s="191"/>
      <x:c r="N127" s="191"/>
      <x:c r="O127" s="191"/>
      <x:c r="P127" s="191"/>
      <x:c r="Q127" s="191"/>
      <x:c r="R127" s="191"/>
      <x:c r="S127" s="191"/>
      <x:c r="T127" s="191"/>
      <x:c r="U127" s="191"/>
      <x:c r="V127" s="191"/>
      <x:c r="W127" s="191"/>
      <x:c r="X127" s="191"/>
      <x:c r="Y127" s="191"/>
      <x:c r="Z127" s="191"/>
      <x:c r="AA127" s="191"/>
      <x:c r="AB127" s="191"/>
      <x:c r="AC127" s="191"/>
      <x:c r="AD127" s="191"/>
      <x:c r="AE127" s="191"/>
      <x:c r="AF127" s="191"/>
      <x:c r="AG127" s="191"/>
      <x:c r="AH127" s="191"/>
      <x:c r="AI127" s="191"/>
      <x:c r="AJ127" s="191"/>
      <x:c r="AK127" s="191"/>
    </x:row>
    <x:row r="128">
      <x:c r="A128" s="191"/>
      <x:c r="B128" s="191"/>
      <x:c r="C128" s="191"/>
      <x:c r="D128" s="191"/>
      <x:c r="E128" s="191"/>
      <x:c r="F128" s="191"/>
      <x:c r="G128" s="191"/>
      <x:c r="H128" s="191"/>
      <x:c r="I128" s="191"/>
      <x:c r="J128" s="191"/>
      <x:c r="K128" s="191"/>
      <x:c r="L128" s="191"/>
      <x:c r="M128" s="191"/>
      <x:c r="N128" s="191"/>
      <x:c r="O128" s="191"/>
      <x:c r="P128" s="191"/>
      <x:c r="Q128" s="191"/>
      <x:c r="R128" s="191"/>
      <x:c r="S128" s="191"/>
      <x:c r="T128" s="191"/>
      <x:c r="U128" s="191"/>
      <x:c r="V128" s="191"/>
      <x:c r="W128" s="191"/>
      <x:c r="X128" s="191"/>
      <x:c r="Y128" s="191"/>
      <x:c r="Z128" s="191"/>
      <x:c r="AA128" s="191"/>
      <x:c r="AB128" s="191"/>
      <x:c r="AC128" s="191"/>
      <x:c r="AD128" s="191"/>
      <x:c r="AE128" s="191"/>
      <x:c r="AF128" s="191"/>
      <x:c r="AG128" s="191"/>
      <x:c r="AH128" s="191"/>
      <x:c r="AI128" s="191"/>
      <x:c r="AJ128" s="191"/>
      <x:c r="AK128" s="191"/>
    </x:row>
    <x:row r="129">
      <x:c r="A129" s="191"/>
      <x:c r="B129" s="191"/>
      <x:c r="C129" s="191"/>
      <x:c r="D129" s="191"/>
      <x:c r="E129" s="191"/>
      <x:c r="F129" s="191"/>
      <x:c r="G129" s="191"/>
      <x:c r="H129" s="191"/>
      <x:c r="I129" s="191"/>
      <x:c r="J129" s="191"/>
      <x:c r="K129" s="191"/>
      <x:c r="L129" s="191"/>
      <x:c r="M129" s="191"/>
      <x:c r="N129" s="191"/>
      <x:c r="O129" s="191"/>
      <x:c r="P129" s="191"/>
      <x:c r="Q129" s="191"/>
      <x:c r="R129" s="191"/>
      <x:c r="S129" s="191"/>
      <x:c r="T129" s="191"/>
      <x:c r="U129" s="191"/>
      <x:c r="V129" s="191"/>
      <x:c r="W129" s="191"/>
      <x:c r="X129" s="191"/>
      <x:c r="Y129" s="191"/>
      <x:c r="Z129" s="191"/>
      <x:c r="AA129" s="191"/>
      <x:c r="AB129" s="191"/>
      <x:c r="AC129" s="191"/>
      <x:c r="AD129" s="191"/>
      <x:c r="AE129" s="191"/>
      <x:c r="AF129" s="191"/>
      <x:c r="AG129" s="191"/>
      <x:c r="AH129" s="191"/>
      <x:c r="AI129" s="191"/>
      <x:c r="AJ129" s="191"/>
      <x:c r="AK129" s="191"/>
    </x:row>
    <x:row r="130">
      <x:c r="A130" s="191"/>
      <x:c r="B130" s="191"/>
      <x:c r="C130" s="191"/>
      <x:c r="D130" s="191"/>
      <x:c r="E130" s="191"/>
      <x:c r="F130" s="191"/>
      <x:c r="G130" s="191"/>
      <x:c r="H130" s="191"/>
      <x:c r="I130" s="191"/>
      <x:c r="J130" s="191"/>
      <x:c r="K130" s="191"/>
      <x:c r="L130" s="191"/>
      <x:c r="M130" s="191"/>
      <x:c r="N130" s="191"/>
      <x:c r="O130" s="191"/>
      <x:c r="P130" s="191"/>
      <x:c r="Q130" s="191"/>
      <x:c r="R130" s="191"/>
      <x:c r="S130" s="191"/>
      <x:c r="T130" s="191"/>
      <x:c r="U130" s="191"/>
      <x:c r="V130" s="191"/>
      <x:c r="W130" s="191"/>
      <x:c r="X130" s="191"/>
      <x:c r="Y130" s="191"/>
      <x:c r="Z130" s="191"/>
      <x:c r="AA130" s="191"/>
      <x:c r="AB130" s="191"/>
      <x:c r="AC130" s="191"/>
      <x:c r="AD130" s="191"/>
      <x:c r="AE130" s="191"/>
      <x:c r="AF130" s="191"/>
      <x:c r="AG130" s="191"/>
      <x:c r="AH130" s="191"/>
      <x:c r="AI130" s="191"/>
      <x:c r="AJ130" s="191"/>
      <x:c r="AK130" s="191"/>
    </x:row>
    <x:row r="131">
      <x:c r="A131" s="191"/>
      <x:c r="B131" s="191"/>
      <x:c r="C131" s="191"/>
      <x:c r="D131" s="191"/>
      <x:c r="E131" s="191"/>
      <x:c r="F131" s="191"/>
      <x:c r="G131" s="191"/>
      <x:c r="H131" s="191"/>
      <x:c r="I131" s="191"/>
      <x:c r="J131" s="191"/>
      <x:c r="K131" s="191"/>
      <x:c r="L131" s="191"/>
      <x:c r="M131" s="191"/>
      <x:c r="N131" s="191"/>
      <x:c r="O131" s="191"/>
      <x:c r="P131" s="191"/>
      <x:c r="Q131" s="191"/>
      <x:c r="R131" s="191"/>
      <x:c r="S131" s="191"/>
      <x:c r="T131" s="191"/>
      <x:c r="U131" s="191"/>
      <x:c r="V131" s="191"/>
      <x:c r="W131" s="191"/>
      <x:c r="X131" s="191"/>
      <x:c r="Y131" s="191"/>
      <x:c r="Z131" s="191"/>
      <x:c r="AA131" s="191"/>
      <x:c r="AB131" s="191"/>
      <x:c r="AC131" s="191"/>
      <x:c r="AD131" s="191"/>
      <x:c r="AE131" s="191"/>
      <x:c r="AF131" s="191"/>
      <x:c r="AG131" s="191"/>
      <x:c r="AH131" s="191"/>
      <x:c r="AI131" s="191"/>
      <x:c r="AJ131" s="191"/>
      <x:c r="AK131" s="191"/>
    </x:row>
    <x:row r="132">
      <x:c r="A132" s="191"/>
      <x:c r="B132" s="191"/>
      <x:c r="C132" s="191"/>
      <x:c r="D132" s="191"/>
      <x:c r="E132" s="191"/>
      <x:c r="F132" s="191"/>
      <x:c r="G132" s="191"/>
      <x:c r="H132" s="191"/>
      <x:c r="I132" s="191"/>
      <x:c r="J132" s="191"/>
      <x:c r="K132" s="191"/>
      <x:c r="L132" s="191"/>
      <x:c r="M132" s="191"/>
      <x:c r="N132" s="191"/>
      <x:c r="O132" s="191"/>
      <x:c r="P132" s="191"/>
      <x:c r="Q132" s="191"/>
      <x:c r="R132" s="191"/>
      <x:c r="S132" s="191"/>
      <x:c r="T132" s="191"/>
      <x:c r="U132" s="191"/>
      <x:c r="V132" s="191"/>
      <x:c r="W132" s="191"/>
      <x:c r="X132" s="191"/>
      <x:c r="Y132" s="191"/>
      <x:c r="Z132" s="191"/>
      <x:c r="AA132" s="191"/>
      <x:c r="AB132" s="191"/>
      <x:c r="AC132" s="191"/>
      <x:c r="AD132" s="191"/>
      <x:c r="AE132" s="191"/>
      <x:c r="AF132" s="191"/>
      <x:c r="AG132" s="191"/>
      <x:c r="AH132" s="191"/>
      <x:c r="AI132" s="191"/>
      <x:c r="AJ132" s="191"/>
      <x:c r="AK132" s="191"/>
    </x:row>
    <x:row r="133">
      <x:c r="A133" s="191"/>
      <x:c r="B133" s="191"/>
      <x:c r="C133" s="191"/>
      <x:c r="D133" s="191"/>
      <x:c r="E133" s="191"/>
      <x:c r="F133" s="191"/>
      <x:c r="G133" s="191"/>
      <x:c r="H133" s="191"/>
      <x:c r="I133" s="191"/>
      <x:c r="J133" s="191"/>
      <x:c r="K133" s="191"/>
      <x:c r="L133" s="191"/>
      <x:c r="M133" s="191"/>
      <x:c r="N133" s="191"/>
      <x:c r="O133" s="191"/>
      <x:c r="P133" s="191"/>
      <x:c r="Q133" s="191"/>
      <x:c r="R133" s="191"/>
      <x:c r="S133" s="191"/>
      <x:c r="T133" s="191"/>
      <x:c r="U133" s="191"/>
      <x:c r="V133" s="191"/>
      <x:c r="W133" s="191"/>
      <x:c r="X133" s="191"/>
      <x:c r="Y133" s="191"/>
      <x:c r="Z133" s="191"/>
      <x:c r="AA133" s="191"/>
      <x:c r="AB133" s="191"/>
      <x:c r="AC133" s="191"/>
      <x:c r="AD133" s="191"/>
      <x:c r="AE133" s="191"/>
      <x:c r="AF133" s="191"/>
      <x:c r="AG133" s="191"/>
      <x:c r="AH133" s="191"/>
      <x:c r="AI133" s="191"/>
      <x:c r="AJ133" s="191"/>
      <x:c r="AK133" s="191"/>
    </x:row>
    <x:row r="134">
      <x:c r="A134" s="191"/>
      <x:c r="B134" s="191"/>
      <x:c r="C134" s="191"/>
      <x:c r="D134" s="191"/>
      <x:c r="E134" s="191"/>
      <x:c r="F134" s="191"/>
      <x:c r="G134" s="191"/>
      <x:c r="H134" s="191"/>
      <x:c r="I134" s="191"/>
      <x:c r="J134" s="191"/>
      <x:c r="K134" s="191"/>
      <x:c r="L134" s="191"/>
      <x:c r="M134" s="191"/>
      <x:c r="N134" s="191"/>
      <x:c r="O134" s="191"/>
      <x:c r="P134" s="191"/>
      <x:c r="Q134" s="191"/>
      <x:c r="R134" s="191"/>
      <x:c r="S134" s="191"/>
      <x:c r="T134" s="191"/>
      <x:c r="U134" s="191"/>
      <x:c r="V134" s="191"/>
      <x:c r="W134" s="191"/>
      <x:c r="X134" s="191"/>
      <x:c r="Y134" s="191"/>
      <x:c r="Z134" s="191"/>
      <x:c r="AA134" s="191"/>
      <x:c r="AB134" s="191"/>
      <x:c r="AC134" s="191"/>
      <x:c r="AD134" s="191"/>
      <x:c r="AE134" s="191"/>
      <x:c r="AF134" s="191"/>
      <x:c r="AG134" s="191"/>
      <x:c r="AH134" s="191"/>
      <x:c r="AI134" s="191"/>
      <x:c r="AJ134" s="191"/>
      <x:c r="AK134" s="191"/>
    </x:row>
    <x:row r="135">
      <x:c r="A135" s="191"/>
      <x:c r="B135" s="191"/>
      <x:c r="C135" s="191"/>
      <x:c r="D135" s="191"/>
      <x:c r="E135" s="191"/>
      <x:c r="F135" s="191"/>
      <x:c r="G135" s="191"/>
      <x:c r="H135" s="191"/>
      <x:c r="I135" s="191"/>
      <x:c r="J135" s="191"/>
      <x:c r="K135" s="191"/>
      <x:c r="L135" s="191"/>
      <x:c r="M135" s="191"/>
      <x:c r="N135" s="191"/>
      <x:c r="O135" s="191"/>
      <x:c r="P135" s="191"/>
      <x:c r="Q135" s="191"/>
      <x:c r="R135" s="191"/>
      <x:c r="S135" s="191"/>
      <x:c r="T135" s="191"/>
      <x:c r="U135" s="191"/>
      <x:c r="V135" s="191"/>
      <x:c r="W135" s="191"/>
      <x:c r="X135" s="191"/>
      <x:c r="Y135" s="191"/>
      <x:c r="Z135" s="191"/>
      <x:c r="AA135" s="191"/>
      <x:c r="AB135" s="191"/>
      <x:c r="AC135" s="191"/>
      <x:c r="AD135" s="191"/>
      <x:c r="AE135" s="191"/>
      <x:c r="AF135" s="191"/>
      <x:c r="AG135" s="191"/>
      <x:c r="AH135" s="191"/>
      <x:c r="AI135" s="191"/>
      <x:c r="AJ135" s="191"/>
      <x:c r="AK135" s="191"/>
    </x:row>
    <x:row r="136">
      <x:c r="A136" s="191"/>
      <x:c r="B136" s="191"/>
      <x:c r="C136" s="191"/>
      <x:c r="D136" s="191"/>
      <x:c r="E136" s="191"/>
      <x:c r="F136" s="191"/>
      <x:c r="G136" s="191"/>
      <x:c r="H136" s="191"/>
      <x:c r="I136" s="191"/>
      <x:c r="J136" s="191"/>
      <x:c r="K136" s="191"/>
      <x:c r="L136" s="191"/>
      <x:c r="M136" s="191"/>
      <x:c r="N136" s="191"/>
      <x:c r="O136" s="191"/>
      <x:c r="P136" s="191"/>
      <x:c r="Q136" s="191"/>
      <x:c r="R136" s="191"/>
      <x:c r="S136" s="191"/>
      <x:c r="T136" s="191"/>
      <x:c r="U136" s="191"/>
      <x:c r="V136" s="191"/>
      <x:c r="W136" s="191"/>
      <x:c r="X136" s="191"/>
      <x:c r="Y136" s="191"/>
      <x:c r="Z136" s="191"/>
      <x:c r="AA136" s="191"/>
      <x:c r="AB136" s="191"/>
      <x:c r="AC136" s="191"/>
      <x:c r="AD136" s="191"/>
      <x:c r="AE136" s="191"/>
      <x:c r="AF136" s="191"/>
      <x:c r="AG136" s="191"/>
      <x:c r="AH136" s="191"/>
      <x:c r="AI136" s="191"/>
      <x:c r="AJ136" s="191"/>
      <x:c r="AK136" s="191"/>
    </x:row>
    <x:row r="137">
      <x:c r="A137" s="191"/>
      <x:c r="B137" s="191"/>
      <x:c r="C137" s="191"/>
      <x:c r="D137" s="191"/>
      <x:c r="E137" s="191"/>
      <x:c r="F137" s="191"/>
      <x:c r="G137" s="191"/>
      <x:c r="H137" s="191"/>
      <x:c r="I137" s="191"/>
      <x:c r="J137" s="191"/>
      <x:c r="K137" s="191"/>
      <x:c r="L137" s="191"/>
      <x:c r="M137" s="191"/>
      <x:c r="N137" s="191"/>
      <x:c r="O137" s="191"/>
      <x:c r="P137" s="191"/>
      <x:c r="Q137" s="191"/>
      <x:c r="R137" s="191"/>
      <x:c r="S137" s="191"/>
      <x:c r="T137" s="191"/>
      <x:c r="U137" s="191"/>
      <x:c r="V137" s="191"/>
      <x:c r="W137" s="191"/>
      <x:c r="X137" s="191"/>
      <x:c r="Y137" s="191"/>
      <x:c r="Z137" s="191"/>
      <x:c r="AA137" s="191"/>
      <x:c r="AB137" s="191"/>
      <x:c r="AC137" s="191"/>
      <x:c r="AD137" s="191"/>
      <x:c r="AE137" s="191"/>
      <x:c r="AF137" s="191"/>
      <x:c r="AG137" s="191"/>
      <x:c r="AH137" s="191"/>
      <x:c r="AI137" s="191"/>
      <x:c r="AJ137" s="191"/>
      <x:c r="AK137" s="191"/>
    </x:row>
    <x:row r="138">
      <x:c r="A138" s="191"/>
      <x:c r="B138" s="191"/>
      <x:c r="C138" s="191"/>
      <x:c r="D138" s="191"/>
      <x:c r="E138" s="191"/>
      <x:c r="F138" s="191"/>
      <x:c r="G138" s="191"/>
      <x:c r="H138" s="191"/>
      <x:c r="I138" s="191"/>
      <x:c r="J138" s="191"/>
      <x:c r="K138" s="191"/>
      <x:c r="L138" s="191"/>
      <x:c r="M138" s="191"/>
      <x:c r="N138" s="191"/>
      <x:c r="O138" s="191"/>
      <x:c r="P138" s="191"/>
      <x:c r="Q138" s="191"/>
      <x:c r="R138" s="191"/>
      <x:c r="S138" s="191"/>
      <x:c r="T138" s="191"/>
      <x:c r="U138" s="191"/>
      <x:c r="V138" s="191"/>
      <x:c r="W138" s="191"/>
      <x:c r="X138" s="191"/>
      <x:c r="Y138" s="191"/>
      <x:c r="Z138" s="191"/>
      <x:c r="AA138" s="191"/>
      <x:c r="AB138" s="191"/>
      <x:c r="AC138" s="191"/>
      <x:c r="AD138" s="191"/>
      <x:c r="AE138" s="191"/>
      <x:c r="AF138" s="191"/>
      <x:c r="AG138" s="191"/>
      <x:c r="AH138" s="191"/>
      <x:c r="AI138" s="191"/>
      <x:c r="AJ138" s="191"/>
      <x:c r="AK138" s="191"/>
    </x:row>
    <x:row r="139">
      <x:c r="A139" s="191"/>
      <x:c r="B139" s="191"/>
      <x:c r="C139" s="191"/>
      <x:c r="D139" s="191"/>
      <x:c r="E139" s="191"/>
      <x:c r="F139" s="191"/>
      <x:c r="G139" s="191"/>
      <x:c r="H139" s="191"/>
      <x:c r="I139" s="191"/>
      <x:c r="J139" s="191"/>
      <x:c r="K139" s="191"/>
      <x:c r="L139" s="191"/>
      <x:c r="M139" s="191"/>
      <x:c r="N139" s="191"/>
      <x:c r="O139" s="191"/>
      <x:c r="P139" s="191"/>
      <x:c r="Q139" s="191"/>
      <x:c r="R139" s="191"/>
      <x:c r="S139" s="191"/>
      <x:c r="T139" s="191"/>
      <x:c r="U139" s="191"/>
      <x:c r="V139" s="191"/>
      <x:c r="W139" s="191"/>
      <x:c r="X139" s="191"/>
      <x:c r="Y139" s="191"/>
      <x:c r="Z139" s="191"/>
      <x:c r="AA139" s="191"/>
      <x:c r="AB139" s="191"/>
      <x:c r="AC139" s="191"/>
      <x:c r="AD139" s="191"/>
      <x:c r="AE139" s="191"/>
      <x:c r="AF139" s="191"/>
      <x:c r="AG139" s="191"/>
      <x:c r="AH139" s="191"/>
      <x:c r="AI139" s="191"/>
      <x:c r="AJ139" s="191"/>
      <x:c r="AK139" s="191"/>
    </x:row>
    <x:row r="140">
      <x:c r="A140" s="191"/>
      <x:c r="B140" s="191"/>
      <x:c r="C140" s="191"/>
      <x:c r="D140" s="191"/>
      <x:c r="E140" s="191"/>
      <x:c r="F140" s="191"/>
      <x:c r="G140" s="191"/>
      <x:c r="H140" s="191"/>
      <x:c r="I140" s="191"/>
      <x:c r="J140" s="191"/>
      <x:c r="K140" s="191"/>
      <x:c r="L140" s="191"/>
      <x:c r="M140" s="191"/>
      <x:c r="N140" s="191"/>
      <x:c r="O140" s="191"/>
      <x:c r="P140" s="191"/>
      <x:c r="Q140" s="191"/>
      <x:c r="R140" s="191"/>
      <x:c r="S140" s="191"/>
      <x:c r="T140" s="191"/>
      <x:c r="U140" s="191"/>
      <x:c r="V140" s="191"/>
      <x:c r="W140" s="191"/>
      <x:c r="X140" s="191"/>
      <x:c r="Y140" s="191"/>
      <x:c r="Z140" s="191"/>
      <x:c r="AA140" s="191"/>
      <x:c r="AB140" s="191"/>
      <x:c r="AC140" s="191"/>
      <x:c r="AD140" s="191"/>
      <x:c r="AE140" s="191"/>
      <x:c r="AF140" s="191"/>
      <x:c r="AG140" s="191"/>
      <x:c r="AH140" s="191"/>
      <x:c r="AI140" s="191"/>
      <x:c r="AJ140" s="191"/>
      <x:c r="AK140" s="191"/>
    </x:row>
    <x:row r="141">
      <x:c r="A141" s="191"/>
      <x:c r="B141" s="191"/>
      <x:c r="C141" s="191"/>
      <x:c r="D141" s="191"/>
      <x:c r="E141" s="191"/>
      <x:c r="F141" s="191"/>
      <x:c r="G141" s="191"/>
      <x:c r="H141" s="191"/>
      <x:c r="I141" s="191"/>
      <x:c r="J141" s="191"/>
      <x:c r="K141" s="191"/>
      <x:c r="L141" s="191"/>
      <x:c r="M141" s="191"/>
      <x:c r="N141" s="191"/>
      <x:c r="O141" s="191"/>
      <x:c r="P141" s="191"/>
      <x:c r="Q141" s="191"/>
      <x:c r="R141" s="191"/>
      <x:c r="S141" s="191"/>
      <x:c r="T141" s="191"/>
      <x:c r="U141" s="191"/>
      <x:c r="V141" s="191"/>
      <x:c r="W141" s="191"/>
      <x:c r="X141" s="191"/>
      <x:c r="Y141" s="191"/>
      <x:c r="Z141" s="191"/>
      <x:c r="AA141" s="191"/>
      <x:c r="AB141" s="191"/>
      <x:c r="AC141" s="191"/>
      <x:c r="AD141" s="191"/>
      <x:c r="AE141" s="191"/>
      <x:c r="AF141" s="191"/>
      <x:c r="AG141" s="191"/>
      <x:c r="AH141" s="191"/>
      <x:c r="AI141" s="191"/>
      <x:c r="AJ141" s="191"/>
      <x:c r="AK141" s="191"/>
    </x:row>
    <x:row r="142">
      <x:c r="A142" s="191"/>
      <x:c r="B142" s="191"/>
      <x:c r="C142" s="191"/>
      <x:c r="D142" s="191"/>
      <x:c r="E142" s="191"/>
      <x:c r="F142" s="191"/>
      <x:c r="G142" s="191"/>
      <x:c r="H142" s="191"/>
      <x:c r="I142" s="191"/>
      <x:c r="J142" s="191"/>
      <x:c r="K142" s="191"/>
      <x:c r="L142" s="191"/>
      <x:c r="M142" s="191"/>
      <x:c r="N142" s="191"/>
      <x:c r="O142" s="191"/>
      <x:c r="P142" s="191"/>
      <x:c r="Q142" s="191"/>
      <x:c r="R142" s="191"/>
      <x:c r="S142" s="191"/>
      <x:c r="T142" s="191"/>
      <x:c r="U142" s="191"/>
      <x:c r="V142" s="191"/>
      <x:c r="W142" s="191"/>
      <x:c r="X142" s="191"/>
      <x:c r="Y142" s="191"/>
      <x:c r="Z142" s="191"/>
      <x:c r="AA142" s="191"/>
      <x:c r="AB142" s="191"/>
      <x:c r="AC142" s="191"/>
      <x:c r="AD142" s="191"/>
      <x:c r="AE142" s="191"/>
      <x:c r="AF142" s="191"/>
      <x:c r="AG142" s="191"/>
      <x:c r="AH142" s="191"/>
      <x:c r="AI142" s="191"/>
      <x:c r="AJ142" s="191"/>
      <x:c r="AK142" s="191"/>
    </x:row>
    <x:row r="143">
      <x:c r="A143" s="191"/>
      <x:c r="B143" s="191"/>
      <x:c r="C143" s="191"/>
      <x:c r="D143" s="191"/>
      <x:c r="E143" s="191"/>
      <x:c r="F143" s="191"/>
      <x:c r="G143" s="191"/>
      <x:c r="H143" s="191"/>
      <x:c r="I143" s="191"/>
      <x:c r="J143" s="191"/>
      <x:c r="K143" s="191"/>
      <x:c r="L143" s="191"/>
      <x:c r="M143" s="191"/>
      <x:c r="N143" s="191"/>
      <x:c r="O143" s="191"/>
      <x:c r="P143" s="191"/>
      <x:c r="Q143" s="191"/>
      <x:c r="R143" s="191"/>
      <x:c r="S143" s="191"/>
      <x:c r="T143" s="191"/>
      <x:c r="U143" s="191"/>
      <x:c r="V143" s="191"/>
      <x:c r="W143" s="191"/>
      <x:c r="X143" s="191"/>
      <x:c r="Y143" s="191"/>
      <x:c r="Z143" s="191"/>
      <x:c r="AA143" s="191"/>
      <x:c r="AB143" s="191"/>
      <x:c r="AC143" s="191"/>
      <x:c r="AD143" s="191"/>
      <x:c r="AE143" s="191"/>
      <x:c r="AF143" s="191"/>
      <x:c r="AG143" s="191"/>
      <x:c r="AH143" s="191"/>
      <x:c r="AI143" s="191"/>
      <x:c r="AJ143" s="191"/>
      <x:c r="AK143" s="191"/>
    </x:row>
    <x:row r="144">
      <x:c r="A144" s="191"/>
      <x:c r="B144" s="191"/>
      <x:c r="C144" s="191"/>
      <x:c r="D144" s="191"/>
      <x:c r="E144" s="191"/>
      <x:c r="F144" s="191"/>
      <x:c r="G144" s="191"/>
      <x:c r="H144" s="191"/>
      <x:c r="I144" s="191"/>
      <x:c r="J144" s="191"/>
      <x:c r="K144" s="191"/>
      <x:c r="L144" s="191"/>
      <x:c r="M144" s="191"/>
      <x:c r="N144" s="191"/>
      <x:c r="O144" s="191"/>
      <x:c r="P144" s="191"/>
      <x:c r="Q144" s="191"/>
      <x:c r="R144" s="191"/>
      <x:c r="S144" s="191"/>
      <x:c r="T144" s="191"/>
      <x:c r="U144" s="191"/>
      <x:c r="V144" s="191"/>
      <x:c r="W144" s="191"/>
      <x:c r="X144" s="191"/>
      <x:c r="Y144" s="191"/>
      <x:c r="Z144" s="191"/>
      <x:c r="AA144" s="191"/>
      <x:c r="AB144" s="191"/>
      <x:c r="AC144" s="191"/>
      <x:c r="AD144" s="191"/>
      <x:c r="AE144" s="191"/>
      <x:c r="AF144" s="191"/>
      <x:c r="AG144" s="191"/>
      <x:c r="AH144" s="191"/>
      <x:c r="AI144" s="191"/>
      <x:c r="AJ144" s="191"/>
      <x:c r="AK144" s="191"/>
    </x:row>
    <x:row r="145">
      <x:c r="A145" s="191"/>
      <x:c r="B145" s="191"/>
      <x:c r="C145" s="191"/>
      <x:c r="D145" s="191"/>
      <x:c r="E145" s="191"/>
      <x:c r="F145" s="191"/>
      <x:c r="G145" s="191"/>
      <x:c r="H145" s="191"/>
      <x:c r="I145" s="191"/>
      <x:c r="J145" s="191"/>
      <x:c r="K145" s="191"/>
      <x:c r="L145" s="191"/>
      <x:c r="M145" s="191"/>
      <x:c r="N145" s="191"/>
      <x:c r="O145" s="191"/>
      <x:c r="P145" s="191"/>
      <x:c r="Q145" s="191"/>
      <x:c r="R145" s="191"/>
      <x:c r="S145" s="191"/>
      <x:c r="T145" s="191"/>
      <x:c r="U145" s="191"/>
      <x:c r="V145" s="191"/>
      <x:c r="W145" s="191"/>
      <x:c r="X145" s="191"/>
      <x:c r="Y145" s="191"/>
      <x:c r="Z145" s="191"/>
      <x:c r="AA145" s="191"/>
      <x:c r="AB145" s="191"/>
      <x:c r="AC145" s="191"/>
      <x:c r="AD145" s="191"/>
      <x:c r="AE145" s="191"/>
      <x:c r="AF145" s="191"/>
      <x:c r="AG145" s="191"/>
      <x:c r="AH145" s="191"/>
      <x:c r="AI145" s="191"/>
      <x:c r="AJ145" s="191"/>
      <x:c r="AK145" s="191"/>
    </x:row>
    <x:row r="146">
      <x:c r="A146" s="191"/>
      <x:c r="B146" s="191"/>
      <x:c r="C146" s="191"/>
      <x:c r="D146" s="191"/>
      <x:c r="E146" s="191"/>
      <x:c r="F146" s="191"/>
      <x:c r="G146" s="191"/>
      <x:c r="H146" s="191"/>
      <x:c r="I146" s="191"/>
      <x:c r="J146" s="191"/>
      <x:c r="K146" s="191"/>
      <x:c r="L146" s="191"/>
      <x:c r="M146" s="191"/>
      <x:c r="N146" s="191"/>
      <x:c r="O146" s="191"/>
      <x:c r="P146" s="191"/>
      <x:c r="Q146" s="191"/>
      <x:c r="R146" s="191"/>
      <x:c r="S146" s="191"/>
      <x:c r="T146" s="191"/>
      <x:c r="U146" s="191"/>
      <x:c r="V146" s="191"/>
      <x:c r="W146" s="191"/>
      <x:c r="X146" s="191"/>
      <x:c r="Y146" s="191"/>
      <x:c r="Z146" s="191"/>
      <x:c r="AA146" s="191"/>
      <x:c r="AB146" s="191"/>
      <x:c r="AC146" s="191"/>
      <x:c r="AD146" s="191"/>
      <x:c r="AE146" s="191"/>
      <x:c r="AF146" s="191"/>
      <x:c r="AG146" s="191"/>
      <x:c r="AH146" s="191"/>
      <x:c r="AI146" s="191"/>
      <x:c r="AJ146" s="191"/>
      <x:c r="AK146" s="191"/>
    </x:row>
    <x:row r="147">
      <x:c r="A147" s="191"/>
      <x:c r="B147" s="191"/>
      <x:c r="C147" s="191"/>
      <x:c r="D147" s="191"/>
      <x:c r="E147" s="191"/>
      <x:c r="F147" s="191"/>
      <x:c r="G147" s="191"/>
      <x:c r="H147" s="191"/>
      <x:c r="I147" s="191"/>
      <x:c r="J147" s="191"/>
      <x:c r="K147" s="191"/>
      <x:c r="L147" s="191"/>
      <x:c r="M147" s="191"/>
      <x:c r="N147" s="191"/>
      <x:c r="O147" s="191"/>
      <x:c r="P147" s="191"/>
      <x:c r="Q147" s="191"/>
      <x:c r="R147" s="191"/>
      <x:c r="S147" s="191"/>
      <x:c r="T147" s="191"/>
      <x:c r="U147" s="191"/>
      <x:c r="V147" s="191"/>
      <x:c r="W147" s="191"/>
      <x:c r="X147" s="191"/>
      <x:c r="Y147" s="191"/>
      <x:c r="Z147" s="191"/>
      <x:c r="AA147" s="191"/>
      <x:c r="AB147" s="191"/>
      <x:c r="AC147" s="191"/>
      <x:c r="AD147" s="191"/>
      <x:c r="AE147" s="191"/>
      <x:c r="AF147" s="191"/>
      <x:c r="AG147" s="191"/>
      <x:c r="AH147" s="191"/>
      <x:c r="AI147" s="191"/>
      <x:c r="AJ147" s="191"/>
      <x:c r="AK147" s="191"/>
    </x:row>
    <x:row r="148">
      <x:c r="A148" s="191"/>
      <x:c r="B148" s="191"/>
      <x:c r="C148" s="191"/>
      <x:c r="D148" s="191"/>
      <x:c r="E148" s="191"/>
      <x:c r="F148" s="191"/>
      <x:c r="G148" s="191"/>
      <x:c r="H148" s="191"/>
      <x:c r="I148" s="191"/>
      <x:c r="J148" s="191"/>
      <x:c r="K148" s="191"/>
      <x:c r="L148" s="191"/>
      <x:c r="M148" s="191"/>
      <x:c r="N148" s="191"/>
      <x:c r="O148" s="191"/>
      <x:c r="P148" s="191"/>
      <x:c r="Q148" s="191"/>
      <x:c r="R148" s="191"/>
      <x:c r="S148" s="191"/>
      <x:c r="T148" s="191"/>
      <x:c r="U148" s="191"/>
      <x:c r="V148" s="191"/>
      <x:c r="W148" s="191"/>
      <x:c r="X148" s="191"/>
      <x:c r="Y148" s="191"/>
      <x:c r="Z148" s="191"/>
      <x:c r="AA148" s="191"/>
      <x:c r="AB148" s="191"/>
      <x:c r="AC148" s="191"/>
      <x:c r="AD148" s="191"/>
      <x:c r="AE148" s="191"/>
      <x:c r="AF148" s="191"/>
      <x:c r="AG148" s="191"/>
      <x:c r="AH148" s="191"/>
      <x:c r="AI148" s="191"/>
      <x:c r="AJ148" s="191"/>
      <x:c r="AK148" s="191"/>
    </x:row>
    <x:row r="149">
      <x:c r="A149" s="191"/>
      <x:c r="B149" s="191"/>
      <x:c r="C149" s="191"/>
      <x:c r="D149" s="191"/>
      <x:c r="E149" s="191"/>
      <x:c r="F149" s="191"/>
      <x:c r="G149" s="191"/>
      <x:c r="H149" s="191"/>
      <x:c r="I149" s="191"/>
      <x:c r="J149" s="191"/>
      <x:c r="K149" s="191"/>
      <x:c r="L149" s="191"/>
      <x:c r="M149" s="191"/>
      <x:c r="N149" s="191"/>
      <x:c r="O149" s="191"/>
      <x:c r="P149" s="191"/>
      <x:c r="Q149" s="191"/>
      <x:c r="R149" s="191"/>
      <x:c r="S149" s="191"/>
      <x:c r="T149" s="191"/>
      <x:c r="U149" s="191"/>
      <x:c r="V149" s="191"/>
      <x:c r="W149" s="191"/>
      <x:c r="X149" s="191"/>
      <x:c r="Y149" s="191"/>
      <x:c r="Z149" s="191"/>
      <x:c r="AA149" s="191"/>
      <x:c r="AB149" s="191"/>
      <x:c r="AC149" s="191"/>
      <x:c r="AD149" s="191"/>
      <x:c r="AE149" s="191"/>
      <x:c r="AF149" s="191"/>
      <x:c r="AG149" s="191"/>
      <x:c r="AH149" s="191"/>
      <x:c r="AI149" s="191"/>
      <x:c r="AJ149" s="191"/>
      <x:c r="AK149" s="191"/>
    </x:row>
    <x:row r="150">
      <x:c r="A150" s="191"/>
      <x:c r="B150" s="191"/>
      <x:c r="C150" s="191"/>
      <x:c r="D150" s="191"/>
      <x:c r="E150" s="191"/>
      <x:c r="F150" s="191"/>
      <x:c r="G150" s="191"/>
      <x:c r="H150" s="191"/>
      <x:c r="I150" s="191"/>
      <x:c r="J150" s="191"/>
      <x:c r="K150" s="191"/>
      <x:c r="L150" s="191"/>
      <x:c r="M150" s="191"/>
      <x:c r="N150" s="191"/>
      <x:c r="O150" s="191"/>
      <x:c r="P150" s="191"/>
      <x:c r="Q150" s="191"/>
      <x:c r="R150" s="191"/>
      <x:c r="S150" s="191"/>
      <x:c r="T150" s="191"/>
      <x:c r="U150" s="191"/>
      <x:c r="V150" s="191"/>
      <x:c r="W150" s="191"/>
      <x:c r="X150" s="191"/>
      <x:c r="Y150" s="191"/>
      <x:c r="Z150" s="191"/>
      <x:c r="AA150" s="191"/>
      <x:c r="AB150" s="191"/>
      <x:c r="AC150" s="191"/>
      <x:c r="AD150" s="191"/>
      <x:c r="AE150" s="191"/>
      <x:c r="AF150" s="191"/>
      <x:c r="AG150" s="191"/>
      <x:c r="AH150" s="191"/>
      <x:c r="AI150" s="191"/>
      <x:c r="AJ150" s="191"/>
      <x:c r="AK150" s="191"/>
    </x:row>
    <x:row r="151">
      <x:c r="A151" s="191"/>
      <x:c r="B151" s="191"/>
      <x:c r="C151" s="191"/>
      <x:c r="D151" s="191"/>
      <x:c r="E151" s="191"/>
      <x:c r="F151" s="191"/>
      <x:c r="G151" s="191"/>
      <x:c r="H151" s="191"/>
      <x:c r="I151" s="191"/>
      <x:c r="J151" s="191"/>
      <x:c r="K151" s="191"/>
      <x:c r="L151" s="191"/>
      <x:c r="M151" s="191"/>
      <x:c r="N151" s="191"/>
      <x:c r="O151" s="191"/>
      <x:c r="P151" s="191"/>
      <x:c r="Q151" s="191"/>
      <x:c r="R151" s="191"/>
      <x:c r="S151" s="191"/>
      <x:c r="T151" s="191"/>
      <x:c r="U151" s="191"/>
      <x:c r="V151" s="191"/>
      <x:c r="W151" s="191"/>
      <x:c r="X151" s="191"/>
      <x:c r="Y151" s="191"/>
      <x:c r="Z151" s="191"/>
      <x:c r="AA151" s="191"/>
      <x:c r="AB151" s="191"/>
      <x:c r="AC151" s="191"/>
      <x:c r="AD151" s="191"/>
      <x:c r="AE151" s="191"/>
      <x:c r="AF151" s="191"/>
      <x:c r="AG151" s="191"/>
      <x:c r="AH151" s="191"/>
      <x:c r="AI151" s="191"/>
      <x:c r="AJ151" s="191"/>
      <x:c r="AK151" s="191"/>
    </x:row>
    <x:row r="152">
      <x:c r="A152" s="191"/>
      <x:c r="B152" s="191"/>
      <x:c r="C152" s="191"/>
      <x:c r="D152" s="191"/>
      <x:c r="E152" s="191"/>
      <x:c r="F152" s="191"/>
      <x:c r="G152" s="191"/>
      <x:c r="H152" s="191"/>
      <x:c r="I152" s="191"/>
      <x:c r="J152" s="191"/>
      <x:c r="K152" s="191"/>
      <x:c r="L152" s="191"/>
      <x:c r="M152" s="191"/>
      <x:c r="N152" s="191"/>
      <x:c r="O152" s="191"/>
      <x:c r="P152" s="191"/>
      <x:c r="Q152" s="191"/>
      <x:c r="R152" s="191"/>
      <x:c r="S152" s="191"/>
      <x:c r="T152" s="191"/>
      <x:c r="U152" s="191"/>
      <x:c r="V152" s="191"/>
      <x:c r="W152" s="191"/>
      <x:c r="X152" s="191"/>
      <x:c r="Y152" s="191"/>
      <x:c r="Z152" s="191"/>
      <x:c r="AA152" s="191"/>
      <x:c r="AB152" s="191"/>
      <x:c r="AC152" s="191"/>
      <x:c r="AD152" s="191"/>
      <x:c r="AE152" s="191"/>
      <x:c r="AF152" s="191"/>
      <x:c r="AG152" s="191"/>
      <x:c r="AH152" s="191"/>
      <x:c r="AI152" s="191"/>
      <x:c r="AJ152" s="191"/>
      <x:c r="AK152" s="191"/>
    </x:row>
    <x:row r="153">
      <x:c r="A153" s="191"/>
      <x:c r="B153" s="191"/>
      <x:c r="C153" s="191"/>
      <x:c r="D153" s="191"/>
      <x:c r="E153" s="191"/>
      <x:c r="F153" s="191"/>
      <x:c r="G153" s="191"/>
      <x:c r="H153" s="191"/>
      <x:c r="I153" s="191"/>
      <x:c r="J153" s="191"/>
      <x:c r="K153" s="191"/>
      <x:c r="L153" s="191"/>
      <x:c r="M153" s="191"/>
      <x:c r="N153" s="191"/>
      <x:c r="O153" s="191"/>
      <x:c r="P153" s="191"/>
      <x:c r="Q153" s="191"/>
      <x:c r="R153" s="191"/>
      <x:c r="S153" s="191"/>
      <x:c r="T153" s="191"/>
      <x:c r="U153" s="191"/>
      <x:c r="V153" s="191"/>
      <x:c r="W153" s="191"/>
      <x:c r="X153" s="191"/>
      <x:c r="Y153" s="191"/>
      <x:c r="Z153" s="191"/>
      <x:c r="AA153" s="191"/>
      <x:c r="AB153" s="191"/>
      <x:c r="AC153" s="191"/>
      <x:c r="AD153" s="191"/>
      <x:c r="AE153" s="191"/>
      <x:c r="AF153" s="191"/>
      <x:c r="AG153" s="191"/>
      <x:c r="AH153" s="191"/>
      <x:c r="AI153" s="191"/>
      <x:c r="AJ153" s="191"/>
      <x:c r="AK153" s="191"/>
    </x:row>
    <x:row r="154">
      <x:c r="A154" s="191"/>
      <x:c r="B154" s="191"/>
      <x:c r="C154" s="191"/>
      <x:c r="D154" s="191"/>
      <x:c r="E154" s="191"/>
      <x:c r="F154" s="191"/>
      <x:c r="G154" s="191"/>
      <x:c r="H154" s="191"/>
      <x:c r="I154" s="191"/>
      <x:c r="J154" s="191"/>
      <x:c r="K154" s="191"/>
      <x:c r="L154" s="191"/>
      <x:c r="M154" s="191"/>
      <x:c r="N154" s="191"/>
      <x:c r="O154" s="191"/>
      <x:c r="P154" s="191"/>
      <x:c r="Q154" s="191"/>
      <x:c r="R154" s="191"/>
      <x:c r="S154" s="191"/>
      <x:c r="T154" s="191"/>
      <x:c r="U154" s="191"/>
      <x:c r="V154" s="191"/>
      <x:c r="W154" s="191"/>
      <x:c r="X154" s="191"/>
      <x:c r="Y154" s="191"/>
      <x:c r="Z154" s="191"/>
      <x:c r="AA154" s="191"/>
      <x:c r="AB154" s="191"/>
      <x:c r="AC154" s="191"/>
      <x:c r="AD154" s="191"/>
      <x:c r="AE154" s="191"/>
      <x:c r="AF154" s="191"/>
      <x:c r="AG154" s="191"/>
      <x:c r="AH154" s="191"/>
      <x:c r="AI154" s="191"/>
      <x:c r="AJ154" s="191"/>
      <x:c r="AK154" s="191"/>
    </x:row>
    <x:row r="155">
      <x:c r="A155" s="191"/>
      <x:c r="B155" s="191"/>
      <x:c r="C155" s="191"/>
      <x:c r="D155" s="191"/>
      <x:c r="E155" s="191"/>
      <x:c r="F155" s="191"/>
      <x:c r="G155" s="191"/>
      <x:c r="H155" s="191"/>
      <x:c r="I155" s="191"/>
      <x:c r="J155" s="191"/>
      <x:c r="K155" s="191"/>
      <x:c r="L155" s="191"/>
      <x:c r="M155" s="191"/>
      <x:c r="N155" s="191"/>
      <x:c r="O155" s="191"/>
      <x:c r="P155" s="191"/>
      <x:c r="Q155" s="191"/>
      <x:c r="R155" s="191"/>
      <x:c r="S155" s="191"/>
      <x:c r="T155" s="191"/>
      <x:c r="U155" s="191"/>
      <x:c r="V155" s="191"/>
      <x:c r="W155" s="191"/>
      <x:c r="X155" s="191"/>
      <x:c r="Y155" s="191"/>
      <x:c r="Z155" s="191"/>
      <x:c r="AA155" s="191"/>
      <x:c r="AB155" s="191"/>
      <x:c r="AC155" s="191"/>
      <x:c r="AD155" s="191"/>
      <x:c r="AE155" s="191"/>
      <x:c r="AF155" s="191"/>
      <x:c r="AG155" s="191"/>
      <x:c r="AH155" s="191"/>
      <x:c r="AI155" s="191"/>
      <x:c r="AJ155" s="191"/>
      <x:c r="AK155" s="191"/>
    </x:row>
    <x:row r="156">
      <x:c r="A156" s="191"/>
      <x:c r="B156" s="191"/>
      <x:c r="C156" s="191"/>
      <x:c r="D156" s="191"/>
      <x:c r="E156" s="191"/>
      <x:c r="F156" s="191"/>
      <x:c r="G156" s="191"/>
      <x:c r="H156" s="191"/>
      <x:c r="I156" s="191"/>
      <x:c r="J156" s="191"/>
      <x:c r="K156" s="191"/>
      <x:c r="L156" s="191"/>
      <x:c r="M156" s="191"/>
      <x:c r="N156" s="191"/>
      <x:c r="O156" s="191"/>
      <x:c r="P156" s="191"/>
      <x:c r="Q156" s="191"/>
      <x:c r="R156" s="191"/>
      <x:c r="S156" s="191"/>
      <x:c r="T156" s="191"/>
      <x:c r="U156" s="191"/>
      <x:c r="V156" s="191"/>
      <x:c r="W156" s="191"/>
      <x:c r="X156" s="191"/>
      <x:c r="Y156" s="191"/>
      <x:c r="Z156" s="191"/>
      <x:c r="AA156" s="191"/>
      <x:c r="AB156" s="191"/>
      <x:c r="AC156" s="191"/>
      <x:c r="AD156" s="191"/>
      <x:c r="AE156" s="191"/>
      <x:c r="AF156" s="191"/>
      <x:c r="AG156" s="191"/>
      <x:c r="AH156" s="191"/>
      <x:c r="AI156" s="191"/>
      <x:c r="AJ156" s="191"/>
      <x:c r="AK156" s="191"/>
    </x:row>
    <x:row r="157">
      <x:c r="A157" s="191"/>
      <x:c r="B157" s="191"/>
      <x:c r="C157" s="191"/>
      <x:c r="D157" s="191"/>
      <x:c r="E157" s="191"/>
      <x:c r="F157" s="191"/>
      <x:c r="G157" s="191"/>
      <x:c r="H157" s="191"/>
      <x:c r="I157" s="191"/>
      <x:c r="J157" s="191"/>
      <x:c r="K157" s="191"/>
      <x:c r="L157" s="191"/>
      <x:c r="M157" s="191"/>
      <x:c r="N157" s="191"/>
      <x:c r="O157" s="191"/>
      <x:c r="P157" s="191"/>
      <x:c r="Q157" s="191"/>
      <x:c r="R157" s="191"/>
      <x:c r="S157" s="191"/>
      <x:c r="T157" s="191"/>
      <x:c r="U157" s="191"/>
      <x:c r="V157" s="191"/>
      <x:c r="W157" s="191"/>
      <x:c r="X157" s="191"/>
      <x:c r="Y157" s="191"/>
      <x:c r="Z157" s="191"/>
      <x:c r="AA157" s="191"/>
      <x:c r="AB157" s="191"/>
      <x:c r="AC157" s="191"/>
      <x:c r="AD157" s="191"/>
      <x:c r="AE157" s="191"/>
      <x:c r="AF157" s="191"/>
      <x:c r="AG157" s="191"/>
      <x:c r="AH157" s="191"/>
      <x:c r="AI157" s="191"/>
      <x:c r="AJ157" s="191"/>
      <x:c r="AK157" s="191"/>
    </x:row>
    <x:row r="158">
      <x:c r="A158" s="191"/>
      <x:c r="B158" s="191"/>
      <x:c r="C158" s="191"/>
      <x:c r="D158" s="191"/>
      <x:c r="E158" s="191"/>
      <x:c r="F158" s="191"/>
      <x:c r="G158" s="191"/>
      <x:c r="H158" s="191"/>
      <x:c r="I158" s="191"/>
      <x:c r="J158" s="191"/>
      <x:c r="K158" s="191"/>
      <x:c r="L158" s="191"/>
      <x:c r="M158" s="191"/>
      <x:c r="N158" s="191"/>
      <x:c r="O158" s="191"/>
      <x:c r="P158" s="191"/>
      <x:c r="Q158" s="191"/>
      <x:c r="R158" s="191"/>
      <x:c r="S158" s="191"/>
      <x:c r="T158" s="191"/>
      <x:c r="U158" s="191"/>
      <x:c r="V158" s="191"/>
      <x:c r="W158" s="191"/>
      <x:c r="X158" s="191"/>
      <x:c r="Y158" s="191"/>
      <x:c r="Z158" s="191"/>
      <x:c r="AA158" s="191"/>
      <x:c r="AB158" s="191"/>
      <x:c r="AC158" s="191"/>
      <x:c r="AD158" s="191"/>
      <x:c r="AE158" s="191"/>
      <x:c r="AF158" s="191"/>
      <x:c r="AG158" s="191"/>
      <x:c r="AH158" s="191"/>
      <x:c r="AI158" s="191"/>
      <x:c r="AJ158" s="191"/>
      <x:c r="AK158" s="191"/>
    </x:row>
    <x:row r="159">
      <x:c r="A159" s="191"/>
      <x:c r="B159" s="191"/>
      <x:c r="C159" s="191"/>
      <x:c r="D159" s="191"/>
      <x:c r="E159" s="191"/>
      <x:c r="F159" s="191"/>
      <x:c r="G159" s="191"/>
      <x:c r="H159" s="191"/>
      <x:c r="I159" s="191"/>
      <x:c r="J159" s="191"/>
      <x:c r="K159" s="191"/>
      <x:c r="L159" s="191"/>
      <x:c r="M159" s="191"/>
      <x:c r="N159" s="191"/>
      <x:c r="O159" s="191"/>
      <x:c r="P159" s="191"/>
      <x:c r="Q159" s="191"/>
      <x:c r="R159" s="191"/>
      <x:c r="S159" s="191"/>
      <x:c r="T159" s="191"/>
      <x:c r="U159" s="191"/>
      <x:c r="V159" s="191"/>
      <x:c r="W159" s="191"/>
      <x:c r="X159" s="191"/>
      <x:c r="Y159" s="191"/>
      <x:c r="Z159" s="191"/>
      <x:c r="AA159" s="191"/>
      <x:c r="AB159" s="191"/>
      <x:c r="AC159" s="191"/>
      <x:c r="AD159" s="191"/>
      <x:c r="AE159" s="191"/>
      <x:c r="AF159" s="191"/>
      <x:c r="AG159" s="191"/>
      <x:c r="AH159" s="191"/>
      <x:c r="AI159" s="191"/>
      <x:c r="AJ159" s="191"/>
      <x:c r="AK159" s="191"/>
    </x:row>
    <x:row r="160">
      <x:c r="A160" s="191"/>
      <x:c r="B160" s="191"/>
      <x:c r="C160" s="191"/>
      <x:c r="D160" s="191"/>
      <x:c r="E160" s="191"/>
      <x:c r="F160" s="191"/>
      <x:c r="G160" s="191"/>
      <x:c r="H160" s="191"/>
      <x:c r="I160" s="191"/>
      <x:c r="J160" s="191"/>
      <x:c r="K160" s="191"/>
      <x:c r="L160" s="191"/>
      <x:c r="M160" s="191"/>
      <x:c r="N160" s="191"/>
      <x:c r="O160" s="191"/>
      <x:c r="P160" s="191"/>
      <x:c r="Q160" s="191"/>
      <x:c r="R160" s="191"/>
      <x:c r="S160" s="191"/>
      <x:c r="T160" s="191"/>
      <x:c r="U160" s="191"/>
      <x:c r="V160" s="191"/>
      <x:c r="W160" s="191"/>
      <x:c r="X160" s="191"/>
      <x:c r="Y160" s="191"/>
      <x:c r="Z160" s="191"/>
      <x:c r="AA160" s="191"/>
      <x:c r="AB160" s="191"/>
      <x:c r="AC160" s="191"/>
      <x:c r="AD160" s="191"/>
      <x:c r="AE160" s="191"/>
      <x:c r="AF160" s="191"/>
      <x:c r="AG160" s="191"/>
      <x:c r="AH160" s="191"/>
      <x:c r="AI160" s="191"/>
      <x:c r="AJ160" s="191"/>
      <x:c r="AK160" s="191"/>
    </x:row>
    <x:row r="161">
      <x:c r="A161" s="191"/>
      <x:c r="B161" s="191"/>
      <x:c r="C161" s="191"/>
      <x:c r="D161" s="191"/>
      <x:c r="E161" s="191"/>
      <x:c r="F161" s="191"/>
      <x:c r="G161" s="191"/>
      <x:c r="H161" s="191"/>
      <x:c r="I161" s="191"/>
      <x:c r="J161" s="191"/>
      <x:c r="K161" s="191"/>
      <x:c r="L161" s="191"/>
      <x:c r="M161" s="191"/>
      <x:c r="N161" s="191"/>
      <x:c r="O161" s="191"/>
      <x:c r="P161" s="191"/>
      <x:c r="Q161" s="191"/>
      <x:c r="R161" s="191"/>
      <x:c r="S161" s="191"/>
      <x:c r="T161" s="191"/>
      <x:c r="U161" s="191"/>
      <x:c r="V161" s="191"/>
      <x:c r="W161" s="191"/>
      <x:c r="X161" s="191"/>
      <x:c r="Y161" s="191"/>
      <x:c r="Z161" s="191"/>
      <x:c r="AA161" s="191"/>
      <x:c r="AB161" s="191"/>
      <x:c r="AC161" s="191"/>
      <x:c r="AD161" s="191"/>
      <x:c r="AE161" s="191"/>
      <x:c r="AF161" s="191"/>
      <x:c r="AG161" s="191"/>
      <x:c r="AH161" s="191"/>
      <x:c r="AI161" s="191"/>
      <x:c r="AJ161" s="191"/>
      <x:c r="AK161" s="191"/>
    </x:row>
    <x:row r="162">
      <x:c r="A162" s="191"/>
      <x:c r="B162" s="191"/>
      <x:c r="C162" s="191"/>
      <x:c r="D162" s="191"/>
      <x:c r="E162" s="191"/>
      <x:c r="F162" s="191"/>
      <x:c r="G162" s="191"/>
      <x:c r="H162" s="191"/>
      <x:c r="I162" s="191"/>
      <x:c r="J162" s="191"/>
      <x:c r="K162" s="191"/>
      <x:c r="L162" s="191"/>
      <x:c r="M162" s="191"/>
      <x:c r="N162" s="191"/>
      <x:c r="O162" s="191"/>
      <x:c r="P162" s="191"/>
      <x:c r="Q162" s="191"/>
      <x:c r="R162" s="191"/>
      <x:c r="S162" s="191"/>
      <x:c r="T162" s="191"/>
      <x:c r="U162" s="191"/>
      <x:c r="V162" s="191"/>
      <x:c r="W162" s="191"/>
      <x:c r="X162" s="191"/>
      <x:c r="Y162" s="191"/>
      <x:c r="Z162" s="191"/>
      <x:c r="AA162" s="191"/>
      <x:c r="AB162" s="191"/>
      <x:c r="AC162" s="191"/>
      <x:c r="AD162" s="191"/>
      <x:c r="AE162" s="191"/>
      <x:c r="AF162" s="191"/>
      <x:c r="AG162" s="191"/>
      <x:c r="AH162" s="191"/>
      <x:c r="AI162" s="191"/>
      <x:c r="AJ162" s="191"/>
      <x:c r="AK162" s="191"/>
    </x:row>
    <x:row r="163">
      <x:c r="A163" s="191"/>
      <x:c r="B163" s="191"/>
      <x:c r="C163" s="191"/>
      <x:c r="D163" s="191"/>
      <x:c r="E163" s="191"/>
      <x:c r="F163" s="191"/>
      <x:c r="G163" s="191"/>
      <x:c r="H163" s="191"/>
      <x:c r="I163" s="191"/>
      <x:c r="J163" s="191"/>
      <x:c r="K163" s="191"/>
      <x:c r="L163" s="191"/>
      <x:c r="M163" s="191"/>
      <x:c r="N163" s="191"/>
      <x:c r="O163" s="191"/>
      <x:c r="P163" s="191"/>
      <x:c r="Q163" s="191"/>
      <x:c r="R163" s="191"/>
      <x:c r="S163" s="191"/>
      <x:c r="T163" s="191"/>
      <x:c r="U163" s="191"/>
      <x:c r="V163" s="191"/>
      <x:c r="W163" s="191"/>
      <x:c r="X163" s="191"/>
      <x:c r="Y163" s="191"/>
      <x:c r="Z163" s="191"/>
      <x:c r="AA163" s="191"/>
      <x:c r="AB163" s="191"/>
      <x:c r="AC163" s="191"/>
      <x:c r="AD163" s="191"/>
      <x:c r="AE163" s="191"/>
      <x:c r="AF163" s="191"/>
      <x:c r="AG163" s="191"/>
      <x:c r="AH163" s="191"/>
      <x:c r="AI163" s="191"/>
      <x:c r="AJ163" s="191"/>
      <x:c r="AK163" s="191"/>
    </x:row>
    <x:row r="164">
      <x:c r="A164" s="191"/>
      <x:c r="B164" s="191"/>
      <x:c r="C164" s="191"/>
      <x:c r="D164" s="191"/>
      <x:c r="E164" s="191"/>
      <x:c r="F164" s="191"/>
      <x:c r="G164" s="191"/>
      <x:c r="H164" s="191"/>
      <x:c r="I164" s="191"/>
      <x:c r="J164" s="191"/>
      <x:c r="K164" s="191"/>
      <x:c r="L164" s="191"/>
      <x:c r="M164" s="191"/>
      <x:c r="N164" s="191"/>
      <x:c r="O164" s="191"/>
      <x:c r="P164" s="191"/>
      <x:c r="Q164" s="191"/>
      <x:c r="R164" s="191"/>
      <x:c r="S164" s="191"/>
      <x:c r="T164" s="191"/>
      <x:c r="U164" s="191"/>
      <x:c r="V164" s="191"/>
      <x:c r="W164" s="191"/>
      <x:c r="X164" s="191"/>
      <x:c r="Y164" s="191"/>
      <x:c r="Z164" s="191"/>
      <x:c r="AA164" s="191"/>
      <x:c r="AB164" s="191"/>
      <x:c r="AC164" s="191"/>
      <x:c r="AD164" s="191"/>
      <x:c r="AE164" s="191"/>
      <x:c r="AF164" s="191"/>
      <x:c r="AG164" s="191"/>
      <x:c r="AH164" s="191"/>
      <x:c r="AI164" s="191"/>
      <x:c r="AJ164" s="191"/>
      <x:c r="AK164" s="191"/>
    </x:row>
    <x:row r="165">
      <x:c r="A165" s="191"/>
      <x:c r="B165" s="191"/>
      <x:c r="C165" s="191"/>
      <x:c r="D165" s="191"/>
      <x:c r="E165" s="191"/>
      <x:c r="F165" s="191"/>
      <x:c r="G165" s="191"/>
      <x:c r="H165" s="191"/>
      <x:c r="I165" s="191"/>
      <x:c r="J165" s="191"/>
      <x:c r="K165" s="191"/>
      <x:c r="L165" s="191"/>
      <x:c r="M165" s="191"/>
      <x:c r="N165" s="191"/>
      <x:c r="O165" s="191"/>
      <x:c r="P165" s="191"/>
      <x:c r="Q165" s="191"/>
      <x:c r="R165" s="191"/>
      <x:c r="S165" s="191"/>
      <x:c r="T165" s="191"/>
      <x:c r="U165" s="191"/>
      <x:c r="V165" s="191"/>
      <x:c r="W165" s="191"/>
      <x:c r="X165" s="191"/>
      <x:c r="Y165" s="191"/>
      <x:c r="Z165" s="191"/>
      <x:c r="AA165" s="191"/>
      <x:c r="AB165" s="191"/>
      <x:c r="AC165" s="191"/>
      <x:c r="AD165" s="191"/>
      <x:c r="AE165" s="191"/>
      <x:c r="AF165" s="191"/>
      <x:c r="AG165" s="191"/>
      <x:c r="AH165" s="191"/>
      <x:c r="AI165" s="191"/>
      <x:c r="AJ165" s="191"/>
      <x:c r="AK165" s="191"/>
    </x:row>
    <x:row r="166">
      <x:c r="A166" s="191"/>
      <x:c r="B166" s="191"/>
      <x:c r="C166" s="191"/>
      <x:c r="D166" s="191"/>
      <x:c r="E166" s="191"/>
      <x:c r="F166" s="191"/>
      <x:c r="G166" s="191"/>
      <x:c r="H166" s="191"/>
      <x:c r="I166" s="191"/>
      <x:c r="J166" s="191"/>
      <x:c r="K166" s="191"/>
      <x:c r="L166" s="191"/>
      <x:c r="M166" s="191"/>
      <x:c r="N166" s="191"/>
      <x:c r="O166" s="191"/>
      <x:c r="P166" s="191"/>
      <x:c r="Q166" s="191"/>
      <x:c r="R166" s="191"/>
      <x:c r="S166" s="191"/>
      <x:c r="T166" s="191"/>
      <x:c r="U166" s="191"/>
      <x:c r="V166" s="191"/>
      <x:c r="W166" s="191"/>
      <x:c r="X166" s="191"/>
      <x:c r="Y166" s="191"/>
      <x:c r="Z166" s="191"/>
      <x:c r="AA166" s="191"/>
      <x:c r="AB166" s="191"/>
      <x:c r="AC166" s="191"/>
      <x:c r="AD166" s="191"/>
      <x:c r="AE166" s="191"/>
      <x:c r="AF166" s="191"/>
      <x:c r="AG166" s="191"/>
      <x:c r="AH166" s="191"/>
      <x:c r="AI166" s="191"/>
      <x:c r="AJ166" s="191"/>
      <x:c r="AK166" s="191"/>
    </x:row>
    <x:row r="167">
      <x:c r="A167" s="191"/>
      <x:c r="B167" s="191"/>
      <x:c r="C167" s="191"/>
      <x:c r="D167" s="191"/>
      <x:c r="E167" s="191"/>
      <x:c r="F167" s="191"/>
      <x:c r="G167" s="191"/>
      <x:c r="H167" s="191"/>
      <x:c r="I167" s="191"/>
      <x:c r="J167" s="191"/>
      <x:c r="K167" s="191"/>
      <x:c r="L167" s="191"/>
      <x:c r="M167" s="191"/>
      <x:c r="N167" s="191"/>
      <x:c r="O167" s="191"/>
      <x:c r="P167" s="191"/>
      <x:c r="Q167" s="191"/>
      <x:c r="R167" s="191"/>
      <x:c r="S167" s="191"/>
      <x:c r="T167" s="191"/>
      <x:c r="U167" s="191"/>
      <x:c r="V167" s="191"/>
      <x:c r="W167" s="191"/>
      <x:c r="X167" s="191"/>
      <x:c r="Y167" s="191"/>
      <x:c r="Z167" s="191"/>
      <x:c r="AA167" s="191"/>
      <x:c r="AB167" s="191"/>
      <x:c r="AC167" s="191"/>
      <x:c r="AD167" s="191"/>
      <x:c r="AE167" s="191"/>
      <x:c r="AF167" s="191"/>
      <x:c r="AG167" s="191"/>
      <x:c r="AH167" s="191"/>
      <x:c r="AI167" s="191"/>
      <x:c r="AJ167" s="191"/>
      <x:c r="AK167" s="191"/>
    </x:row>
    <x:row r="168">
      <x:c r="A168" s="191"/>
      <x:c r="B168" s="191"/>
      <x:c r="C168" s="191"/>
      <x:c r="D168" s="191"/>
      <x:c r="E168" s="191"/>
      <x:c r="F168" s="191"/>
      <x:c r="G168" s="191"/>
      <x:c r="H168" s="191"/>
      <x:c r="I168" s="191"/>
      <x:c r="J168" s="191"/>
      <x:c r="K168" s="191"/>
      <x:c r="L168" s="191"/>
      <x:c r="M168" s="191"/>
      <x:c r="N168" s="191"/>
      <x:c r="O168" s="191"/>
      <x:c r="P168" s="191"/>
      <x:c r="Q168" s="191"/>
      <x:c r="R168" s="191"/>
      <x:c r="S168" s="191"/>
      <x:c r="T168" s="191"/>
      <x:c r="U168" s="191"/>
      <x:c r="V168" s="191"/>
      <x:c r="W168" s="191"/>
      <x:c r="X168" s="191"/>
      <x:c r="Y168" s="191"/>
      <x:c r="Z168" s="191"/>
      <x:c r="AA168" s="191"/>
      <x:c r="AB168" s="191"/>
      <x:c r="AC168" s="191"/>
      <x:c r="AD168" s="191"/>
      <x:c r="AE168" s="191"/>
      <x:c r="AF168" s="191"/>
      <x:c r="AG168" s="191"/>
      <x:c r="AH168" s="191"/>
      <x:c r="AI168" s="191"/>
      <x:c r="AJ168" s="191"/>
      <x:c r="AK168" s="191"/>
    </x:row>
    <x:row r="169">
      <x:c r="A169" s="191"/>
      <x:c r="B169" s="191"/>
      <x:c r="C169" s="191"/>
      <x:c r="D169" s="191"/>
      <x:c r="E169" s="191"/>
      <x:c r="F169" s="191"/>
      <x:c r="G169" s="191"/>
      <x:c r="H169" s="191"/>
      <x:c r="I169" s="191"/>
      <x:c r="J169" s="191"/>
      <x:c r="K169" s="191"/>
      <x:c r="L169" s="191"/>
      <x:c r="M169" s="191"/>
      <x:c r="N169" s="191"/>
      <x:c r="O169" s="191"/>
      <x:c r="P169" s="191"/>
      <x:c r="Q169" s="191"/>
      <x:c r="R169" s="191"/>
      <x:c r="S169" s="191"/>
      <x:c r="T169" s="191"/>
      <x:c r="U169" s="191"/>
      <x:c r="V169" s="191"/>
      <x:c r="W169" s="191"/>
      <x:c r="X169" s="191"/>
      <x:c r="Y169" s="191"/>
      <x:c r="Z169" s="191"/>
      <x:c r="AA169" s="191"/>
      <x:c r="AB169" s="191"/>
      <x:c r="AC169" s="191"/>
      <x:c r="AD169" s="191"/>
      <x:c r="AE169" s="191"/>
      <x:c r="AF169" s="191"/>
      <x:c r="AG169" s="191"/>
      <x:c r="AH169" s="191"/>
      <x:c r="AI169" s="191"/>
      <x:c r="AJ169" s="191"/>
      <x:c r="AK169" s="191"/>
    </x:row>
    <x:row r="170">
      <x:c r="A170" s="191"/>
      <x:c r="B170" s="191"/>
      <x:c r="C170" s="191"/>
      <x:c r="D170" s="191"/>
      <x:c r="E170" s="191"/>
      <x:c r="F170" s="191"/>
      <x:c r="G170" s="191"/>
      <x:c r="H170" s="191"/>
      <x:c r="I170" s="191"/>
      <x:c r="J170" s="191"/>
      <x:c r="K170" s="191"/>
      <x:c r="L170" s="191"/>
      <x:c r="M170" s="191"/>
      <x:c r="N170" s="191"/>
      <x:c r="O170" s="191"/>
      <x:c r="P170" s="191"/>
      <x:c r="Q170" s="191"/>
      <x:c r="R170" s="191"/>
      <x:c r="S170" s="191"/>
      <x:c r="T170" s="191"/>
      <x:c r="U170" s="191"/>
      <x:c r="V170" s="191"/>
      <x:c r="W170" s="191"/>
      <x:c r="X170" s="191"/>
      <x:c r="Y170" s="191"/>
      <x:c r="Z170" s="191"/>
      <x:c r="AA170" s="191"/>
      <x:c r="AB170" s="191"/>
      <x:c r="AC170" s="191"/>
      <x:c r="AD170" s="191"/>
      <x:c r="AE170" s="191"/>
      <x:c r="AF170" s="191"/>
      <x:c r="AG170" s="191"/>
      <x:c r="AH170" s="191"/>
      <x:c r="AI170" s="191"/>
      <x:c r="AJ170" s="191"/>
      <x:c r="AK170" s="191"/>
    </x:row>
    <x:row r="171">
      <x:c r="A171" s="191"/>
      <x:c r="B171" s="191"/>
      <x:c r="C171" s="191"/>
      <x:c r="D171" s="191"/>
      <x:c r="E171" s="191"/>
      <x:c r="F171" s="191"/>
      <x:c r="G171" s="191"/>
      <x:c r="H171" s="191"/>
      <x:c r="I171" s="191"/>
      <x:c r="J171" s="191"/>
      <x:c r="K171" s="191"/>
      <x:c r="L171" s="191"/>
      <x:c r="M171" s="191"/>
      <x:c r="N171" s="191"/>
      <x:c r="O171" s="191"/>
      <x:c r="P171" s="191"/>
      <x:c r="Q171" s="191"/>
      <x:c r="R171" s="191"/>
      <x:c r="S171" s="191"/>
      <x:c r="T171" s="191"/>
      <x:c r="U171" s="191"/>
      <x:c r="V171" s="191"/>
      <x:c r="W171" s="191"/>
      <x:c r="X171" s="191"/>
      <x:c r="Y171" s="191"/>
      <x:c r="Z171" s="191"/>
      <x:c r="AA171" s="191"/>
      <x:c r="AB171" s="191"/>
      <x:c r="AC171" s="191"/>
      <x:c r="AD171" s="191"/>
      <x:c r="AE171" s="191"/>
      <x:c r="AF171" s="191"/>
      <x:c r="AG171" s="191"/>
      <x:c r="AH171" s="191"/>
      <x:c r="AI171" s="191"/>
      <x:c r="AJ171" s="191"/>
      <x:c r="AK171" s="191"/>
    </x:row>
    <x:row r="172">
      <x:c r="A172" s="191"/>
      <x:c r="B172" s="191"/>
      <x:c r="C172" s="191"/>
      <x:c r="D172" s="191"/>
      <x:c r="E172" s="191"/>
      <x:c r="F172" s="191"/>
      <x:c r="G172" s="191"/>
      <x:c r="H172" s="191"/>
      <x:c r="I172" s="191"/>
      <x:c r="J172" s="191"/>
      <x:c r="K172" s="191"/>
      <x:c r="L172" s="191"/>
      <x:c r="M172" s="191"/>
      <x:c r="N172" s="191"/>
      <x:c r="O172" s="191"/>
      <x:c r="P172" s="191"/>
      <x:c r="Q172" s="191"/>
      <x:c r="R172" s="191"/>
      <x:c r="S172" s="191"/>
      <x:c r="T172" s="191"/>
      <x:c r="U172" s="191"/>
      <x:c r="V172" s="191"/>
      <x:c r="W172" s="191"/>
      <x:c r="X172" s="191"/>
      <x:c r="Y172" s="191"/>
      <x:c r="Z172" s="191"/>
      <x:c r="AA172" s="191"/>
      <x:c r="AB172" s="191"/>
      <x:c r="AC172" s="191"/>
      <x:c r="AD172" s="191"/>
      <x:c r="AE172" s="191"/>
      <x:c r="AF172" s="191"/>
      <x:c r="AG172" s="191"/>
      <x:c r="AH172" s="191"/>
      <x:c r="AI172" s="191"/>
      <x:c r="AJ172" s="191"/>
      <x:c r="AK172" s="191"/>
    </x:row>
    <x:row r="173">
      <x:c r="A173" s="191"/>
      <x:c r="B173" s="191"/>
      <x:c r="C173" s="191"/>
      <x:c r="D173" s="191"/>
      <x:c r="E173" s="191"/>
      <x:c r="F173" s="191"/>
      <x:c r="G173" s="191"/>
      <x:c r="H173" s="191"/>
      <x:c r="I173" s="191"/>
      <x:c r="J173" s="191"/>
      <x:c r="K173" s="191"/>
      <x:c r="L173" s="191"/>
      <x:c r="M173" s="191"/>
      <x:c r="N173" s="191"/>
      <x:c r="O173" s="191"/>
      <x:c r="P173" s="191"/>
      <x:c r="Q173" s="191"/>
      <x:c r="R173" s="191"/>
      <x:c r="S173" s="191"/>
      <x:c r="T173" s="191"/>
      <x:c r="U173" s="191"/>
      <x:c r="V173" s="191"/>
      <x:c r="W173" s="191"/>
      <x:c r="X173" s="191"/>
      <x:c r="Y173" s="191"/>
      <x:c r="Z173" s="191"/>
      <x:c r="AA173" s="191"/>
      <x:c r="AB173" s="191"/>
      <x:c r="AC173" s="191"/>
      <x:c r="AD173" s="191"/>
      <x:c r="AE173" s="191"/>
      <x:c r="AF173" s="191"/>
      <x:c r="AG173" s="191"/>
      <x:c r="AH173" s="191"/>
      <x:c r="AI173" s="191"/>
      <x:c r="AJ173" s="191"/>
      <x:c r="AK173" s="191"/>
    </x:row>
    <x:row r="174">
      <x:c r="A174" s="191"/>
      <x:c r="B174" s="191"/>
      <x:c r="C174" s="191"/>
      <x:c r="D174" s="191"/>
      <x:c r="E174" s="191"/>
      <x:c r="F174" s="191"/>
      <x:c r="G174" s="191"/>
      <x:c r="H174" s="191"/>
      <x:c r="I174" s="191"/>
      <x:c r="J174" s="191"/>
      <x:c r="K174" s="191"/>
      <x:c r="L174" s="191"/>
      <x:c r="M174" s="191"/>
      <x:c r="N174" s="191"/>
      <x:c r="O174" s="191"/>
      <x:c r="P174" s="191"/>
      <x:c r="Q174" s="191"/>
      <x:c r="R174" s="191"/>
      <x:c r="S174" s="191"/>
      <x:c r="T174" s="191"/>
      <x:c r="U174" s="191"/>
      <x:c r="V174" s="191"/>
      <x:c r="W174" s="191"/>
      <x:c r="X174" s="191"/>
      <x:c r="Y174" s="191"/>
      <x:c r="Z174" s="191"/>
      <x:c r="AA174" s="191"/>
      <x:c r="AB174" s="191"/>
      <x:c r="AC174" s="191"/>
      <x:c r="AD174" s="191"/>
      <x:c r="AE174" s="191"/>
      <x:c r="AF174" s="191"/>
      <x:c r="AG174" s="191"/>
      <x:c r="AH174" s="191"/>
      <x:c r="AI174" s="191"/>
      <x:c r="AJ174" s="191"/>
      <x:c r="AK174" s="191"/>
    </x:row>
    <x:row r="175">
      <x:c r="A175" s="191"/>
      <x:c r="B175" s="191"/>
      <x:c r="C175" s="191"/>
      <x:c r="D175" s="191"/>
      <x:c r="E175" s="191"/>
      <x:c r="F175" s="191"/>
      <x:c r="G175" s="191"/>
      <x:c r="H175" s="191"/>
      <x:c r="I175" s="191"/>
      <x:c r="J175" s="191"/>
      <x:c r="K175" s="191"/>
      <x:c r="L175" s="191"/>
      <x:c r="M175" s="191"/>
      <x:c r="N175" s="191"/>
      <x:c r="O175" s="191"/>
      <x:c r="P175" s="191"/>
      <x:c r="Q175" s="191"/>
      <x:c r="R175" s="191"/>
      <x:c r="S175" s="191"/>
      <x:c r="T175" s="191"/>
      <x:c r="U175" s="191"/>
      <x:c r="V175" s="191"/>
      <x:c r="W175" s="191"/>
      <x:c r="X175" s="191"/>
      <x:c r="Y175" s="191"/>
      <x:c r="Z175" s="191"/>
      <x:c r="AA175" s="191"/>
      <x:c r="AB175" s="191"/>
      <x:c r="AC175" s="191"/>
      <x:c r="AD175" s="191"/>
      <x:c r="AE175" s="191"/>
      <x:c r="AF175" s="191"/>
      <x:c r="AG175" s="191"/>
      <x:c r="AH175" s="191"/>
      <x:c r="AI175" s="191"/>
      <x:c r="AJ175" s="191"/>
      <x:c r="AK175" s="191"/>
    </x:row>
    <x:row r="176">
      <x:c r="A176" s="191"/>
      <x:c r="B176" s="191"/>
      <x:c r="C176" s="191"/>
      <x:c r="D176" s="191"/>
      <x:c r="E176" s="191"/>
      <x:c r="F176" s="191"/>
      <x:c r="G176" s="191"/>
      <x:c r="H176" s="191"/>
      <x:c r="I176" s="191"/>
      <x:c r="J176" s="191"/>
      <x:c r="K176" s="191"/>
      <x:c r="L176" s="191"/>
      <x:c r="M176" s="191"/>
      <x:c r="N176" s="191"/>
      <x:c r="O176" s="191"/>
      <x:c r="P176" s="191"/>
      <x:c r="Q176" s="191"/>
      <x:c r="R176" s="191"/>
      <x:c r="S176" s="191"/>
      <x:c r="T176" s="191"/>
      <x:c r="U176" s="191"/>
      <x:c r="V176" s="191"/>
      <x:c r="W176" s="191"/>
      <x:c r="X176" s="191"/>
      <x:c r="Y176" s="191"/>
      <x:c r="Z176" s="191"/>
      <x:c r="AA176" s="191"/>
      <x:c r="AB176" s="191"/>
      <x:c r="AC176" s="191"/>
      <x:c r="AD176" s="191"/>
      <x:c r="AE176" s="191"/>
      <x:c r="AF176" s="191"/>
      <x:c r="AG176" s="191"/>
      <x:c r="AH176" s="191"/>
      <x:c r="AI176" s="191"/>
      <x:c r="AJ176" s="191"/>
      <x:c r="AK176" s="191"/>
    </x:row>
    <x:row r="177">
      <x:c r="A177" s="191"/>
      <x:c r="B177" s="191"/>
      <x:c r="C177" s="191"/>
      <x:c r="D177" s="191"/>
      <x:c r="E177" s="191"/>
      <x:c r="F177" s="191"/>
      <x:c r="G177" s="191"/>
      <x:c r="H177" s="191"/>
      <x:c r="I177" s="191"/>
      <x:c r="J177" s="191"/>
      <x:c r="K177" s="191"/>
      <x:c r="L177" s="191"/>
      <x:c r="M177" s="191"/>
      <x:c r="N177" s="191"/>
      <x:c r="O177" s="191"/>
      <x:c r="P177" s="191"/>
      <x:c r="Q177" s="191"/>
      <x:c r="R177" s="191"/>
      <x:c r="S177" s="191"/>
      <x:c r="T177" s="191"/>
      <x:c r="U177" s="191"/>
      <x:c r="V177" s="191"/>
      <x:c r="W177" s="191"/>
      <x:c r="X177" s="191"/>
      <x:c r="Y177" s="191"/>
      <x:c r="Z177" s="191"/>
      <x:c r="AA177" s="191"/>
      <x:c r="AB177" s="191"/>
      <x:c r="AC177" s="191"/>
      <x:c r="AD177" s="191"/>
      <x:c r="AE177" s="191"/>
      <x:c r="AF177" s="191"/>
      <x:c r="AG177" s="191"/>
      <x:c r="AH177" s="191"/>
      <x:c r="AI177" s="191"/>
      <x:c r="AJ177" s="191"/>
      <x:c r="AK177" s="191"/>
    </x:row>
    <x:row r="178">
      <x:c r="A178" s="191"/>
      <x:c r="B178" s="191"/>
      <x:c r="C178" s="191"/>
      <x:c r="D178" s="191"/>
      <x:c r="E178" s="191"/>
      <x:c r="F178" s="191"/>
      <x:c r="G178" s="191"/>
      <x:c r="H178" s="191"/>
      <x:c r="I178" s="191"/>
      <x:c r="J178" s="191"/>
      <x:c r="K178" s="191"/>
      <x:c r="L178" s="191"/>
      <x:c r="M178" s="191"/>
      <x:c r="N178" s="191"/>
      <x:c r="O178" s="191"/>
      <x:c r="P178" s="191"/>
      <x:c r="Q178" s="191"/>
      <x:c r="R178" s="191"/>
      <x:c r="S178" s="191"/>
      <x:c r="T178" s="191"/>
      <x:c r="U178" s="191"/>
      <x:c r="V178" s="191"/>
      <x:c r="W178" s="191"/>
      <x:c r="X178" s="191"/>
      <x:c r="Y178" s="191"/>
      <x:c r="Z178" s="191"/>
      <x:c r="AA178" s="191"/>
      <x:c r="AB178" s="191"/>
      <x:c r="AC178" s="191"/>
      <x:c r="AD178" s="191"/>
      <x:c r="AE178" s="191"/>
      <x:c r="AF178" s="191"/>
      <x:c r="AG178" s="191"/>
      <x:c r="AH178" s="191"/>
      <x:c r="AI178" s="191"/>
      <x:c r="AJ178" s="191"/>
      <x:c r="AK178" s="191"/>
    </x:row>
    <x:row r="179">
      <x:c r="A179" s="191"/>
      <x:c r="B179" s="191"/>
      <x:c r="C179" s="191"/>
      <x:c r="D179" s="191"/>
      <x:c r="E179" s="191"/>
      <x:c r="F179" s="191"/>
      <x:c r="G179" s="191"/>
      <x:c r="H179" s="191"/>
      <x:c r="I179" s="191"/>
      <x:c r="J179" s="191"/>
      <x:c r="K179" s="191"/>
      <x:c r="L179" s="191"/>
      <x:c r="M179" s="191"/>
      <x:c r="N179" s="191"/>
      <x:c r="O179" s="191"/>
      <x:c r="P179" s="191"/>
      <x:c r="Q179" s="191"/>
      <x:c r="R179" s="191"/>
      <x:c r="S179" s="191"/>
      <x:c r="T179" s="191"/>
      <x:c r="U179" s="191"/>
      <x:c r="V179" s="191"/>
      <x:c r="W179" s="191"/>
      <x:c r="X179" s="191"/>
      <x:c r="Y179" s="191"/>
      <x:c r="Z179" s="191"/>
      <x:c r="AA179" s="191"/>
      <x:c r="AB179" s="191"/>
      <x:c r="AC179" s="191"/>
      <x:c r="AD179" s="191"/>
      <x:c r="AE179" s="191"/>
      <x:c r="AF179" s="191"/>
      <x:c r="AG179" s="191"/>
      <x:c r="AH179" s="191"/>
      <x:c r="AI179" s="191"/>
      <x:c r="AJ179" s="191"/>
      <x:c r="AK179" s="191"/>
    </x:row>
    <x:row r="180">
      <x:c r="A180" s="191"/>
      <x:c r="B180" s="191"/>
      <x:c r="C180" s="191"/>
      <x:c r="D180" s="191"/>
      <x:c r="E180" s="191"/>
      <x:c r="F180" s="191"/>
      <x:c r="G180" s="191"/>
      <x:c r="H180" s="191"/>
      <x:c r="I180" s="191"/>
      <x:c r="J180" s="191"/>
      <x:c r="K180" s="191"/>
      <x:c r="L180" s="191"/>
      <x:c r="M180" s="191"/>
      <x:c r="N180" s="191"/>
      <x:c r="O180" s="191"/>
      <x:c r="P180" s="191"/>
      <x:c r="Q180" s="191"/>
      <x:c r="R180" s="191"/>
      <x:c r="S180" s="191"/>
      <x:c r="T180" s="191"/>
      <x:c r="U180" s="191"/>
      <x:c r="V180" s="191"/>
      <x:c r="W180" s="191"/>
      <x:c r="X180" s="191"/>
      <x:c r="Y180" s="191"/>
      <x:c r="Z180" s="191"/>
      <x:c r="AA180" s="191"/>
      <x:c r="AB180" s="191"/>
      <x:c r="AC180" s="191"/>
      <x:c r="AD180" s="191"/>
      <x:c r="AE180" s="191"/>
      <x:c r="AF180" s="191"/>
      <x:c r="AG180" s="191"/>
      <x:c r="AH180" s="191"/>
      <x:c r="AI180" s="191"/>
      <x:c r="AJ180" s="191"/>
      <x:c r="AK180" s="191"/>
    </x:row>
    <x:row r="181">
      <x:c r="A181" s="191"/>
      <x:c r="B181" s="191"/>
      <x:c r="C181" s="191"/>
      <x:c r="D181" s="191"/>
      <x:c r="E181" s="191"/>
      <x:c r="F181" s="191"/>
      <x:c r="G181" s="191"/>
      <x:c r="H181" s="191"/>
      <x:c r="I181" s="191"/>
      <x:c r="J181" s="191"/>
      <x:c r="K181" s="191"/>
      <x:c r="L181" s="191"/>
      <x:c r="M181" s="191"/>
      <x:c r="N181" s="191"/>
      <x:c r="O181" s="191"/>
      <x:c r="P181" s="191"/>
      <x:c r="Q181" s="191"/>
      <x:c r="R181" s="191"/>
      <x:c r="S181" s="191"/>
      <x:c r="T181" s="191"/>
      <x:c r="U181" s="191"/>
      <x:c r="V181" s="191"/>
      <x:c r="W181" s="191"/>
      <x:c r="X181" s="191"/>
      <x:c r="Y181" s="191"/>
      <x:c r="Z181" s="191"/>
      <x:c r="AA181" s="191"/>
      <x:c r="AB181" s="191"/>
      <x:c r="AC181" s="191"/>
      <x:c r="AD181" s="191"/>
      <x:c r="AE181" s="191"/>
      <x:c r="AF181" s="191"/>
      <x:c r="AG181" s="191"/>
      <x:c r="AH181" s="191"/>
      <x:c r="AI181" s="191"/>
      <x:c r="AJ181" s="191"/>
      <x:c r="AK181" s="191"/>
    </x:row>
    <x:row r="182">
      <x:c r="A182" s="191"/>
      <x:c r="B182" s="191"/>
      <x:c r="C182" s="191"/>
      <x:c r="D182" s="191"/>
      <x:c r="E182" s="191"/>
      <x:c r="F182" s="191"/>
      <x:c r="G182" s="191"/>
      <x:c r="H182" s="191"/>
      <x:c r="I182" s="191"/>
      <x:c r="J182" s="191"/>
      <x:c r="K182" s="191"/>
      <x:c r="L182" s="191"/>
      <x:c r="M182" s="191"/>
      <x:c r="N182" s="191"/>
      <x:c r="O182" s="191"/>
      <x:c r="P182" s="191"/>
      <x:c r="Q182" s="191"/>
      <x:c r="R182" s="191"/>
      <x:c r="S182" s="191"/>
      <x:c r="T182" s="191"/>
      <x:c r="U182" s="191"/>
      <x:c r="V182" s="191"/>
      <x:c r="W182" s="191"/>
      <x:c r="X182" s="191"/>
      <x:c r="Y182" s="191"/>
      <x:c r="Z182" s="191"/>
      <x:c r="AA182" s="191"/>
      <x:c r="AB182" s="191"/>
      <x:c r="AC182" s="191"/>
      <x:c r="AD182" s="191"/>
      <x:c r="AE182" s="191"/>
      <x:c r="AF182" s="191"/>
      <x:c r="AG182" s="191"/>
      <x:c r="AH182" s="191"/>
      <x:c r="AI182" s="191"/>
      <x:c r="AJ182" s="191"/>
      <x:c r="AK182" s="191"/>
    </x:row>
    <x:row r="183">
      <x:c r="A183" s="191"/>
      <x:c r="B183" s="191"/>
      <x:c r="C183" s="191"/>
      <x:c r="D183" s="191"/>
      <x:c r="E183" s="191"/>
      <x:c r="F183" s="191"/>
      <x:c r="G183" s="191"/>
      <x:c r="H183" s="191"/>
      <x:c r="I183" s="191"/>
      <x:c r="J183" s="191"/>
      <x:c r="K183" s="191"/>
      <x:c r="L183" s="191"/>
      <x:c r="M183" s="191"/>
      <x:c r="N183" s="191"/>
      <x:c r="O183" s="191"/>
      <x:c r="P183" s="191"/>
      <x:c r="Q183" s="191"/>
      <x:c r="R183" s="191"/>
      <x:c r="S183" s="191"/>
      <x:c r="T183" s="191"/>
      <x:c r="U183" s="191"/>
      <x:c r="V183" s="191"/>
      <x:c r="W183" s="191"/>
      <x:c r="X183" s="191"/>
      <x:c r="Y183" s="191"/>
      <x:c r="Z183" s="191"/>
      <x:c r="AA183" s="191"/>
      <x:c r="AB183" s="191"/>
      <x:c r="AC183" s="191"/>
      <x:c r="AD183" s="191"/>
      <x:c r="AE183" s="191"/>
      <x:c r="AF183" s="191"/>
      <x:c r="AG183" s="191"/>
      <x:c r="AH183" s="191"/>
      <x:c r="AI183" s="191"/>
      <x:c r="AJ183" s="191"/>
      <x:c r="AK183" s="191"/>
    </x:row>
    <x:row r="184">
      <x:c r="A184" s="191"/>
      <x:c r="B184" s="191"/>
      <x:c r="C184" s="191"/>
      <x:c r="D184" s="191"/>
      <x:c r="E184" s="191"/>
      <x:c r="F184" s="191"/>
      <x:c r="G184" s="191"/>
      <x:c r="H184" s="191"/>
      <x:c r="I184" s="191"/>
      <x:c r="J184" s="191"/>
      <x:c r="K184" s="191"/>
      <x:c r="L184" s="191"/>
      <x:c r="M184" s="191"/>
      <x:c r="N184" s="191"/>
      <x:c r="O184" s="191"/>
      <x:c r="P184" s="191"/>
      <x:c r="Q184" s="191"/>
      <x:c r="R184" s="191"/>
      <x:c r="S184" s="191"/>
      <x:c r="T184" s="191"/>
      <x:c r="U184" s="191"/>
      <x:c r="V184" s="191"/>
      <x:c r="W184" s="191"/>
      <x:c r="X184" s="191"/>
      <x:c r="Y184" s="191"/>
      <x:c r="Z184" s="191"/>
      <x:c r="AA184" s="191"/>
      <x:c r="AB184" s="191"/>
      <x:c r="AC184" s="191"/>
      <x:c r="AD184" s="191"/>
      <x:c r="AE184" s="191"/>
      <x:c r="AF184" s="191"/>
      <x:c r="AG184" s="191"/>
      <x:c r="AH184" s="191"/>
      <x:c r="AI184" s="191"/>
      <x:c r="AJ184" s="191"/>
      <x:c r="AK184" s="191"/>
    </x:row>
    <x:row r="185">
      <x:c r="A185" s="191"/>
      <x:c r="B185" s="191"/>
      <x:c r="C185" s="191"/>
      <x:c r="D185" s="191"/>
      <x:c r="E185" s="191"/>
      <x:c r="F185" s="191"/>
      <x:c r="G185" s="191"/>
      <x:c r="H185" s="191"/>
      <x:c r="I185" s="191"/>
      <x:c r="J185" s="191"/>
      <x:c r="K185" s="191"/>
      <x:c r="L185" s="191"/>
      <x:c r="M185" s="191"/>
      <x:c r="N185" s="191"/>
      <x:c r="O185" s="191"/>
      <x:c r="P185" s="191"/>
      <x:c r="Q185" s="191"/>
      <x:c r="R185" s="191"/>
      <x:c r="S185" s="191"/>
      <x:c r="T185" s="191"/>
      <x:c r="U185" s="191"/>
      <x:c r="V185" s="191"/>
      <x:c r="W185" s="191"/>
      <x:c r="X185" s="191"/>
      <x:c r="Y185" s="191"/>
      <x:c r="Z185" s="191"/>
      <x:c r="AA185" s="191"/>
      <x:c r="AB185" s="191"/>
      <x:c r="AC185" s="191"/>
      <x:c r="AD185" s="191"/>
      <x:c r="AE185" s="191"/>
      <x:c r="AF185" s="191"/>
      <x:c r="AG185" s="191"/>
      <x:c r="AH185" s="191"/>
      <x:c r="AI185" s="191"/>
      <x:c r="AJ185" s="191"/>
      <x:c r="AK185" s="191"/>
    </x:row>
    <x:row r="186">
      <x:c r="A186" s="191"/>
      <x:c r="B186" s="191"/>
      <x:c r="C186" s="191"/>
      <x:c r="D186" s="191"/>
      <x:c r="E186" s="191"/>
      <x:c r="F186" s="191"/>
      <x:c r="G186" s="191"/>
      <x:c r="H186" s="191"/>
      <x:c r="I186" s="191"/>
      <x:c r="J186" s="191"/>
      <x:c r="K186" s="191"/>
      <x:c r="L186" s="191"/>
      <x:c r="M186" s="191"/>
      <x:c r="N186" s="191"/>
      <x:c r="O186" s="191"/>
      <x:c r="P186" s="191"/>
      <x:c r="Q186" s="191"/>
      <x:c r="R186" s="191"/>
      <x:c r="S186" s="191"/>
      <x:c r="T186" s="191"/>
      <x:c r="U186" s="191"/>
      <x:c r="V186" s="191"/>
      <x:c r="W186" s="191"/>
      <x:c r="X186" s="191"/>
      <x:c r="Y186" s="191"/>
      <x:c r="Z186" s="191"/>
      <x:c r="AA186" s="191"/>
      <x:c r="AB186" s="191"/>
      <x:c r="AC186" s="191"/>
      <x:c r="AD186" s="191"/>
      <x:c r="AE186" s="191"/>
      <x:c r="AF186" s="191"/>
      <x:c r="AG186" s="191"/>
      <x:c r="AH186" s="191"/>
      <x:c r="AI186" s="191"/>
      <x:c r="AJ186" s="191"/>
      <x:c r="AK186" s="191"/>
    </x:row>
    <x:row r="187">
      <x:c r="A187" s="191"/>
      <x:c r="B187" s="191"/>
      <x:c r="C187" s="191"/>
      <x:c r="D187" s="191"/>
      <x:c r="E187" s="191"/>
      <x:c r="F187" s="191"/>
      <x:c r="G187" s="191"/>
      <x:c r="H187" s="191"/>
      <x:c r="I187" s="191"/>
      <x:c r="J187" s="191"/>
      <x:c r="K187" s="191"/>
      <x:c r="L187" s="191"/>
      <x:c r="M187" s="191"/>
      <x:c r="N187" s="191"/>
      <x:c r="O187" s="191"/>
      <x:c r="P187" s="191"/>
      <x:c r="Q187" s="191"/>
      <x:c r="R187" s="191"/>
      <x:c r="S187" s="191"/>
      <x:c r="T187" s="191"/>
      <x:c r="U187" s="191"/>
      <x:c r="V187" s="191"/>
      <x:c r="W187" s="191"/>
      <x:c r="X187" s="191"/>
      <x:c r="Y187" s="191"/>
      <x:c r="Z187" s="191"/>
      <x:c r="AA187" s="191"/>
      <x:c r="AB187" s="191"/>
      <x:c r="AC187" s="191"/>
      <x:c r="AD187" s="191"/>
      <x:c r="AE187" s="191"/>
      <x:c r="AF187" s="191"/>
      <x:c r="AG187" s="191"/>
      <x:c r="AH187" s="191"/>
      <x:c r="AI187" s="191"/>
      <x:c r="AJ187" s="191"/>
      <x:c r="AK187" s="191"/>
    </x:row>
    <x:row r="188">
      <x:c r="A188" s="191"/>
      <x:c r="B188" s="191"/>
      <x:c r="C188" s="191"/>
      <x:c r="D188" s="191"/>
      <x:c r="E188" s="191"/>
      <x:c r="F188" s="191"/>
      <x:c r="G188" s="191"/>
      <x:c r="H188" s="191"/>
      <x:c r="I188" s="191"/>
      <x:c r="J188" s="191"/>
      <x:c r="K188" s="191"/>
      <x:c r="L188" s="191"/>
      <x:c r="M188" s="191"/>
      <x:c r="N188" s="191"/>
      <x:c r="O188" s="191"/>
      <x:c r="P188" s="191"/>
      <x:c r="Q188" s="191"/>
      <x:c r="R188" s="191"/>
      <x:c r="S188" s="191"/>
      <x:c r="T188" s="191"/>
      <x:c r="U188" s="191"/>
      <x:c r="V188" s="191"/>
      <x:c r="W188" s="191"/>
      <x:c r="X188" s="191"/>
      <x:c r="Y188" s="191"/>
      <x:c r="Z188" s="191"/>
      <x:c r="AA188" s="191"/>
      <x:c r="AB188" s="191"/>
      <x:c r="AC188" s="191"/>
      <x:c r="AD188" s="191"/>
      <x:c r="AE188" s="191"/>
      <x:c r="AF188" s="191"/>
      <x:c r="AG188" s="191"/>
      <x:c r="AH188" s="191"/>
      <x:c r="AI188" s="191"/>
      <x:c r="AJ188" s="191"/>
      <x:c r="AK188" s="191"/>
    </x:row>
    <x:row r="189">
      <x:c r="A189" s="191"/>
      <x:c r="B189" s="191"/>
      <x:c r="C189" s="191"/>
      <x:c r="D189" s="191"/>
      <x:c r="E189" s="191"/>
      <x:c r="F189" s="191"/>
      <x:c r="G189" s="191"/>
      <x:c r="H189" s="191"/>
      <x:c r="I189" s="191"/>
      <x:c r="J189" s="191"/>
      <x:c r="K189" s="191"/>
      <x:c r="L189" s="191"/>
      <x:c r="M189" s="191"/>
      <x:c r="N189" s="191"/>
      <x:c r="O189" s="191"/>
      <x:c r="P189" s="191"/>
      <x:c r="Q189" s="191"/>
      <x:c r="R189" s="191"/>
      <x:c r="S189" s="191"/>
      <x:c r="T189" s="191"/>
      <x:c r="U189" s="191"/>
      <x:c r="V189" s="191"/>
      <x:c r="W189" s="191"/>
      <x:c r="X189" s="191"/>
      <x:c r="Y189" s="191"/>
      <x:c r="Z189" s="191"/>
      <x:c r="AA189" s="191"/>
      <x:c r="AB189" s="191"/>
      <x:c r="AC189" s="191"/>
      <x:c r="AD189" s="191"/>
      <x:c r="AE189" s="191"/>
      <x:c r="AF189" s="191"/>
      <x:c r="AG189" s="191"/>
      <x:c r="AH189" s="191"/>
      <x:c r="AI189" s="191"/>
      <x:c r="AJ189" s="191"/>
      <x:c r="AK189" s="191"/>
    </x:row>
    <x:row r="190">
      <x:c r="A190" s="191"/>
      <x:c r="B190" s="191"/>
      <x:c r="C190" s="191"/>
      <x:c r="D190" s="191"/>
      <x:c r="E190" s="191"/>
      <x:c r="F190" s="191"/>
      <x:c r="G190" s="191"/>
      <x:c r="H190" s="191"/>
      <x:c r="I190" s="191"/>
      <x:c r="J190" s="191"/>
      <x:c r="K190" s="191"/>
      <x:c r="L190" s="191"/>
      <x:c r="M190" s="191"/>
      <x:c r="N190" s="191"/>
      <x:c r="O190" s="191"/>
      <x:c r="P190" s="191"/>
      <x:c r="Q190" s="191"/>
      <x:c r="R190" s="191"/>
      <x:c r="S190" s="191"/>
      <x:c r="T190" s="191"/>
      <x:c r="U190" s="191"/>
      <x:c r="V190" s="191"/>
      <x:c r="W190" s="191"/>
      <x:c r="X190" s="191"/>
      <x:c r="Y190" s="191"/>
      <x:c r="Z190" s="191"/>
      <x:c r="AA190" s="191"/>
      <x:c r="AB190" s="191"/>
      <x:c r="AC190" s="191"/>
      <x:c r="AD190" s="191"/>
      <x:c r="AE190" s="191"/>
      <x:c r="AF190" s="191"/>
      <x:c r="AG190" s="191"/>
      <x:c r="AH190" s="191"/>
      <x:c r="AI190" s="191"/>
      <x:c r="AJ190" s="191"/>
      <x:c r="AK190" s="191"/>
    </x:row>
    <x:row r="191">
      <x:c r="A191" s="191"/>
      <x:c r="B191" s="191"/>
      <x:c r="C191" s="191"/>
      <x:c r="D191" s="191"/>
      <x:c r="E191" s="191"/>
      <x:c r="F191" s="191"/>
      <x:c r="G191" s="191"/>
      <x:c r="H191" s="191"/>
      <x:c r="I191" s="191"/>
      <x:c r="J191" s="191"/>
      <x:c r="K191" s="191"/>
      <x:c r="L191" s="191"/>
      <x:c r="M191" s="191"/>
      <x:c r="N191" s="191"/>
      <x:c r="O191" s="191"/>
      <x:c r="P191" s="191"/>
      <x:c r="Q191" s="191"/>
      <x:c r="R191" s="191"/>
      <x:c r="S191" s="191"/>
      <x:c r="T191" s="191"/>
      <x:c r="U191" s="191"/>
      <x:c r="V191" s="191"/>
      <x:c r="W191" s="191"/>
      <x:c r="X191" s="191"/>
      <x:c r="Y191" s="191"/>
      <x:c r="Z191" s="191"/>
      <x:c r="AA191" s="191"/>
      <x:c r="AB191" s="191"/>
      <x:c r="AC191" s="191"/>
      <x:c r="AD191" s="191"/>
      <x:c r="AE191" s="191"/>
      <x:c r="AF191" s="191"/>
      <x:c r="AG191" s="191"/>
      <x:c r="AH191" s="191"/>
      <x:c r="AI191" s="191"/>
      <x:c r="AJ191" s="191"/>
      <x:c r="AK191" s="191"/>
    </x:row>
    <x:row r="192">
      <x:c r="A192" s="191"/>
      <x:c r="B192" s="191"/>
      <x:c r="C192" s="191"/>
      <x:c r="D192" s="191"/>
      <x:c r="E192" s="191"/>
      <x:c r="F192" s="191"/>
      <x:c r="G192" s="191"/>
      <x:c r="H192" s="191"/>
      <x:c r="I192" s="191"/>
      <x:c r="J192" s="191"/>
      <x:c r="K192" s="191"/>
      <x:c r="L192" s="191"/>
      <x:c r="M192" s="191"/>
      <x:c r="N192" s="191"/>
      <x:c r="O192" s="191"/>
      <x:c r="P192" s="191"/>
      <x:c r="Q192" s="191"/>
      <x:c r="R192" s="191"/>
      <x:c r="S192" s="191"/>
      <x:c r="T192" s="191"/>
      <x:c r="U192" s="191"/>
      <x:c r="V192" s="191"/>
      <x:c r="W192" s="191"/>
      <x:c r="X192" s="191"/>
      <x:c r="Y192" s="191"/>
      <x:c r="Z192" s="191"/>
      <x:c r="AA192" s="191"/>
      <x:c r="AB192" s="191"/>
      <x:c r="AC192" s="191"/>
      <x:c r="AD192" s="191"/>
      <x:c r="AE192" s="191"/>
      <x:c r="AF192" s="191"/>
      <x:c r="AG192" s="191"/>
      <x:c r="AH192" s="191"/>
      <x:c r="AI192" s="191"/>
      <x:c r="AJ192" s="191"/>
      <x:c r="AK192" s="191"/>
    </x:row>
    <x:row r="193">
      <x:c r="A193" s="191"/>
      <x:c r="B193" s="191"/>
      <x:c r="C193" s="191"/>
      <x:c r="D193" s="191"/>
      <x:c r="E193" s="191"/>
      <x:c r="F193" s="191"/>
      <x:c r="G193" s="191"/>
      <x:c r="H193" s="191"/>
      <x:c r="I193" s="191"/>
      <x:c r="J193" s="191"/>
      <x:c r="K193" s="191"/>
      <x:c r="L193" s="191"/>
      <x:c r="M193" s="191"/>
      <x:c r="N193" s="191"/>
      <x:c r="O193" s="191"/>
      <x:c r="P193" s="191"/>
      <x:c r="Q193" s="191"/>
      <x:c r="R193" s="191"/>
      <x:c r="S193" s="191"/>
      <x:c r="T193" s="191"/>
      <x:c r="U193" s="191"/>
      <x:c r="V193" s="191"/>
      <x:c r="W193" s="191"/>
      <x:c r="X193" s="191"/>
      <x:c r="Y193" s="191"/>
      <x:c r="Z193" s="191"/>
      <x:c r="AA193" s="191"/>
      <x:c r="AB193" s="191"/>
      <x:c r="AC193" s="191"/>
      <x:c r="AD193" s="191"/>
      <x:c r="AE193" s="191"/>
      <x:c r="AF193" s="191"/>
      <x:c r="AG193" s="191"/>
      <x:c r="AH193" s="191"/>
      <x:c r="AI193" s="191"/>
      <x:c r="AJ193" s="191"/>
      <x:c r="AK193" s="191"/>
    </x:row>
    <x:row r="194">
      <x:c r="A194" s="191"/>
      <x:c r="B194" s="191"/>
      <x:c r="C194" s="191"/>
      <x:c r="D194" s="191"/>
      <x:c r="E194" s="191"/>
      <x:c r="F194" s="191"/>
      <x:c r="G194" s="191"/>
      <x:c r="H194" s="191"/>
      <x:c r="I194" s="191"/>
      <x:c r="J194" s="191"/>
      <x:c r="K194" s="191"/>
      <x:c r="L194" s="191"/>
      <x:c r="M194" s="191"/>
      <x:c r="N194" s="191"/>
      <x:c r="O194" s="191"/>
      <x:c r="P194" s="191"/>
      <x:c r="Q194" s="191"/>
      <x:c r="R194" s="191"/>
      <x:c r="S194" s="191"/>
      <x:c r="T194" s="191"/>
      <x:c r="U194" s="191"/>
      <x:c r="V194" s="191"/>
      <x:c r="W194" s="191"/>
      <x:c r="X194" s="191"/>
      <x:c r="Y194" s="191"/>
      <x:c r="Z194" s="191"/>
      <x:c r="AA194" s="191"/>
      <x:c r="AB194" s="191"/>
      <x:c r="AC194" s="191"/>
      <x:c r="AD194" s="191"/>
      <x:c r="AE194" s="191"/>
      <x:c r="AF194" s="191"/>
      <x:c r="AG194" s="191"/>
      <x:c r="AH194" s="191"/>
      <x:c r="AI194" s="191"/>
      <x:c r="AJ194" s="191"/>
      <x:c r="AK194" s="191"/>
    </x:row>
    <x:row r="195">
      <x:c r="A195" s="191"/>
      <x:c r="B195" s="191"/>
      <x:c r="C195" s="191"/>
      <x:c r="D195" s="191"/>
      <x:c r="E195" s="191"/>
      <x:c r="F195" s="191"/>
      <x:c r="G195" s="191"/>
      <x:c r="H195" s="191"/>
      <x:c r="I195" s="191"/>
      <x:c r="J195" s="191"/>
      <x:c r="K195" s="191"/>
      <x:c r="L195" s="191"/>
      <x:c r="M195" s="191"/>
      <x:c r="N195" s="191"/>
      <x:c r="O195" s="191"/>
      <x:c r="P195" s="191"/>
      <x:c r="Q195" s="191"/>
      <x:c r="R195" s="191"/>
      <x:c r="S195" s="191"/>
      <x:c r="T195" s="191"/>
      <x:c r="U195" s="191"/>
      <x:c r="V195" s="191"/>
      <x:c r="W195" s="191"/>
      <x:c r="X195" s="191"/>
      <x:c r="Y195" s="191"/>
      <x:c r="Z195" s="191"/>
      <x:c r="AA195" s="191"/>
      <x:c r="AB195" s="191"/>
      <x:c r="AC195" s="191"/>
      <x:c r="AD195" s="191"/>
      <x:c r="AE195" s="191"/>
      <x:c r="AF195" s="191"/>
      <x:c r="AG195" s="191"/>
      <x:c r="AH195" s="191"/>
      <x:c r="AI195" s="191"/>
      <x:c r="AJ195" s="191"/>
      <x:c r="AK195" s="191"/>
    </x:row>
    <x:row r="196">
      <x:c r="A196" s="191"/>
      <x:c r="B196" s="191"/>
      <x:c r="C196" s="191"/>
      <x:c r="D196" s="191"/>
      <x:c r="E196" s="191"/>
      <x:c r="F196" s="191"/>
      <x:c r="G196" s="191"/>
      <x:c r="H196" s="191"/>
      <x:c r="I196" s="191"/>
      <x:c r="J196" s="191"/>
      <x:c r="K196" s="191"/>
      <x:c r="L196" s="191"/>
      <x:c r="M196" s="191"/>
      <x:c r="N196" s="191"/>
      <x:c r="O196" s="191"/>
      <x:c r="P196" s="191"/>
      <x:c r="Q196" s="191"/>
      <x:c r="R196" s="191"/>
      <x:c r="S196" s="191"/>
      <x:c r="T196" s="191"/>
      <x:c r="U196" s="191"/>
      <x:c r="V196" s="191"/>
      <x:c r="W196" s="191"/>
      <x:c r="X196" s="191"/>
      <x:c r="Y196" s="191"/>
      <x:c r="Z196" s="191"/>
      <x:c r="AA196" s="191"/>
      <x:c r="AB196" s="191"/>
      <x:c r="AC196" s="191"/>
      <x:c r="AD196" s="191"/>
      <x:c r="AE196" s="191"/>
      <x:c r="AF196" s="191"/>
      <x:c r="AG196" s="191"/>
      <x:c r="AH196" s="191"/>
      <x:c r="AI196" s="191"/>
      <x:c r="AJ196" s="191"/>
      <x:c r="AK196" s="191"/>
    </x:row>
    <x:row r="197">
      <x:c r="A197" s="191"/>
      <x:c r="B197" s="191"/>
      <x:c r="C197" s="191"/>
      <x:c r="D197" s="191"/>
      <x:c r="E197" s="191"/>
      <x:c r="F197" s="191"/>
      <x:c r="G197" s="191"/>
      <x:c r="H197" s="191"/>
      <x:c r="I197" s="191"/>
      <x:c r="J197" s="191"/>
      <x:c r="K197" s="191"/>
      <x:c r="L197" s="191"/>
      <x:c r="M197" s="191"/>
      <x:c r="N197" s="191"/>
      <x:c r="O197" s="191"/>
      <x:c r="P197" s="191"/>
      <x:c r="Q197" s="191"/>
      <x:c r="R197" s="191"/>
      <x:c r="S197" s="191"/>
      <x:c r="T197" s="191"/>
      <x:c r="U197" s="191"/>
      <x:c r="V197" s="191"/>
      <x:c r="W197" s="191"/>
      <x:c r="X197" s="191"/>
      <x:c r="Y197" s="191"/>
      <x:c r="Z197" s="191"/>
      <x:c r="AA197" s="191"/>
      <x:c r="AB197" s="191"/>
      <x:c r="AC197" s="191"/>
      <x:c r="AD197" s="191"/>
      <x:c r="AE197" s="191"/>
      <x:c r="AF197" s="191"/>
      <x:c r="AG197" s="191"/>
      <x:c r="AH197" s="191"/>
      <x:c r="AI197" s="191"/>
      <x:c r="AJ197" s="191"/>
      <x:c r="AK197" s="191"/>
    </x:row>
    <x:row r="198">
      <x:c r="A198" s="191"/>
      <x:c r="B198" s="191"/>
      <x:c r="C198" s="191"/>
      <x:c r="D198" s="191"/>
      <x:c r="E198" s="191"/>
      <x:c r="F198" s="191"/>
      <x:c r="G198" s="191"/>
      <x:c r="H198" s="191"/>
      <x:c r="I198" s="191"/>
      <x:c r="J198" s="191"/>
      <x:c r="K198" s="191"/>
      <x:c r="L198" s="191"/>
      <x:c r="M198" s="191"/>
      <x:c r="N198" s="191"/>
      <x:c r="O198" s="191"/>
      <x:c r="P198" s="191"/>
      <x:c r="Q198" s="191"/>
      <x:c r="R198" s="191"/>
      <x:c r="S198" s="191"/>
      <x:c r="T198" s="191"/>
      <x:c r="U198" s="191"/>
      <x:c r="V198" s="191"/>
      <x:c r="W198" s="191"/>
      <x:c r="X198" s="191"/>
      <x:c r="Y198" s="191"/>
      <x:c r="Z198" s="191"/>
      <x:c r="AA198" s="191"/>
      <x:c r="AB198" s="191"/>
      <x:c r="AC198" s="191"/>
      <x:c r="AD198" s="191"/>
      <x:c r="AE198" s="191"/>
      <x:c r="AF198" s="191"/>
      <x:c r="AG198" s="191"/>
      <x:c r="AH198" s="191"/>
      <x:c r="AI198" s="191"/>
      <x:c r="AJ198" s="191"/>
      <x:c r="AK198" s="191"/>
    </x:row>
    <x:row r="199">
      <x:c r="A199" s="191"/>
      <x:c r="B199" s="191"/>
      <x:c r="C199" s="191"/>
      <x:c r="D199" s="191"/>
      <x:c r="E199" s="191"/>
      <x:c r="F199" s="191"/>
      <x:c r="G199" s="191"/>
      <x:c r="H199" s="191"/>
      <x:c r="I199" s="191"/>
      <x:c r="J199" s="191"/>
      <x:c r="K199" s="191"/>
      <x:c r="L199" s="191"/>
      <x:c r="M199" s="191"/>
      <x:c r="N199" s="191"/>
      <x:c r="O199" s="191"/>
      <x:c r="P199" s="191"/>
      <x:c r="Q199" s="191"/>
      <x:c r="R199" s="191"/>
      <x:c r="S199" s="191"/>
      <x:c r="T199" s="191"/>
      <x:c r="U199" s="191"/>
      <x:c r="V199" s="191"/>
      <x:c r="W199" s="191"/>
      <x:c r="X199" s="191"/>
      <x:c r="Y199" s="191"/>
      <x:c r="Z199" s="191"/>
      <x:c r="AA199" s="191"/>
      <x:c r="AB199" s="191"/>
      <x:c r="AC199" s="191"/>
      <x:c r="AD199" s="191"/>
      <x:c r="AE199" s="191"/>
      <x:c r="AF199" s="191"/>
      <x:c r="AG199" s="191"/>
      <x:c r="AH199" s="191"/>
      <x:c r="AI199" s="191"/>
      <x:c r="AJ199" s="191"/>
      <x:c r="AK199" s="191"/>
    </x:row>
    <x:row r="200">
      <x:c r="A200" s="191"/>
      <x:c r="B200" s="191"/>
      <x:c r="C200" s="191"/>
      <x:c r="D200" s="191"/>
      <x:c r="E200" s="191"/>
      <x:c r="F200" s="191"/>
      <x:c r="G200" s="191"/>
      <x:c r="H200" s="191"/>
      <x:c r="I200" s="191"/>
      <x:c r="J200" s="191"/>
      <x:c r="K200" s="191"/>
      <x:c r="L200" s="191"/>
      <x:c r="M200" s="191"/>
      <x:c r="N200" s="191"/>
      <x:c r="O200" s="191"/>
      <x:c r="P200" s="191"/>
      <x:c r="Q200" s="191"/>
      <x:c r="R200" s="191"/>
      <x:c r="S200" s="191"/>
      <x:c r="T200" s="191"/>
      <x:c r="U200" s="191"/>
      <x:c r="V200" s="191"/>
      <x:c r="W200" s="191"/>
      <x:c r="X200" s="191"/>
      <x:c r="Y200" s="191"/>
      <x:c r="Z200" s="191"/>
      <x:c r="AA200" s="191"/>
      <x:c r="AB200" s="191"/>
      <x:c r="AC200" s="191"/>
      <x:c r="AD200" s="191"/>
      <x:c r="AE200" s="191"/>
      <x:c r="AF200" s="191"/>
      <x:c r="AG200" s="191"/>
      <x:c r="AH200" s="191"/>
      <x:c r="AI200" s="191"/>
      <x:c r="AJ200" s="191"/>
      <x:c r="AK200" s="191"/>
    </x:row>
    <x:row r="201">
      <x:c r="A201" s="191"/>
      <x:c r="B201" s="191"/>
      <x:c r="C201" s="191"/>
      <x:c r="D201" s="191"/>
      <x:c r="E201" s="191"/>
      <x:c r="F201" s="191"/>
      <x:c r="G201" s="191"/>
      <x:c r="H201" s="191"/>
      <x:c r="I201" s="191"/>
      <x:c r="J201" s="191"/>
      <x:c r="K201" s="191"/>
      <x:c r="L201" s="191"/>
      <x:c r="M201" s="191"/>
      <x:c r="N201" s="191"/>
      <x:c r="O201" s="191"/>
      <x:c r="P201" s="191"/>
      <x:c r="Q201" s="191"/>
      <x:c r="R201" s="191"/>
      <x:c r="S201" s="191"/>
      <x:c r="T201" s="191"/>
      <x:c r="U201" s="191"/>
      <x:c r="V201" s="191"/>
      <x:c r="W201" s="191"/>
      <x:c r="X201" s="191"/>
      <x:c r="Y201" s="191"/>
      <x:c r="Z201" s="191"/>
      <x:c r="AA201" s="191"/>
      <x:c r="AB201" s="191"/>
      <x:c r="AC201" s="191"/>
      <x:c r="AD201" s="191"/>
      <x:c r="AE201" s="191"/>
      <x:c r="AF201" s="191"/>
      <x:c r="AG201" s="191"/>
      <x:c r="AH201" s="191"/>
      <x:c r="AI201" s="191"/>
      <x:c r="AJ201" s="191"/>
      <x:c r="AK201" s="191"/>
    </x:row>
    <x:row r="202">
      <x:c r="A202" s="191"/>
      <x:c r="B202" s="191"/>
      <x:c r="C202" s="191"/>
      <x:c r="D202" s="191"/>
      <x:c r="E202" s="191"/>
      <x:c r="F202" s="191"/>
      <x:c r="G202" s="191"/>
      <x:c r="H202" s="191"/>
      <x:c r="I202" s="191"/>
      <x:c r="J202" s="191"/>
      <x:c r="K202" s="191"/>
      <x:c r="L202" s="191"/>
      <x:c r="M202" s="191"/>
      <x:c r="N202" s="191"/>
      <x:c r="O202" s="191"/>
      <x:c r="P202" s="191"/>
      <x:c r="Q202" s="191"/>
      <x:c r="R202" s="191"/>
      <x:c r="S202" s="191"/>
      <x:c r="T202" s="191"/>
      <x:c r="U202" s="191"/>
      <x:c r="V202" s="191"/>
      <x:c r="W202" s="191"/>
      <x:c r="X202" s="191"/>
      <x:c r="Y202" s="191"/>
      <x:c r="Z202" s="191"/>
      <x:c r="AA202" s="191"/>
      <x:c r="AB202" s="191"/>
      <x:c r="AC202" s="191"/>
      <x:c r="AD202" s="191"/>
      <x:c r="AE202" s="191"/>
      <x:c r="AF202" s="191"/>
      <x:c r="AG202" s="191"/>
      <x:c r="AH202" s="191"/>
      <x:c r="AI202" s="191"/>
      <x:c r="AJ202" s="191"/>
      <x:c r="AK202" s="191"/>
    </x:row>
    <x:row r="203">
      <x:c r="A203" s="191"/>
      <x:c r="B203" s="191"/>
      <x:c r="C203" s="191"/>
      <x:c r="D203" s="191"/>
      <x:c r="E203" s="191"/>
      <x:c r="F203" s="191"/>
      <x:c r="G203" s="191"/>
      <x:c r="H203" s="191"/>
      <x:c r="I203" s="191"/>
      <x:c r="J203" s="191"/>
      <x:c r="K203" s="191"/>
      <x:c r="L203" s="191"/>
      <x:c r="M203" s="191"/>
      <x:c r="N203" s="191"/>
      <x:c r="O203" s="191"/>
      <x:c r="P203" s="191"/>
      <x:c r="Q203" s="191"/>
      <x:c r="R203" s="191"/>
      <x:c r="S203" s="191"/>
      <x:c r="T203" s="191"/>
      <x:c r="U203" s="191"/>
      <x:c r="V203" s="191"/>
      <x:c r="W203" s="191"/>
      <x:c r="X203" s="191"/>
      <x:c r="Y203" s="191"/>
      <x:c r="Z203" s="191"/>
      <x:c r="AA203" s="191"/>
      <x:c r="AB203" s="191"/>
      <x:c r="AC203" s="191"/>
      <x:c r="AD203" s="191"/>
      <x:c r="AE203" s="191"/>
      <x:c r="AF203" s="191"/>
      <x:c r="AG203" s="191"/>
      <x:c r="AH203" s="191"/>
      <x:c r="AI203" s="191"/>
      <x:c r="AJ203" s="191"/>
      <x:c r="AK203" s="191"/>
    </x:row>
    <x:row r="204">
      <x:c r="A204" s="191"/>
      <x:c r="B204" s="191"/>
      <x:c r="C204" s="191"/>
      <x:c r="D204" s="191"/>
      <x:c r="E204" s="191"/>
      <x:c r="F204" s="191"/>
      <x:c r="G204" s="191"/>
      <x:c r="H204" s="191"/>
      <x:c r="I204" s="191"/>
      <x:c r="J204" s="191"/>
      <x:c r="K204" s="191"/>
      <x:c r="L204" s="191"/>
      <x:c r="M204" s="191"/>
      <x:c r="N204" s="191"/>
      <x:c r="O204" s="191"/>
      <x:c r="P204" s="191"/>
      <x:c r="Q204" s="191"/>
      <x:c r="R204" s="191"/>
      <x:c r="S204" s="191"/>
      <x:c r="T204" s="191"/>
      <x:c r="U204" s="191"/>
      <x:c r="V204" s="191"/>
      <x:c r="W204" s="191"/>
      <x:c r="X204" s="191"/>
      <x:c r="Y204" s="191"/>
      <x:c r="Z204" s="191"/>
      <x:c r="AA204" s="191"/>
      <x:c r="AB204" s="191"/>
      <x:c r="AC204" s="191"/>
      <x:c r="AD204" s="191"/>
      <x:c r="AE204" s="191"/>
      <x:c r="AF204" s="191"/>
      <x:c r="AG204" s="191"/>
      <x:c r="AH204" s="191"/>
      <x:c r="AI204" s="191"/>
      <x:c r="AJ204" s="191"/>
      <x:c r="AK204" s="191"/>
    </x:row>
    <x:row r="205">
      <x:c r="A205" s="191"/>
      <x:c r="B205" s="191"/>
      <x:c r="C205" s="191"/>
      <x:c r="D205" s="191"/>
      <x:c r="E205" s="191"/>
      <x:c r="F205" s="191"/>
      <x:c r="G205" s="191"/>
      <x:c r="H205" s="191"/>
      <x:c r="I205" s="191"/>
      <x:c r="J205" s="191"/>
      <x:c r="K205" s="191"/>
      <x:c r="L205" s="191"/>
      <x:c r="M205" s="191"/>
      <x:c r="N205" s="191"/>
      <x:c r="O205" s="191"/>
      <x:c r="P205" s="191"/>
      <x:c r="Q205" s="191"/>
      <x:c r="R205" s="191"/>
      <x:c r="S205" s="191"/>
      <x:c r="T205" s="191"/>
      <x:c r="U205" s="191"/>
      <x:c r="V205" s="191"/>
      <x:c r="W205" s="191"/>
      <x:c r="X205" s="191"/>
      <x:c r="Y205" s="191"/>
      <x:c r="Z205" s="191"/>
      <x:c r="AA205" s="191"/>
      <x:c r="AB205" s="191"/>
      <x:c r="AC205" s="191"/>
      <x:c r="AD205" s="191"/>
      <x:c r="AE205" s="191"/>
      <x:c r="AF205" s="191"/>
      <x:c r="AG205" s="191"/>
      <x:c r="AH205" s="191"/>
      <x:c r="AI205" s="191"/>
      <x:c r="AJ205" s="191"/>
      <x:c r="AK205" s="191"/>
    </x:row>
    <x:row r="206">
      <x:c r="A206" s="191"/>
      <x:c r="B206" s="191"/>
      <x:c r="C206" s="191"/>
      <x:c r="D206" s="191"/>
      <x:c r="E206" s="191"/>
      <x:c r="F206" s="191"/>
      <x:c r="G206" s="191"/>
      <x:c r="H206" s="191"/>
      <x:c r="I206" s="191"/>
      <x:c r="J206" s="191"/>
      <x:c r="K206" s="191"/>
      <x:c r="L206" s="191"/>
      <x:c r="M206" s="191"/>
      <x:c r="N206" s="191"/>
      <x:c r="O206" s="191"/>
      <x:c r="P206" s="191"/>
      <x:c r="Q206" s="191"/>
      <x:c r="R206" s="191"/>
      <x:c r="S206" s="191"/>
      <x:c r="T206" s="191"/>
      <x:c r="U206" s="191"/>
      <x:c r="V206" s="191"/>
      <x:c r="W206" s="191"/>
      <x:c r="X206" s="191"/>
      <x:c r="Y206" s="191"/>
      <x:c r="Z206" s="191"/>
      <x:c r="AA206" s="191"/>
      <x:c r="AB206" s="191"/>
      <x:c r="AC206" s="191"/>
      <x:c r="AD206" s="191"/>
      <x:c r="AE206" s="191"/>
      <x:c r="AF206" s="191"/>
      <x:c r="AG206" s="191"/>
      <x:c r="AH206" s="191"/>
      <x:c r="AI206" s="191"/>
      <x:c r="AJ206" s="191"/>
      <x:c r="AK206" s="191"/>
    </x:row>
    <x:row r="207">
      <x:c r="A207" s="191"/>
      <x:c r="B207" s="191"/>
      <x:c r="C207" s="191"/>
      <x:c r="D207" s="191"/>
      <x:c r="E207" s="191"/>
      <x:c r="F207" s="191"/>
      <x:c r="G207" s="191"/>
      <x:c r="H207" s="191"/>
      <x:c r="I207" s="191"/>
      <x:c r="J207" s="191"/>
      <x:c r="K207" s="191"/>
      <x:c r="L207" s="191"/>
      <x:c r="M207" s="191"/>
      <x:c r="N207" s="191"/>
      <x:c r="O207" s="191"/>
      <x:c r="P207" s="191"/>
      <x:c r="Q207" s="191"/>
      <x:c r="R207" s="191"/>
      <x:c r="S207" s="191"/>
      <x:c r="T207" s="191"/>
      <x:c r="U207" s="191"/>
      <x:c r="V207" s="191"/>
      <x:c r="W207" s="191"/>
      <x:c r="X207" s="191"/>
      <x:c r="Y207" s="191"/>
      <x:c r="Z207" s="191"/>
      <x:c r="AA207" s="191"/>
      <x:c r="AB207" s="191"/>
      <x:c r="AC207" s="191"/>
      <x:c r="AD207" s="191"/>
      <x:c r="AE207" s="191"/>
      <x:c r="AF207" s="191"/>
      <x:c r="AG207" s="191"/>
      <x:c r="AH207" s="191"/>
      <x:c r="AI207" s="191"/>
      <x:c r="AJ207" s="191"/>
      <x:c r="AK207" s="191"/>
    </x:row>
    <x:row r="208">
      <x:c r="A208" s="191"/>
      <x:c r="B208" s="191"/>
      <x:c r="C208" s="191"/>
      <x:c r="D208" s="191"/>
      <x:c r="E208" s="191"/>
      <x:c r="F208" s="191"/>
      <x:c r="G208" s="191"/>
      <x:c r="H208" s="191"/>
      <x:c r="I208" s="191"/>
      <x:c r="J208" s="191"/>
      <x:c r="K208" s="191"/>
      <x:c r="L208" s="191"/>
      <x:c r="M208" s="191"/>
      <x:c r="N208" s="191"/>
      <x:c r="O208" s="191"/>
      <x:c r="P208" s="191"/>
      <x:c r="Q208" s="191"/>
      <x:c r="R208" s="191"/>
      <x:c r="S208" s="191"/>
      <x:c r="T208" s="191"/>
      <x:c r="U208" s="191"/>
      <x:c r="V208" s="191"/>
      <x:c r="W208" s="191"/>
      <x:c r="X208" s="191"/>
      <x:c r="Y208" s="191"/>
      <x:c r="Z208" s="191"/>
      <x:c r="AA208" s="191"/>
      <x:c r="AB208" s="191"/>
      <x:c r="AC208" s="191"/>
      <x:c r="AD208" s="191"/>
      <x:c r="AE208" s="191"/>
      <x:c r="AF208" s="191"/>
      <x:c r="AG208" s="191"/>
      <x:c r="AH208" s="191"/>
      <x:c r="AI208" s="191"/>
      <x:c r="AJ208" s="191"/>
      <x:c r="AK208" s="191"/>
    </x:row>
    <x:row r="209">
      <x:c r="A209" s="191"/>
      <x:c r="B209" s="191"/>
      <x:c r="C209" s="191"/>
      <x:c r="D209" s="191"/>
      <x:c r="E209" s="191"/>
      <x:c r="F209" s="191"/>
      <x:c r="G209" s="191"/>
      <x:c r="H209" s="191"/>
      <x:c r="I209" s="191"/>
      <x:c r="J209" s="191"/>
      <x:c r="K209" s="191"/>
      <x:c r="L209" s="191"/>
      <x:c r="M209" s="191"/>
      <x:c r="N209" s="191"/>
      <x:c r="O209" s="191"/>
      <x:c r="P209" s="191"/>
      <x:c r="Q209" s="191"/>
      <x:c r="R209" s="191"/>
      <x:c r="S209" s="191"/>
      <x:c r="T209" s="191"/>
      <x:c r="U209" s="191"/>
      <x:c r="V209" s="191"/>
      <x:c r="W209" s="191"/>
      <x:c r="X209" s="191"/>
      <x:c r="Y209" s="191"/>
      <x:c r="Z209" s="191"/>
      <x:c r="AA209" s="191"/>
      <x:c r="AB209" s="191"/>
      <x:c r="AC209" s="191"/>
      <x:c r="AD209" s="191"/>
      <x:c r="AE209" s="191"/>
      <x:c r="AF209" s="191"/>
      <x:c r="AG209" s="191"/>
      <x:c r="AH209" s="191"/>
      <x:c r="AI209" s="191"/>
      <x:c r="AJ209" s="191"/>
      <x:c r="AK209" s="191"/>
    </x:row>
    <x:row r="210">
      <x:c r="A210" s="191"/>
      <x:c r="B210" s="191"/>
      <x:c r="C210" s="191"/>
      <x:c r="D210" s="191"/>
      <x:c r="E210" s="191"/>
      <x:c r="F210" s="191"/>
      <x:c r="G210" s="191"/>
      <x:c r="H210" s="191"/>
      <x:c r="I210" s="191"/>
      <x:c r="J210" s="191"/>
      <x:c r="K210" s="191"/>
      <x:c r="L210" s="191"/>
      <x:c r="M210" s="191"/>
      <x:c r="N210" s="191"/>
      <x:c r="O210" s="191"/>
      <x:c r="P210" s="191"/>
      <x:c r="Q210" s="191"/>
      <x:c r="R210" s="191"/>
      <x:c r="S210" s="191"/>
      <x:c r="T210" s="191"/>
      <x:c r="U210" s="191"/>
      <x:c r="V210" s="191"/>
      <x:c r="W210" s="191"/>
      <x:c r="X210" s="191"/>
      <x:c r="Y210" s="191"/>
      <x:c r="Z210" s="191"/>
      <x:c r="AA210" s="191"/>
      <x:c r="AB210" s="191"/>
      <x:c r="AC210" s="191"/>
      <x:c r="AD210" s="191"/>
      <x:c r="AE210" s="191"/>
      <x:c r="AF210" s="191"/>
      <x:c r="AG210" s="191"/>
      <x:c r="AH210" s="191"/>
      <x:c r="AI210" s="191"/>
      <x:c r="AJ210" s="191"/>
      <x:c r="AK210" s="191"/>
    </x:row>
    <x:row r="211">
      <x:c r="A211" s="191"/>
      <x:c r="B211" s="191"/>
      <x:c r="C211" s="191"/>
      <x:c r="D211" s="191"/>
      <x:c r="E211" s="191"/>
      <x:c r="F211" s="191"/>
      <x:c r="G211" s="191"/>
      <x:c r="H211" s="191"/>
      <x:c r="I211" s="191"/>
      <x:c r="J211" s="191"/>
      <x:c r="K211" s="191"/>
      <x:c r="L211" s="191"/>
      <x:c r="M211" s="191"/>
      <x:c r="N211" s="191"/>
      <x:c r="O211" s="191"/>
      <x:c r="P211" s="191"/>
      <x:c r="Q211" s="191"/>
      <x:c r="R211" s="191"/>
      <x:c r="S211" s="191"/>
      <x:c r="T211" s="191"/>
      <x:c r="U211" s="191"/>
      <x:c r="V211" s="191"/>
      <x:c r="W211" s="191"/>
      <x:c r="X211" s="191"/>
      <x:c r="Y211" s="191"/>
      <x:c r="Z211" s="191"/>
      <x:c r="AA211" s="191"/>
      <x:c r="AB211" s="191"/>
      <x:c r="AC211" s="191"/>
      <x:c r="AD211" s="191"/>
      <x:c r="AE211" s="191"/>
      <x:c r="AF211" s="191"/>
      <x:c r="AG211" s="191"/>
      <x:c r="AH211" s="191"/>
      <x:c r="AI211" s="191"/>
      <x:c r="AJ211" s="191"/>
      <x:c r="AK211" s="191"/>
    </x:row>
    <x:row r="212">
      <x:c r="A212" s="191"/>
      <x:c r="B212" s="191"/>
      <x:c r="C212" s="191"/>
      <x:c r="D212" s="191"/>
      <x:c r="E212" s="191"/>
      <x:c r="F212" s="191"/>
      <x:c r="G212" s="191"/>
      <x:c r="H212" s="191"/>
      <x:c r="I212" s="191"/>
      <x:c r="J212" s="191"/>
      <x:c r="K212" s="191"/>
      <x:c r="L212" s="191"/>
      <x:c r="M212" s="191"/>
      <x:c r="N212" s="191"/>
      <x:c r="O212" s="191"/>
      <x:c r="P212" s="191"/>
      <x:c r="Q212" s="191"/>
      <x:c r="R212" s="191"/>
      <x:c r="S212" s="191"/>
      <x:c r="T212" s="191"/>
      <x:c r="U212" s="191"/>
      <x:c r="V212" s="191"/>
      <x:c r="W212" s="191"/>
      <x:c r="X212" s="191"/>
      <x:c r="Y212" s="191"/>
      <x:c r="Z212" s="191"/>
      <x:c r="AA212" s="191"/>
      <x:c r="AB212" s="191"/>
      <x:c r="AC212" s="191"/>
      <x:c r="AD212" s="191"/>
      <x:c r="AE212" s="191"/>
      <x:c r="AF212" s="191"/>
      <x:c r="AG212" s="191"/>
      <x:c r="AH212" s="191"/>
      <x:c r="AI212" s="191"/>
      <x:c r="AJ212" s="191"/>
      <x:c r="AK212" s="191"/>
    </x:row>
    <x:row r="213">
      <x:c r="A213" s="191"/>
      <x:c r="B213" s="191"/>
      <x:c r="C213" s="191"/>
      <x:c r="D213" s="191"/>
      <x:c r="E213" s="191"/>
      <x:c r="F213" s="191"/>
      <x:c r="G213" s="191"/>
      <x:c r="H213" s="191"/>
      <x:c r="I213" s="191"/>
      <x:c r="J213" s="191"/>
      <x:c r="K213" s="191"/>
      <x:c r="L213" s="191"/>
      <x:c r="M213" s="191"/>
      <x:c r="N213" s="191"/>
      <x:c r="O213" s="191"/>
      <x:c r="P213" s="191"/>
      <x:c r="Q213" s="191"/>
      <x:c r="R213" s="191"/>
      <x:c r="S213" s="191"/>
      <x:c r="T213" s="191"/>
      <x:c r="U213" s="191"/>
      <x:c r="V213" s="191"/>
      <x:c r="W213" s="191"/>
      <x:c r="X213" s="191"/>
      <x:c r="Y213" s="191"/>
      <x:c r="Z213" s="191"/>
      <x:c r="AA213" s="191"/>
      <x:c r="AB213" s="191"/>
      <x:c r="AC213" s="191"/>
      <x:c r="AD213" s="191"/>
      <x:c r="AE213" s="191"/>
      <x:c r="AF213" s="191"/>
      <x:c r="AG213" s="191"/>
      <x:c r="AH213" s="191"/>
      <x:c r="AI213" s="191"/>
      <x:c r="AJ213" s="191"/>
      <x:c r="AK213" s="191"/>
    </x:row>
    <x:row r="214">
      <x:c r="A214" s="191"/>
      <x:c r="B214" s="191"/>
      <x:c r="C214" s="191"/>
      <x:c r="D214" s="191"/>
      <x:c r="E214" s="191"/>
      <x:c r="F214" s="191"/>
      <x:c r="G214" s="191"/>
      <x:c r="H214" s="191"/>
      <x:c r="I214" s="191"/>
      <x:c r="J214" s="191"/>
      <x:c r="K214" s="191"/>
      <x:c r="L214" s="191"/>
      <x:c r="M214" s="191"/>
      <x:c r="N214" s="191"/>
      <x:c r="O214" s="191"/>
      <x:c r="P214" s="191"/>
      <x:c r="Q214" s="191"/>
      <x:c r="R214" s="191"/>
      <x:c r="S214" s="191"/>
      <x:c r="T214" s="191"/>
      <x:c r="U214" s="191"/>
      <x:c r="V214" s="191"/>
      <x:c r="W214" s="191"/>
      <x:c r="X214" s="191"/>
      <x:c r="Y214" s="191"/>
      <x:c r="Z214" s="191"/>
      <x:c r="AA214" s="191"/>
      <x:c r="AB214" s="191"/>
      <x:c r="AC214" s="191"/>
      <x:c r="AD214" s="191"/>
      <x:c r="AE214" s="191"/>
      <x:c r="AF214" s="191"/>
      <x:c r="AG214" s="191"/>
      <x:c r="AH214" s="191"/>
      <x:c r="AI214" s="191"/>
      <x:c r="AJ214" s="191"/>
      <x:c r="AK214" s="191"/>
    </x:row>
    <x:row r="215">
      <x:c r="A215" s="191"/>
      <x:c r="B215" s="191"/>
      <x:c r="C215" s="191"/>
      <x:c r="D215" s="191"/>
      <x:c r="E215" s="191"/>
      <x:c r="F215" s="191"/>
      <x:c r="G215" s="191"/>
      <x:c r="H215" s="191"/>
      <x:c r="I215" s="191"/>
      <x:c r="J215" s="191"/>
      <x:c r="K215" s="191"/>
      <x:c r="L215" s="191"/>
      <x:c r="M215" s="191"/>
      <x:c r="N215" s="191"/>
      <x:c r="O215" s="191"/>
      <x:c r="P215" s="191"/>
      <x:c r="Q215" s="191"/>
      <x:c r="R215" s="191"/>
      <x:c r="S215" s="191"/>
      <x:c r="T215" s="191"/>
      <x:c r="U215" s="191"/>
      <x:c r="V215" s="191"/>
      <x:c r="W215" s="191"/>
      <x:c r="X215" s="191"/>
      <x:c r="Y215" s="191"/>
      <x:c r="Z215" s="191"/>
      <x:c r="AA215" s="191"/>
      <x:c r="AB215" s="191"/>
      <x:c r="AC215" s="191"/>
      <x:c r="AD215" s="191"/>
      <x:c r="AE215" s="191"/>
      <x:c r="AF215" s="191"/>
      <x:c r="AG215" s="191"/>
      <x:c r="AH215" s="191"/>
      <x:c r="AI215" s="191"/>
      <x:c r="AJ215" s="191"/>
      <x:c r="AK215" s="191"/>
    </x:row>
    <x:row r="216">
      <x:c r="A216" s="191"/>
      <x:c r="B216" s="191"/>
      <x:c r="C216" s="191"/>
      <x:c r="D216" s="191"/>
      <x:c r="E216" s="191"/>
      <x:c r="F216" s="191"/>
      <x:c r="G216" s="191"/>
      <x:c r="H216" s="191"/>
      <x:c r="I216" s="191"/>
      <x:c r="J216" s="191"/>
      <x:c r="K216" s="191"/>
      <x:c r="L216" s="191"/>
      <x:c r="M216" s="191"/>
      <x:c r="N216" s="191"/>
      <x:c r="O216" s="191"/>
      <x:c r="P216" s="191"/>
      <x:c r="Q216" s="191"/>
      <x:c r="R216" s="191"/>
      <x:c r="S216" s="191"/>
      <x:c r="T216" s="191"/>
      <x:c r="U216" s="191"/>
      <x:c r="V216" s="191"/>
      <x:c r="W216" s="191"/>
      <x:c r="X216" s="191"/>
      <x:c r="Y216" s="191"/>
      <x:c r="Z216" s="191"/>
      <x:c r="AA216" s="191"/>
      <x:c r="AB216" s="191"/>
      <x:c r="AC216" s="191"/>
      <x:c r="AD216" s="191"/>
      <x:c r="AE216" s="191"/>
      <x:c r="AF216" s="191"/>
      <x:c r="AG216" s="191"/>
      <x:c r="AH216" s="191"/>
      <x:c r="AI216" s="191"/>
      <x:c r="AJ216" s="191"/>
      <x:c r="AK216" s="191"/>
    </x:row>
    <x:row r="217">
      <x:c r="A217" s="191"/>
      <x:c r="B217" s="191"/>
      <x:c r="C217" s="191"/>
      <x:c r="D217" s="191"/>
      <x:c r="E217" s="191"/>
      <x:c r="F217" s="191"/>
      <x:c r="G217" s="191"/>
      <x:c r="H217" s="191"/>
      <x:c r="I217" s="191"/>
      <x:c r="J217" s="191"/>
      <x:c r="K217" s="191"/>
      <x:c r="L217" s="191"/>
      <x:c r="M217" s="191"/>
      <x:c r="N217" s="191"/>
      <x:c r="O217" s="191"/>
      <x:c r="P217" s="191"/>
      <x:c r="Q217" s="191"/>
      <x:c r="R217" s="191"/>
      <x:c r="S217" s="191"/>
      <x:c r="T217" s="191"/>
      <x:c r="U217" s="191"/>
      <x:c r="V217" s="191"/>
      <x:c r="W217" s="191"/>
      <x:c r="X217" s="191"/>
      <x:c r="Y217" s="191"/>
      <x:c r="Z217" s="191"/>
      <x:c r="AA217" s="191"/>
      <x:c r="AB217" s="191"/>
      <x:c r="AC217" s="191"/>
      <x:c r="AD217" s="191"/>
      <x:c r="AE217" s="191"/>
      <x:c r="AF217" s="191"/>
      <x:c r="AG217" s="191"/>
      <x:c r="AH217" s="191"/>
      <x:c r="AI217" s="191"/>
      <x:c r="AJ217" s="191"/>
      <x:c r="AK217" s="191"/>
    </x:row>
    <x:row r="218">
      <x:c r="A218" s="191"/>
      <x:c r="B218" s="191"/>
      <x:c r="C218" s="191"/>
      <x:c r="D218" s="191"/>
      <x:c r="E218" s="191"/>
      <x:c r="F218" s="191"/>
      <x:c r="G218" s="191"/>
      <x:c r="H218" s="191"/>
      <x:c r="I218" s="191"/>
      <x:c r="J218" s="191"/>
      <x:c r="K218" s="191"/>
      <x:c r="L218" s="191"/>
      <x:c r="M218" s="191"/>
      <x:c r="N218" s="191"/>
      <x:c r="O218" s="191"/>
      <x:c r="P218" s="191"/>
      <x:c r="Q218" s="191"/>
      <x:c r="R218" s="191"/>
      <x:c r="S218" s="191"/>
      <x:c r="T218" s="191"/>
      <x:c r="U218" s="191"/>
      <x:c r="V218" s="191"/>
      <x:c r="W218" s="191"/>
      <x:c r="X218" s="191"/>
      <x:c r="Y218" s="191"/>
      <x:c r="Z218" s="191"/>
      <x:c r="AA218" s="191"/>
      <x:c r="AB218" s="191"/>
      <x:c r="AC218" s="191"/>
      <x:c r="AD218" s="191"/>
      <x:c r="AE218" s="191"/>
      <x:c r="AF218" s="191"/>
      <x:c r="AG218" s="191"/>
      <x:c r="AH218" s="191"/>
      <x:c r="AI218" s="191"/>
      <x:c r="AJ218" s="191"/>
      <x:c r="AK218" s="191"/>
    </x:row>
    <x:row r="219">
      <x:c r="A219" s="191"/>
      <x:c r="B219" s="191"/>
      <x:c r="C219" s="191"/>
      <x:c r="D219" s="191"/>
      <x:c r="E219" s="191"/>
      <x:c r="F219" s="191"/>
      <x:c r="G219" s="191"/>
      <x:c r="H219" s="191"/>
      <x:c r="I219" s="191"/>
      <x:c r="J219" s="191"/>
      <x:c r="K219" s="191"/>
      <x:c r="L219" s="191"/>
      <x:c r="M219" s="191"/>
      <x:c r="N219" s="191"/>
      <x:c r="O219" s="191"/>
      <x:c r="P219" s="191"/>
      <x:c r="Q219" s="191"/>
      <x:c r="R219" s="191"/>
      <x:c r="S219" s="191"/>
      <x:c r="T219" s="191"/>
      <x:c r="U219" s="191"/>
      <x:c r="V219" s="191"/>
      <x:c r="W219" s="191"/>
      <x:c r="X219" s="191"/>
      <x:c r="Y219" s="191"/>
      <x:c r="Z219" s="191"/>
      <x:c r="AA219" s="191"/>
      <x:c r="AB219" s="191"/>
      <x:c r="AC219" s="191"/>
      <x:c r="AD219" s="191"/>
      <x:c r="AE219" s="191"/>
      <x:c r="AF219" s="191"/>
      <x:c r="AG219" s="191"/>
      <x:c r="AH219" s="191"/>
      <x:c r="AI219" s="191"/>
      <x:c r="AJ219" s="191"/>
      <x:c r="AK219" s="191"/>
    </x:row>
    <x:row r="220">
      <x:c r="A220" s="191"/>
      <x:c r="B220" s="191"/>
      <x:c r="C220" s="191"/>
      <x:c r="D220" s="191"/>
      <x:c r="E220" s="191"/>
      <x:c r="F220" s="191"/>
      <x:c r="G220" s="191"/>
      <x:c r="H220" s="191"/>
      <x:c r="I220" s="191"/>
      <x:c r="J220" s="191"/>
      <x:c r="K220" s="191"/>
      <x:c r="L220" s="191"/>
      <x:c r="M220" s="191"/>
      <x:c r="N220" s="191"/>
      <x:c r="O220" s="191"/>
      <x:c r="P220" s="191"/>
      <x:c r="Q220" s="191"/>
      <x:c r="R220" s="191"/>
      <x:c r="S220" s="191"/>
      <x:c r="T220" s="191"/>
      <x:c r="U220" s="191"/>
      <x:c r="V220" s="191"/>
      <x:c r="W220" s="191"/>
      <x:c r="X220" s="191"/>
      <x:c r="Y220" s="191"/>
      <x:c r="Z220" s="191"/>
      <x:c r="AA220" s="191"/>
      <x:c r="AB220" s="191"/>
      <x:c r="AC220" s="191"/>
      <x:c r="AD220" s="191"/>
      <x:c r="AE220" s="191"/>
      <x:c r="AF220" s="191"/>
      <x:c r="AG220" s="191"/>
      <x:c r="AH220" s="191"/>
      <x:c r="AI220" s="191"/>
      <x:c r="AJ220" s="191"/>
      <x:c r="AK220" s="191"/>
    </x:row>
    <x:row r="221">
      <x:c r="A221" s="191"/>
      <x:c r="B221" s="191"/>
      <x:c r="C221" s="191"/>
      <x:c r="D221" s="191"/>
      <x:c r="E221" s="191"/>
      <x:c r="F221" s="191"/>
      <x:c r="G221" s="191"/>
      <x:c r="H221" s="191"/>
      <x:c r="I221" s="191"/>
      <x:c r="J221" s="191"/>
      <x:c r="K221" s="191"/>
      <x:c r="L221" s="191"/>
      <x:c r="M221" s="191"/>
      <x:c r="N221" s="191"/>
      <x:c r="O221" s="191"/>
      <x:c r="P221" s="191"/>
      <x:c r="Q221" s="191"/>
      <x:c r="R221" s="191"/>
      <x:c r="S221" s="191"/>
      <x:c r="T221" s="191"/>
      <x:c r="U221" s="191"/>
      <x:c r="V221" s="191"/>
      <x:c r="W221" s="191"/>
      <x:c r="X221" s="191"/>
      <x:c r="Y221" s="191"/>
      <x:c r="Z221" s="191"/>
      <x:c r="AA221" s="191"/>
      <x:c r="AB221" s="191"/>
      <x:c r="AC221" s="191"/>
      <x:c r="AD221" s="191"/>
      <x:c r="AE221" s="191"/>
      <x:c r="AF221" s="191"/>
      <x:c r="AG221" s="191"/>
      <x:c r="AH221" s="191"/>
      <x:c r="AI221" s="191"/>
      <x:c r="AJ221" s="191"/>
      <x:c r="AK221" s="191"/>
    </x:row>
    <x:row r="222">
      <x:c r="A222" s="191"/>
      <x:c r="B222" s="191"/>
      <x:c r="C222" s="191"/>
      <x:c r="D222" s="191"/>
      <x:c r="E222" s="191"/>
      <x:c r="F222" s="191"/>
      <x:c r="G222" s="191"/>
      <x:c r="H222" s="191"/>
      <x:c r="I222" s="191"/>
      <x:c r="J222" s="191"/>
      <x:c r="K222" s="191"/>
      <x:c r="L222" s="191"/>
      <x:c r="M222" s="191"/>
      <x:c r="N222" s="191"/>
      <x:c r="O222" s="191"/>
      <x:c r="P222" s="191"/>
      <x:c r="Q222" s="191"/>
      <x:c r="R222" s="191"/>
      <x:c r="S222" s="191"/>
      <x:c r="T222" s="191"/>
      <x:c r="U222" s="191"/>
      <x:c r="V222" s="191"/>
      <x:c r="W222" s="191"/>
      <x:c r="X222" s="191"/>
      <x:c r="Y222" s="191"/>
      <x:c r="Z222" s="191"/>
      <x:c r="AA222" s="191"/>
      <x:c r="AB222" s="191"/>
      <x:c r="AC222" s="191"/>
      <x:c r="AD222" s="191"/>
      <x:c r="AE222" s="191"/>
      <x:c r="AF222" s="191"/>
      <x:c r="AG222" s="191"/>
      <x:c r="AH222" s="191"/>
      <x:c r="AI222" s="191"/>
      <x:c r="AJ222" s="191"/>
      <x:c r="AK222" s="191"/>
    </x:row>
    <x:row r="223">
      <x:c r="A223" s="191"/>
      <x:c r="B223" s="191"/>
      <x:c r="C223" s="191"/>
      <x:c r="D223" s="191"/>
      <x:c r="E223" s="191"/>
      <x:c r="F223" s="191"/>
      <x:c r="G223" s="191"/>
      <x:c r="H223" s="191"/>
      <x:c r="I223" s="191"/>
      <x:c r="J223" s="191"/>
      <x:c r="K223" s="191"/>
      <x:c r="L223" s="191"/>
      <x:c r="M223" s="191"/>
      <x:c r="N223" s="191"/>
      <x:c r="O223" s="191"/>
      <x:c r="P223" s="191"/>
      <x:c r="Q223" s="191"/>
      <x:c r="R223" s="191"/>
      <x:c r="S223" s="191"/>
      <x:c r="T223" s="191"/>
      <x:c r="U223" s="191"/>
      <x:c r="V223" s="191"/>
      <x:c r="W223" s="191"/>
      <x:c r="X223" s="191"/>
      <x:c r="Y223" s="191"/>
      <x:c r="Z223" s="191"/>
      <x:c r="AA223" s="191"/>
      <x:c r="AB223" s="191"/>
      <x:c r="AC223" s="191"/>
      <x:c r="AD223" s="191"/>
      <x:c r="AE223" s="191"/>
      <x:c r="AF223" s="191"/>
      <x:c r="AG223" s="191"/>
      <x:c r="AH223" s="191"/>
      <x:c r="AI223" s="191"/>
      <x:c r="AJ223" s="191"/>
      <x:c r="AK223" s="191"/>
    </x:row>
    <x:row r="224">
      <x:c r="A224" s="191"/>
      <x:c r="B224" s="191"/>
      <x:c r="C224" s="191"/>
      <x:c r="D224" s="191"/>
      <x:c r="E224" s="191"/>
      <x:c r="F224" s="191"/>
      <x:c r="G224" s="191"/>
      <x:c r="H224" s="191"/>
      <x:c r="I224" s="191"/>
      <x:c r="J224" s="191"/>
      <x:c r="K224" s="191"/>
      <x:c r="L224" s="191"/>
      <x:c r="M224" s="191"/>
      <x:c r="N224" s="191"/>
      <x:c r="O224" s="191"/>
      <x:c r="P224" s="191"/>
      <x:c r="Q224" s="191"/>
      <x:c r="R224" s="191"/>
      <x:c r="S224" s="191"/>
      <x:c r="T224" s="191"/>
      <x:c r="U224" s="191"/>
      <x:c r="V224" s="191"/>
      <x:c r="W224" s="191"/>
      <x:c r="X224" s="191"/>
      <x:c r="Y224" s="191"/>
      <x:c r="Z224" s="191"/>
      <x:c r="AA224" s="191"/>
      <x:c r="AB224" s="191"/>
      <x:c r="AC224" s="191"/>
      <x:c r="AD224" s="191"/>
      <x:c r="AE224" s="191"/>
      <x:c r="AF224" s="191"/>
      <x:c r="AG224" s="191"/>
      <x:c r="AH224" s="191"/>
      <x:c r="AI224" s="191"/>
      <x:c r="AJ224" s="191"/>
      <x:c r="AK224" s="191"/>
    </x:row>
    <x:row r="225">
      <x:c r="A225" s="191"/>
      <x:c r="B225" s="191"/>
      <x:c r="C225" s="191"/>
      <x:c r="D225" s="191"/>
      <x:c r="E225" s="191"/>
      <x:c r="F225" s="191"/>
      <x:c r="G225" s="191"/>
      <x:c r="H225" s="191"/>
      <x:c r="I225" s="191"/>
      <x:c r="J225" s="191"/>
      <x:c r="K225" s="191"/>
      <x:c r="L225" s="191"/>
      <x:c r="M225" s="191"/>
      <x:c r="N225" s="191"/>
      <x:c r="O225" s="191"/>
      <x:c r="P225" s="191"/>
      <x:c r="Q225" s="191"/>
      <x:c r="R225" s="191"/>
      <x:c r="S225" s="191"/>
      <x:c r="T225" s="191"/>
      <x:c r="U225" s="191"/>
      <x:c r="V225" s="191"/>
      <x:c r="W225" s="191"/>
      <x:c r="X225" s="191"/>
      <x:c r="Y225" s="191"/>
      <x:c r="Z225" s="191"/>
      <x:c r="AA225" s="191"/>
      <x:c r="AB225" s="191"/>
      <x:c r="AC225" s="191"/>
      <x:c r="AD225" s="191"/>
      <x:c r="AE225" s="191"/>
      <x:c r="AF225" s="191"/>
      <x:c r="AG225" s="191"/>
      <x:c r="AH225" s="191"/>
      <x:c r="AI225" s="191"/>
      <x:c r="AJ225" s="191"/>
      <x:c r="AK225" s="191"/>
    </x:row>
    <x:row r="226">
      <x:c r="A226" s="191"/>
      <x:c r="B226" s="191"/>
      <x:c r="C226" s="191"/>
      <x:c r="D226" s="191"/>
      <x:c r="E226" s="191"/>
      <x:c r="F226" s="191"/>
      <x:c r="G226" s="191"/>
      <x:c r="H226" s="191"/>
      <x:c r="I226" s="191"/>
      <x:c r="J226" s="191"/>
      <x:c r="K226" s="191"/>
      <x:c r="L226" s="191"/>
      <x:c r="M226" s="191"/>
      <x:c r="N226" s="191"/>
      <x:c r="O226" s="191"/>
      <x:c r="P226" s="191"/>
      <x:c r="Q226" s="191"/>
      <x:c r="R226" s="191"/>
      <x:c r="S226" s="191"/>
      <x:c r="T226" s="191"/>
      <x:c r="U226" s="191"/>
      <x:c r="V226" s="191"/>
      <x:c r="W226" s="191"/>
      <x:c r="X226" s="191"/>
      <x:c r="Y226" s="191"/>
      <x:c r="Z226" s="191"/>
      <x:c r="AA226" s="191"/>
      <x:c r="AB226" s="191"/>
      <x:c r="AC226" s="191"/>
      <x:c r="AD226" s="191"/>
      <x:c r="AE226" s="191"/>
      <x:c r="AF226" s="191"/>
      <x:c r="AG226" s="191"/>
      <x:c r="AH226" s="191"/>
      <x:c r="AI226" s="191"/>
      <x:c r="AJ226" s="191"/>
      <x:c r="AK226" s="191"/>
    </x:row>
    <x:row r="227">
      <x:c r="A227" s="191"/>
      <x:c r="B227" s="191"/>
      <x:c r="C227" s="191"/>
      <x:c r="D227" s="191"/>
      <x:c r="E227" s="191"/>
      <x:c r="F227" s="191"/>
      <x:c r="G227" s="191"/>
      <x:c r="H227" s="191"/>
      <x:c r="I227" s="191"/>
      <x:c r="J227" s="191"/>
      <x:c r="K227" s="191"/>
      <x:c r="L227" s="191"/>
      <x:c r="M227" s="191"/>
      <x:c r="N227" s="191"/>
      <x:c r="O227" s="191"/>
      <x:c r="P227" s="191"/>
      <x:c r="Q227" s="191"/>
      <x:c r="R227" s="191"/>
      <x:c r="S227" s="191"/>
      <x:c r="T227" s="191"/>
      <x:c r="U227" s="191"/>
      <x:c r="V227" s="191"/>
      <x:c r="W227" s="191"/>
      <x:c r="X227" s="191"/>
      <x:c r="Y227" s="191"/>
      <x:c r="Z227" s="191"/>
      <x:c r="AA227" s="191"/>
      <x:c r="AB227" s="191"/>
      <x:c r="AC227" s="191"/>
      <x:c r="AD227" s="191"/>
      <x:c r="AE227" s="191"/>
      <x:c r="AF227" s="191"/>
      <x:c r="AG227" s="191"/>
      <x:c r="AH227" s="191"/>
      <x:c r="AI227" s="191"/>
      <x:c r="AJ227" s="191"/>
      <x:c r="AK227" s="191"/>
    </x:row>
    <x:row r="228">
      <x:c r="A228" s="191"/>
      <x:c r="B228" s="191"/>
      <x:c r="C228" s="191"/>
      <x:c r="D228" s="191"/>
      <x:c r="E228" s="191"/>
      <x:c r="F228" s="191"/>
      <x:c r="G228" s="191"/>
      <x:c r="H228" s="191"/>
      <x:c r="I228" s="191"/>
      <x:c r="J228" s="191"/>
      <x:c r="K228" s="191"/>
      <x:c r="L228" s="191"/>
      <x:c r="M228" s="191"/>
      <x:c r="N228" s="191"/>
      <x:c r="O228" s="191"/>
      <x:c r="P228" s="191"/>
      <x:c r="Q228" s="191"/>
      <x:c r="R228" s="191"/>
      <x:c r="S228" s="191"/>
      <x:c r="T228" s="191"/>
      <x:c r="U228" s="191"/>
      <x:c r="V228" s="191"/>
      <x:c r="W228" s="191"/>
      <x:c r="X228" s="191"/>
      <x:c r="Y228" s="191"/>
      <x:c r="Z228" s="191"/>
      <x:c r="AA228" s="191"/>
      <x:c r="AB228" s="191"/>
      <x:c r="AC228" s="191"/>
      <x:c r="AD228" s="191"/>
      <x:c r="AE228" s="191"/>
      <x:c r="AF228" s="191"/>
      <x:c r="AG228" s="191"/>
      <x:c r="AH228" s="191"/>
      <x:c r="AI228" s="191"/>
      <x:c r="AJ228" s="191"/>
      <x:c r="AK228" s="191"/>
    </x:row>
    <x:row r="229">
      <x:c r="A229" s="191"/>
      <x:c r="B229" s="191"/>
      <x:c r="C229" s="191"/>
      <x:c r="D229" s="191"/>
      <x:c r="E229" s="191"/>
      <x:c r="F229" s="191"/>
      <x:c r="G229" s="191"/>
      <x:c r="H229" s="191"/>
      <x:c r="I229" s="191"/>
      <x:c r="J229" s="191"/>
      <x:c r="K229" s="191"/>
      <x:c r="L229" s="191"/>
      <x:c r="M229" s="191"/>
      <x:c r="N229" s="191"/>
      <x:c r="O229" s="191"/>
      <x:c r="P229" s="191"/>
      <x:c r="Q229" s="191"/>
      <x:c r="R229" s="191"/>
      <x:c r="S229" s="191"/>
      <x:c r="T229" s="191"/>
      <x:c r="U229" s="191"/>
      <x:c r="V229" s="191"/>
      <x:c r="W229" s="191"/>
      <x:c r="X229" s="191"/>
      <x:c r="Y229" s="191"/>
      <x:c r="Z229" s="191"/>
      <x:c r="AA229" s="191"/>
      <x:c r="AB229" s="191"/>
      <x:c r="AC229" s="191"/>
      <x:c r="AD229" s="191"/>
      <x:c r="AE229" s="191"/>
      <x:c r="AF229" s="191"/>
      <x:c r="AG229" s="191"/>
      <x:c r="AH229" s="191"/>
      <x:c r="AI229" s="191"/>
      <x:c r="AJ229" s="191"/>
      <x:c r="AK229" s="191"/>
    </x:row>
    <x:row r="230">
      <x:c r="A230" s="191"/>
      <x:c r="B230" s="191"/>
      <x:c r="C230" s="191"/>
      <x:c r="D230" s="191"/>
      <x:c r="E230" s="191"/>
      <x:c r="F230" s="191"/>
      <x:c r="G230" s="191"/>
      <x:c r="H230" s="191"/>
      <x:c r="I230" s="191"/>
      <x:c r="J230" s="191"/>
      <x:c r="K230" s="191"/>
      <x:c r="L230" s="191"/>
      <x:c r="M230" s="191"/>
      <x:c r="N230" s="191"/>
      <x:c r="O230" s="191"/>
      <x:c r="P230" s="191"/>
      <x:c r="Q230" s="191"/>
      <x:c r="R230" s="191"/>
      <x:c r="S230" s="191"/>
      <x:c r="T230" s="191"/>
      <x:c r="U230" s="191"/>
      <x:c r="V230" s="191"/>
      <x:c r="W230" s="191"/>
      <x:c r="X230" s="191"/>
      <x:c r="Y230" s="191"/>
      <x:c r="Z230" s="191"/>
      <x:c r="AA230" s="191"/>
      <x:c r="AB230" s="191"/>
      <x:c r="AC230" s="191"/>
      <x:c r="AD230" s="191"/>
      <x:c r="AE230" s="191"/>
      <x:c r="AF230" s="191"/>
      <x:c r="AG230" s="191"/>
      <x:c r="AH230" s="191"/>
      <x:c r="AI230" s="191"/>
      <x:c r="AJ230" s="191"/>
      <x:c r="AK230" s="191"/>
    </x:row>
    <x:row r="231">
      <x:c r="A231" s="191"/>
      <x:c r="B231" s="191"/>
      <x:c r="C231" s="191"/>
      <x:c r="D231" s="191"/>
      <x:c r="E231" s="191"/>
      <x:c r="F231" s="191"/>
      <x:c r="G231" s="191"/>
      <x:c r="H231" s="191"/>
      <x:c r="I231" s="191"/>
      <x:c r="J231" s="191"/>
      <x:c r="K231" s="191"/>
      <x:c r="L231" s="191"/>
      <x:c r="M231" s="191"/>
      <x:c r="N231" s="191"/>
      <x:c r="O231" s="191"/>
      <x:c r="P231" s="191"/>
      <x:c r="Q231" s="191"/>
      <x:c r="R231" s="191"/>
      <x:c r="S231" s="191"/>
      <x:c r="T231" s="191"/>
      <x:c r="U231" s="191"/>
      <x:c r="V231" s="191"/>
      <x:c r="W231" s="191"/>
      <x:c r="X231" s="191"/>
      <x:c r="Y231" s="191"/>
      <x:c r="Z231" s="191"/>
      <x:c r="AA231" s="191"/>
      <x:c r="AB231" s="191"/>
      <x:c r="AC231" s="191"/>
      <x:c r="AD231" s="191"/>
      <x:c r="AE231" s="191"/>
      <x:c r="AF231" s="191"/>
      <x:c r="AG231" s="191"/>
      <x:c r="AH231" s="191"/>
      <x:c r="AI231" s="191"/>
      <x:c r="AJ231" s="191"/>
      <x:c r="AK231" s="191"/>
    </x:row>
    <x:row r="232">
      <x:c r="A232" s="191"/>
      <x:c r="B232" s="191"/>
      <x:c r="C232" s="191"/>
      <x:c r="D232" s="191"/>
      <x:c r="E232" s="191"/>
      <x:c r="F232" s="191"/>
      <x:c r="G232" s="191"/>
      <x:c r="H232" s="191"/>
      <x:c r="I232" s="191"/>
      <x:c r="J232" s="191"/>
      <x:c r="K232" s="191"/>
      <x:c r="L232" s="191"/>
      <x:c r="M232" s="191"/>
      <x:c r="N232" s="191"/>
      <x:c r="O232" s="191"/>
      <x:c r="P232" s="191"/>
      <x:c r="Q232" s="191"/>
      <x:c r="R232" s="191"/>
      <x:c r="S232" s="191"/>
      <x:c r="T232" s="191"/>
      <x:c r="U232" s="191"/>
      <x:c r="V232" s="191"/>
      <x:c r="W232" s="191"/>
      <x:c r="X232" s="191"/>
      <x:c r="Y232" s="191"/>
      <x:c r="Z232" s="191"/>
      <x:c r="AA232" s="191"/>
      <x:c r="AB232" s="191"/>
      <x:c r="AC232" s="191"/>
      <x:c r="AD232" s="191"/>
      <x:c r="AE232" s="191"/>
      <x:c r="AF232" s="191"/>
      <x:c r="AG232" s="191"/>
      <x:c r="AH232" s="191"/>
      <x:c r="AI232" s="191"/>
      <x:c r="AJ232" s="191"/>
      <x:c r="AK232" s="191"/>
    </x:row>
    <x:row r="233">
      <x:c r="A233" s="191"/>
      <x:c r="B233" s="191"/>
      <x:c r="C233" s="191"/>
      <x:c r="D233" s="191"/>
      <x:c r="E233" s="191"/>
      <x:c r="F233" s="191"/>
      <x:c r="G233" s="191"/>
      <x:c r="H233" s="191"/>
      <x:c r="I233" s="191"/>
      <x:c r="J233" s="191"/>
      <x:c r="K233" s="191"/>
      <x:c r="L233" s="191"/>
      <x:c r="M233" s="191"/>
      <x:c r="N233" s="191"/>
      <x:c r="O233" s="191"/>
      <x:c r="P233" s="191"/>
      <x:c r="Q233" s="191"/>
      <x:c r="R233" s="191"/>
      <x:c r="S233" s="191"/>
      <x:c r="T233" s="191"/>
      <x:c r="U233" s="191"/>
      <x:c r="V233" s="191"/>
      <x:c r="W233" s="191"/>
      <x:c r="X233" s="191"/>
      <x:c r="Y233" s="191"/>
      <x:c r="Z233" s="191"/>
      <x:c r="AA233" s="191"/>
      <x:c r="AB233" s="191"/>
      <x:c r="AC233" s="191"/>
      <x:c r="AD233" s="191"/>
      <x:c r="AE233" s="191"/>
      <x:c r="AF233" s="191"/>
      <x:c r="AG233" s="191"/>
      <x:c r="AH233" s="191"/>
      <x:c r="AI233" s="191"/>
      <x:c r="AJ233" s="191"/>
      <x:c r="AK233" s="191"/>
    </x:row>
    <x:row r="234">
      <x:c r="A234" s="191"/>
      <x:c r="B234" s="191"/>
      <x:c r="C234" s="191"/>
      <x:c r="D234" s="191"/>
      <x:c r="E234" s="191"/>
      <x:c r="F234" s="191"/>
      <x:c r="G234" s="191"/>
      <x:c r="H234" s="191"/>
      <x:c r="I234" s="191"/>
      <x:c r="J234" s="191"/>
      <x:c r="K234" s="191"/>
      <x:c r="L234" s="191"/>
      <x:c r="M234" s="191"/>
      <x:c r="N234" s="191"/>
      <x:c r="O234" s="191"/>
      <x:c r="P234" s="191"/>
      <x:c r="Q234" s="191"/>
      <x:c r="R234" s="191"/>
      <x:c r="S234" s="191"/>
      <x:c r="T234" s="191"/>
      <x:c r="U234" s="191"/>
      <x:c r="V234" s="191"/>
      <x:c r="W234" s="191"/>
      <x:c r="X234" s="191"/>
      <x:c r="Y234" s="191"/>
      <x:c r="Z234" s="191"/>
      <x:c r="AA234" s="191"/>
      <x:c r="AB234" s="191"/>
      <x:c r="AC234" s="191"/>
      <x:c r="AD234" s="191"/>
      <x:c r="AE234" s="191"/>
      <x:c r="AF234" s="191"/>
      <x:c r="AG234" s="191"/>
      <x:c r="AH234" s="191"/>
      <x:c r="AI234" s="191"/>
      <x:c r="AJ234" s="191"/>
      <x:c r="AK234" s="191"/>
    </x:row>
    <x:row r="235">
      <x:c r="A235" s="191"/>
      <x:c r="B235" s="191"/>
      <x:c r="C235" s="191"/>
      <x:c r="D235" s="191"/>
      <x:c r="E235" s="191"/>
      <x:c r="F235" s="191"/>
      <x:c r="G235" s="191"/>
      <x:c r="H235" s="191"/>
      <x:c r="I235" s="191"/>
      <x:c r="J235" s="191"/>
      <x:c r="K235" s="191"/>
      <x:c r="L235" s="191"/>
      <x:c r="M235" s="191"/>
      <x:c r="N235" s="191"/>
      <x:c r="O235" s="191"/>
      <x:c r="P235" s="191"/>
      <x:c r="Q235" s="191"/>
      <x:c r="R235" s="191"/>
      <x:c r="S235" s="191"/>
      <x:c r="T235" s="191"/>
      <x:c r="U235" s="191"/>
      <x:c r="V235" s="191"/>
      <x:c r="W235" s="191"/>
      <x:c r="X235" s="191"/>
      <x:c r="Y235" s="191"/>
      <x:c r="Z235" s="191"/>
      <x:c r="AA235" s="191"/>
      <x:c r="AB235" s="191"/>
      <x:c r="AC235" s="191"/>
      <x:c r="AD235" s="191"/>
      <x:c r="AE235" s="191"/>
      <x:c r="AF235" s="191"/>
      <x:c r="AG235" s="191"/>
      <x:c r="AH235" s="191"/>
      <x:c r="AI235" s="191"/>
      <x:c r="AJ235" s="191"/>
      <x:c r="AK235" s="191"/>
    </x:row>
    <x:row r="236">
      <x:c r="A236" s="191"/>
      <x:c r="B236" s="191"/>
      <x:c r="C236" s="191"/>
      <x:c r="D236" s="191"/>
      <x:c r="E236" s="191"/>
      <x:c r="F236" s="191"/>
      <x:c r="G236" s="191"/>
      <x:c r="H236" s="191"/>
      <x:c r="I236" s="191"/>
      <x:c r="J236" s="191"/>
      <x:c r="K236" s="191"/>
      <x:c r="L236" s="191"/>
      <x:c r="M236" s="191"/>
      <x:c r="N236" s="191"/>
      <x:c r="O236" s="191"/>
      <x:c r="P236" s="191"/>
      <x:c r="Q236" s="191"/>
      <x:c r="R236" s="191"/>
      <x:c r="S236" s="191"/>
      <x:c r="T236" s="191"/>
      <x:c r="U236" s="191"/>
      <x:c r="V236" s="191"/>
      <x:c r="W236" s="191"/>
      <x:c r="X236" s="191"/>
      <x:c r="Y236" s="191"/>
      <x:c r="Z236" s="191"/>
      <x:c r="AA236" s="191"/>
      <x:c r="AB236" s="191"/>
      <x:c r="AC236" s="191"/>
      <x:c r="AD236" s="191"/>
      <x:c r="AE236" s="191"/>
      <x:c r="AF236" s="191"/>
      <x:c r="AG236" s="191"/>
      <x:c r="AH236" s="191"/>
      <x:c r="AI236" s="191"/>
      <x:c r="AJ236" s="191"/>
      <x:c r="AK236" s="191"/>
    </x:row>
    <x:row r="237">
      <x:c r="A237" s="191"/>
      <x:c r="B237" s="191"/>
      <x:c r="C237" s="191"/>
      <x:c r="D237" s="191"/>
      <x:c r="E237" s="191"/>
      <x:c r="F237" s="191"/>
      <x:c r="G237" s="191"/>
      <x:c r="H237" s="191"/>
      <x:c r="I237" s="191"/>
      <x:c r="J237" s="191"/>
      <x:c r="K237" s="191"/>
      <x:c r="L237" s="191"/>
      <x:c r="M237" s="191"/>
      <x:c r="N237" s="191"/>
      <x:c r="O237" s="191"/>
      <x:c r="P237" s="191"/>
      <x:c r="Q237" s="191"/>
      <x:c r="R237" s="191"/>
      <x:c r="S237" s="191"/>
      <x:c r="T237" s="191"/>
      <x:c r="U237" s="191"/>
      <x:c r="V237" s="191"/>
      <x:c r="W237" s="191"/>
      <x:c r="X237" s="191"/>
      <x:c r="Y237" s="191"/>
      <x:c r="Z237" s="191"/>
      <x:c r="AA237" s="191"/>
      <x:c r="AB237" s="191"/>
      <x:c r="AC237" s="191"/>
      <x:c r="AD237" s="191"/>
      <x:c r="AE237" s="191"/>
      <x:c r="AF237" s="191"/>
      <x:c r="AG237" s="191"/>
      <x:c r="AH237" s="191"/>
      <x:c r="AI237" s="191"/>
      <x:c r="AJ237" s="191"/>
      <x:c r="AK237" s="191"/>
    </x:row>
    <x:row r="238">
      <x:c r="A238" s="191"/>
      <x:c r="B238" s="191"/>
      <x:c r="C238" s="191"/>
      <x:c r="D238" s="191"/>
      <x:c r="E238" s="191"/>
      <x:c r="F238" s="191"/>
      <x:c r="G238" s="191"/>
      <x:c r="H238" s="191"/>
      <x:c r="I238" s="191"/>
      <x:c r="J238" s="191"/>
      <x:c r="K238" s="191"/>
      <x:c r="L238" s="191"/>
      <x:c r="M238" s="191"/>
      <x:c r="N238" s="191"/>
      <x:c r="O238" s="191"/>
      <x:c r="P238" s="191"/>
      <x:c r="Q238" s="191"/>
      <x:c r="R238" s="191"/>
      <x:c r="S238" s="191"/>
      <x:c r="T238" s="191"/>
      <x:c r="U238" s="191"/>
      <x:c r="V238" s="191"/>
      <x:c r="W238" s="191"/>
      <x:c r="X238" s="191"/>
      <x:c r="Y238" s="191"/>
      <x:c r="Z238" s="191"/>
      <x:c r="AA238" s="191"/>
      <x:c r="AB238" s="191"/>
      <x:c r="AC238" s="191"/>
      <x:c r="AD238" s="191"/>
      <x:c r="AE238" s="191"/>
      <x:c r="AF238" s="191"/>
      <x:c r="AG238" s="191"/>
      <x:c r="AH238" s="191"/>
      <x:c r="AI238" s="191"/>
      <x:c r="AJ238" s="191"/>
      <x:c r="AK238" s="191"/>
    </x:row>
    <x:row r="239">
      <x:c r="A239" s="191"/>
      <x:c r="B239" s="191"/>
      <x:c r="C239" s="191"/>
      <x:c r="D239" s="191"/>
      <x:c r="E239" s="191"/>
      <x:c r="F239" s="191"/>
      <x:c r="G239" s="191"/>
      <x:c r="H239" s="191"/>
      <x:c r="I239" s="191"/>
      <x:c r="J239" s="191"/>
      <x:c r="K239" s="191"/>
      <x:c r="L239" s="191"/>
      <x:c r="M239" s="191"/>
      <x:c r="N239" s="191"/>
      <x:c r="O239" s="191"/>
      <x:c r="P239" s="191"/>
      <x:c r="Q239" s="191"/>
      <x:c r="R239" s="191"/>
      <x:c r="S239" s="191"/>
      <x:c r="T239" s="191"/>
      <x:c r="U239" s="191"/>
      <x:c r="V239" s="191"/>
      <x:c r="W239" s="191"/>
      <x:c r="X239" s="191"/>
      <x:c r="Y239" s="191"/>
      <x:c r="Z239" s="191"/>
      <x:c r="AA239" s="191"/>
      <x:c r="AB239" s="191"/>
      <x:c r="AC239" s="191"/>
      <x:c r="AD239" s="191"/>
      <x:c r="AE239" s="191"/>
      <x:c r="AF239" s="191"/>
      <x:c r="AG239" s="191"/>
      <x:c r="AH239" s="191"/>
      <x:c r="AI239" s="191"/>
      <x:c r="AJ239" s="191"/>
      <x:c r="AK239" s="191"/>
    </x:row>
    <x:row r="240">
      <x:c r="A240" s="191"/>
      <x:c r="B240" s="191"/>
      <x:c r="C240" s="191"/>
      <x:c r="D240" s="191"/>
      <x:c r="E240" s="191"/>
      <x:c r="F240" s="191"/>
      <x:c r="G240" s="191"/>
      <x:c r="H240" s="191"/>
      <x:c r="I240" s="191"/>
      <x:c r="J240" s="191"/>
      <x:c r="K240" s="191"/>
      <x:c r="L240" s="191"/>
      <x:c r="M240" s="191"/>
      <x:c r="N240" s="191"/>
      <x:c r="O240" s="191"/>
      <x:c r="P240" s="191"/>
      <x:c r="Q240" s="191"/>
      <x:c r="R240" s="191"/>
      <x:c r="S240" s="191"/>
      <x:c r="T240" s="191"/>
      <x:c r="U240" s="191"/>
      <x:c r="V240" s="191"/>
      <x:c r="W240" s="191"/>
      <x:c r="X240" s="191"/>
      <x:c r="Y240" s="191"/>
      <x:c r="Z240" s="191"/>
      <x:c r="AA240" s="191"/>
      <x:c r="AB240" s="191"/>
      <x:c r="AC240" s="191"/>
      <x:c r="AD240" s="191"/>
      <x:c r="AE240" s="191"/>
      <x:c r="AF240" s="191"/>
      <x:c r="AG240" s="191"/>
      <x:c r="AH240" s="191"/>
      <x:c r="AI240" s="191"/>
      <x:c r="AJ240" s="191"/>
      <x:c r="AK240" s="191"/>
    </x:row>
    <x:row r="241">
      <x:c r="A241" s="191"/>
      <x:c r="B241" s="191"/>
      <x:c r="C241" s="191"/>
      <x:c r="D241" s="191"/>
      <x:c r="E241" s="191"/>
      <x:c r="F241" s="191"/>
      <x:c r="G241" s="191"/>
      <x:c r="H241" s="191"/>
      <x:c r="I241" s="191"/>
      <x:c r="J241" s="191"/>
      <x:c r="K241" s="191"/>
      <x:c r="L241" s="191"/>
      <x:c r="M241" s="191"/>
      <x:c r="N241" s="191"/>
      <x:c r="O241" s="191"/>
      <x:c r="P241" s="191"/>
      <x:c r="Q241" s="191"/>
      <x:c r="R241" s="191"/>
      <x:c r="S241" s="191"/>
      <x:c r="T241" s="191"/>
      <x:c r="U241" s="191"/>
      <x:c r="V241" s="191"/>
      <x:c r="W241" s="191"/>
      <x:c r="X241" s="191"/>
      <x:c r="Y241" s="191"/>
      <x:c r="Z241" s="191"/>
      <x:c r="AA241" s="191"/>
      <x:c r="AB241" s="191"/>
      <x:c r="AC241" s="191"/>
      <x:c r="AD241" s="191"/>
      <x:c r="AE241" s="191"/>
      <x:c r="AF241" s="191"/>
      <x:c r="AG241" s="191"/>
      <x:c r="AH241" s="191"/>
      <x:c r="AI241" s="191"/>
      <x:c r="AJ241" s="191"/>
      <x:c r="AK241" s="191"/>
    </x:row>
    <x:row r="242">
      <x:c r="A242" s="191"/>
      <x:c r="B242" s="191"/>
      <x:c r="C242" s="191"/>
      <x:c r="D242" s="191"/>
      <x:c r="E242" s="191"/>
      <x:c r="F242" s="191"/>
      <x:c r="G242" s="191"/>
      <x:c r="H242" s="191"/>
      <x:c r="I242" s="191"/>
      <x:c r="J242" s="191"/>
      <x:c r="K242" s="191"/>
      <x:c r="L242" s="191"/>
      <x:c r="M242" s="191"/>
      <x:c r="N242" s="191"/>
      <x:c r="O242" s="191"/>
      <x:c r="P242" s="191"/>
      <x:c r="Q242" s="191"/>
      <x:c r="R242" s="191"/>
      <x:c r="S242" s="191"/>
      <x:c r="T242" s="191"/>
      <x:c r="U242" s="191"/>
      <x:c r="V242" s="191"/>
      <x:c r="W242" s="191"/>
      <x:c r="X242" s="191"/>
      <x:c r="Y242" s="191"/>
      <x:c r="Z242" s="191"/>
      <x:c r="AA242" s="191"/>
      <x:c r="AB242" s="191"/>
      <x:c r="AC242" s="191"/>
      <x:c r="AD242" s="191"/>
      <x:c r="AE242" s="191"/>
      <x:c r="AF242" s="191"/>
      <x:c r="AG242" s="191"/>
      <x:c r="AH242" s="191"/>
      <x:c r="AI242" s="191"/>
      <x:c r="AJ242" s="191"/>
      <x:c r="AK242" s="191"/>
    </x:row>
    <x:row r="243">
      <x:c r="A243" s="191"/>
      <x:c r="B243" s="191"/>
      <x:c r="C243" s="191"/>
      <x:c r="D243" s="191"/>
      <x:c r="E243" s="191"/>
      <x:c r="F243" s="191"/>
      <x:c r="G243" s="191"/>
      <x:c r="H243" s="191"/>
      <x:c r="I243" s="191"/>
      <x:c r="J243" s="191"/>
      <x:c r="K243" s="191"/>
      <x:c r="L243" s="191"/>
      <x:c r="M243" s="191"/>
      <x:c r="N243" s="191"/>
      <x:c r="O243" s="191"/>
      <x:c r="P243" s="191"/>
      <x:c r="Q243" s="191"/>
      <x:c r="R243" s="191"/>
      <x:c r="S243" s="191"/>
      <x:c r="T243" s="191"/>
      <x:c r="U243" s="191"/>
      <x:c r="V243" s="191"/>
      <x:c r="W243" s="191"/>
      <x:c r="X243" s="191"/>
      <x:c r="Y243" s="191"/>
      <x:c r="Z243" s="191"/>
      <x:c r="AA243" s="191"/>
      <x:c r="AB243" s="191"/>
      <x:c r="AC243" s="191"/>
      <x:c r="AD243" s="191"/>
      <x:c r="AE243" s="191"/>
      <x:c r="AF243" s="191"/>
      <x:c r="AG243" s="191"/>
      <x:c r="AH243" s="191"/>
      <x:c r="AI243" s="191"/>
      <x:c r="AJ243" s="191"/>
      <x:c r="AK243" s="191"/>
    </x:row>
    <x:row r="244">
      <x:c r="A244" s="191"/>
      <x:c r="B244" s="191"/>
      <x:c r="C244" s="191"/>
      <x:c r="D244" s="191"/>
      <x:c r="E244" s="191"/>
      <x:c r="F244" s="191"/>
      <x:c r="G244" s="191"/>
      <x:c r="H244" s="191"/>
      <x:c r="I244" s="191"/>
      <x:c r="J244" s="191"/>
      <x:c r="K244" s="191"/>
      <x:c r="L244" s="191"/>
      <x:c r="M244" s="191"/>
      <x:c r="N244" s="191"/>
      <x:c r="O244" s="191"/>
      <x:c r="P244" s="191"/>
      <x:c r="Q244" s="191"/>
      <x:c r="R244" s="191"/>
      <x:c r="S244" s="191"/>
      <x:c r="T244" s="191"/>
      <x:c r="U244" s="191"/>
      <x:c r="V244" s="191"/>
      <x:c r="W244" s="191"/>
      <x:c r="X244" s="191"/>
      <x:c r="Y244" s="191"/>
      <x:c r="Z244" s="191"/>
      <x:c r="AA244" s="191"/>
      <x:c r="AB244" s="191"/>
      <x:c r="AC244" s="191"/>
      <x:c r="AD244" s="191"/>
      <x:c r="AE244" s="191"/>
      <x:c r="AF244" s="191"/>
      <x:c r="AG244" s="191"/>
      <x:c r="AH244" s="191"/>
      <x:c r="AI244" s="191"/>
      <x:c r="AJ244" s="191"/>
      <x:c r="AK244" s="191"/>
    </x:row>
    <x:row r="245">
      <x:c r="A245" s="191"/>
      <x:c r="B245" s="191"/>
      <x:c r="C245" s="191"/>
      <x:c r="D245" s="191"/>
      <x:c r="E245" s="191"/>
      <x:c r="F245" s="191"/>
      <x:c r="G245" s="191"/>
      <x:c r="H245" s="191"/>
      <x:c r="I245" s="191"/>
      <x:c r="J245" s="191"/>
      <x:c r="K245" s="191"/>
      <x:c r="L245" s="191"/>
      <x:c r="M245" s="191"/>
      <x:c r="N245" s="191"/>
      <x:c r="O245" s="191"/>
      <x:c r="P245" s="191"/>
      <x:c r="Q245" s="191"/>
      <x:c r="R245" s="191"/>
      <x:c r="S245" s="191"/>
      <x:c r="T245" s="191"/>
      <x:c r="U245" s="191"/>
      <x:c r="V245" s="191"/>
      <x:c r="W245" s="191"/>
      <x:c r="X245" s="191"/>
      <x:c r="Y245" s="191"/>
      <x:c r="Z245" s="191"/>
      <x:c r="AA245" s="191"/>
      <x:c r="AB245" s="191"/>
      <x:c r="AC245" s="191"/>
      <x:c r="AD245" s="191"/>
      <x:c r="AE245" s="191"/>
      <x:c r="AF245" s="191"/>
      <x:c r="AG245" s="191"/>
      <x:c r="AH245" s="191"/>
      <x:c r="AI245" s="191"/>
      <x:c r="AJ245" s="191"/>
      <x:c r="AK245" s="191"/>
    </x:row>
    <x:row r="246">
      <x:c r="A246" s="191"/>
      <x:c r="B246" s="191"/>
      <x:c r="C246" s="191"/>
      <x:c r="D246" s="191"/>
      <x:c r="E246" s="191"/>
      <x:c r="F246" s="191"/>
      <x:c r="G246" s="191"/>
      <x:c r="H246" s="191"/>
      <x:c r="I246" s="191"/>
      <x:c r="J246" s="191"/>
      <x:c r="K246" s="191"/>
      <x:c r="L246" s="191"/>
      <x:c r="M246" s="191"/>
      <x:c r="N246" s="191"/>
      <x:c r="O246" s="191"/>
      <x:c r="P246" s="191"/>
      <x:c r="Q246" s="191"/>
      <x:c r="R246" s="191"/>
      <x:c r="S246" s="191"/>
      <x:c r="T246" s="191"/>
      <x:c r="U246" s="191"/>
      <x:c r="V246" s="191"/>
      <x:c r="W246" s="191"/>
      <x:c r="X246" s="191"/>
      <x:c r="Y246" s="191"/>
      <x:c r="Z246" s="191"/>
      <x:c r="AA246" s="191"/>
      <x:c r="AB246" s="191"/>
      <x:c r="AC246" s="191"/>
      <x:c r="AD246" s="191"/>
      <x:c r="AE246" s="191"/>
      <x:c r="AF246" s="191"/>
      <x:c r="AG246" s="191"/>
      <x:c r="AH246" s="191"/>
      <x:c r="AI246" s="191"/>
      <x:c r="AJ246" s="191"/>
      <x:c r="AK246" s="191"/>
    </x:row>
    <x:row r="247">
      <x:c r="A247" s="191"/>
      <x:c r="B247" s="191"/>
      <x:c r="C247" s="191"/>
      <x:c r="D247" s="191"/>
      <x:c r="E247" s="191"/>
      <x:c r="F247" s="191"/>
      <x:c r="G247" s="191"/>
      <x:c r="H247" s="191"/>
      <x:c r="I247" s="191"/>
      <x:c r="J247" s="191"/>
      <x:c r="K247" s="191"/>
      <x:c r="L247" s="191"/>
      <x:c r="M247" s="191"/>
      <x:c r="N247" s="191"/>
      <x:c r="O247" s="191"/>
      <x:c r="P247" s="191"/>
      <x:c r="Q247" s="191"/>
      <x:c r="R247" s="191"/>
      <x:c r="S247" s="191"/>
      <x:c r="T247" s="191"/>
      <x:c r="U247" s="191"/>
      <x:c r="V247" s="191"/>
      <x:c r="W247" s="191"/>
      <x:c r="X247" s="191"/>
      <x:c r="Y247" s="191"/>
      <x:c r="Z247" s="191"/>
      <x:c r="AA247" s="191"/>
      <x:c r="AB247" s="191"/>
      <x:c r="AC247" s="191"/>
      <x:c r="AD247" s="191"/>
      <x:c r="AE247" s="191"/>
      <x:c r="AF247" s="191"/>
      <x:c r="AG247" s="191"/>
      <x:c r="AH247" s="191"/>
      <x:c r="AI247" s="191"/>
      <x:c r="AJ247" s="191"/>
      <x:c r="AK247" s="191"/>
    </x:row>
    <x:row r="248">
      <x:c r="A248" s="191"/>
      <x:c r="B248" s="191"/>
      <x:c r="C248" s="191"/>
      <x:c r="D248" s="191"/>
      <x:c r="E248" s="191"/>
      <x:c r="F248" s="191"/>
      <x:c r="G248" s="191"/>
      <x:c r="H248" s="191"/>
      <x:c r="I248" s="191"/>
      <x:c r="J248" s="191"/>
      <x:c r="K248" s="191"/>
      <x:c r="L248" s="191"/>
      <x:c r="M248" s="191"/>
      <x:c r="N248" s="191"/>
      <x:c r="O248" s="191"/>
      <x:c r="P248" s="191"/>
      <x:c r="Q248" s="191"/>
      <x:c r="R248" s="191"/>
      <x:c r="S248" s="191"/>
      <x:c r="T248" s="191"/>
      <x:c r="U248" s="191"/>
      <x:c r="V248" s="191"/>
      <x:c r="W248" s="191"/>
      <x:c r="X248" s="191"/>
      <x:c r="Y248" s="191"/>
      <x:c r="Z248" s="191"/>
      <x:c r="AA248" s="191"/>
      <x:c r="AB248" s="191"/>
      <x:c r="AC248" s="191"/>
      <x:c r="AD248" s="191"/>
      <x:c r="AE248" s="191"/>
      <x:c r="AF248" s="191"/>
      <x:c r="AG248" s="191"/>
      <x:c r="AH248" s="191"/>
      <x:c r="AI248" s="191"/>
      <x:c r="AJ248" s="191"/>
      <x:c r="AK248" s="191"/>
    </x:row>
    <x:row r="249">
      <x:c r="A249" s="191"/>
      <x:c r="B249" s="191"/>
      <x:c r="C249" s="191"/>
      <x:c r="D249" s="191"/>
      <x:c r="E249" s="191"/>
      <x:c r="F249" s="191"/>
      <x:c r="G249" s="191"/>
      <x:c r="H249" s="191"/>
      <x:c r="I249" s="191"/>
      <x:c r="J249" s="191"/>
      <x:c r="K249" s="191"/>
      <x:c r="L249" s="191"/>
      <x:c r="M249" s="191"/>
      <x:c r="N249" s="191"/>
      <x:c r="O249" s="191"/>
      <x:c r="P249" s="191"/>
      <x:c r="Q249" s="191"/>
      <x:c r="R249" s="191"/>
      <x:c r="S249" s="191"/>
      <x:c r="T249" s="191"/>
      <x:c r="U249" s="191"/>
      <x:c r="V249" s="191"/>
      <x:c r="W249" s="191"/>
      <x:c r="X249" s="191"/>
      <x:c r="Y249" s="191"/>
      <x:c r="Z249" s="191"/>
      <x:c r="AA249" s="191"/>
      <x:c r="AB249" s="191"/>
      <x:c r="AC249" s="191"/>
      <x:c r="AD249" s="191"/>
      <x:c r="AE249" s="191"/>
      <x:c r="AF249" s="191"/>
      <x:c r="AG249" s="191"/>
      <x:c r="AH249" s="191"/>
      <x:c r="AI249" s="191"/>
      <x:c r="AJ249" s="191"/>
      <x:c r="AK249" s="191"/>
    </x:row>
    <x:row r="250">
      <x:c r="A250" s="191"/>
      <x:c r="B250" s="191"/>
      <x:c r="C250" s="191"/>
      <x:c r="D250" s="191"/>
      <x:c r="E250" s="191"/>
      <x:c r="F250" s="191"/>
      <x:c r="G250" s="191"/>
      <x:c r="H250" s="191"/>
      <x:c r="I250" s="191"/>
      <x:c r="J250" s="191"/>
      <x:c r="K250" s="191"/>
      <x:c r="L250" s="191"/>
      <x:c r="M250" s="191"/>
      <x:c r="N250" s="191"/>
      <x:c r="O250" s="191"/>
      <x:c r="P250" s="191"/>
      <x:c r="Q250" s="191"/>
      <x:c r="R250" s="191"/>
      <x:c r="S250" s="191"/>
      <x:c r="T250" s="191"/>
      <x:c r="U250" s="191"/>
      <x:c r="V250" s="191"/>
      <x:c r="W250" s="191"/>
      <x:c r="X250" s="191"/>
      <x:c r="Y250" s="191"/>
      <x:c r="Z250" s="191"/>
      <x:c r="AA250" s="191"/>
      <x:c r="AB250" s="191"/>
      <x:c r="AC250" s="191"/>
      <x:c r="AD250" s="191"/>
      <x:c r="AE250" s="191"/>
      <x:c r="AF250" s="191"/>
      <x:c r="AG250" s="191"/>
      <x:c r="AH250" s="191"/>
      <x:c r="AI250" s="191"/>
      <x:c r="AJ250" s="191"/>
      <x:c r="AK250" s="191"/>
    </x:row>
    <x:row r="251">
      <x:c r="A251" s="191"/>
      <x:c r="B251" s="191"/>
      <x:c r="C251" s="191"/>
      <x:c r="D251" s="191"/>
      <x:c r="E251" s="191"/>
      <x:c r="F251" s="191"/>
      <x:c r="G251" s="191"/>
      <x:c r="H251" s="191"/>
      <x:c r="I251" s="191"/>
      <x:c r="J251" s="191"/>
      <x:c r="K251" s="191"/>
      <x:c r="L251" s="191"/>
      <x:c r="M251" s="191"/>
      <x:c r="N251" s="191"/>
      <x:c r="O251" s="191"/>
      <x:c r="P251" s="191"/>
      <x:c r="Q251" s="191"/>
      <x:c r="R251" s="191"/>
      <x:c r="S251" s="191"/>
      <x:c r="T251" s="191"/>
      <x:c r="U251" s="191"/>
      <x:c r="V251" s="191"/>
      <x:c r="W251" s="191"/>
      <x:c r="X251" s="191"/>
      <x:c r="Y251" s="191"/>
      <x:c r="Z251" s="191"/>
      <x:c r="AA251" s="191"/>
      <x:c r="AB251" s="191"/>
      <x:c r="AC251" s="191"/>
      <x:c r="AD251" s="191"/>
      <x:c r="AE251" s="191"/>
      <x:c r="AF251" s="191"/>
      <x:c r="AG251" s="191"/>
      <x:c r="AH251" s="191"/>
      <x:c r="AI251" s="191"/>
      <x:c r="AJ251" s="191"/>
      <x:c r="AK251" s="191"/>
    </x:row>
    <x:row r="252">
      <x:c r="A252" s="191"/>
      <x:c r="B252" s="191"/>
      <x:c r="C252" s="191"/>
      <x:c r="D252" s="191"/>
      <x:c r="E252" s="191"/>
      <x:c r="F252" s="191"/>
      <x:c r="G252" s="191"/>
      <x:c r="H252" s="191"/>
      <x:c r="I252" s="191"/>
      <x:c r="J252" s="191"/>
      <x:c r="K252" s="191"/>
      <x:c r="L252" s="191"/>
      <x:c r="M252" s="191"/>
      <x:c r="N252" s="191"/>
      <x:c r="O252" s="191"/>
      <x:c r="P252" s="191"/>
      <x:c r="Q252" s="191"/>
      <x:c r="R252" s="191"/>
      <x:c r="S252" s="191"/>
      <x:c r="T252" s="191"/>
      <x:c r="U252" s="191"/>
      <x:c r="V252" s="191"/>
      <x:c r="W252" s="191"/>
      <x:c r="X252" s="191"/>
      <x:c r="Y252" s="191"/>
      <x:c r="Z252" s="191"/>
      <x:c r="AA252" s="191"/>
      <x:c r="AB252" s="191"/>
      <x:c r="AC252" s="191"/>
      <x:c r="AD252" s="191"/>
      <x:c r="AE252" s="191"/>
      <x:c r="AF252" s="191"/>
      <x:c r="AG252" s="191"/>
      <x:c r="AH252" s="191"/>
      <x:c r="AI252" s="191"/>
      <x:c r="AJ252" s="191"/>
      <x:c r="AK252" s="191"/>
    </x:row>
    <x:row r="253">
      <x:c r="A253" s="191"/>
      <x:c r="B253" s="191"/>
      <x:c r="C253" s="191"/>
      <x:c r="D253" s="191"/>
      <x:c r="E253" s="191"/>
      <x:c r="F253" s="191"/>
      <x:c r="G253" s="191"/>
      <x:c r="H253" s="191"/>
      <x:c r="I253" s="191"/>
      <x:c r="J253" s="191"/>
      <x:c r="K253" s="191"/>
      <x:c r="L253" s="191"/>
      <x:c r="M253" s="191"/>
      <x:c r="N253" s="191"/>
      <x:c r="O253" s="191"/>
      <x:c r="P253" s="191"/>
      <x:c r="Q253" s="191"/>
      <x:c r="R253" s="191"/>
      <x:c r="S253" s="191"/>
      <x:c r="T253" s="191"/>
      <x:c r="U253" s="191"/>
      <x:c r="V253" s="191"/>
      <x:c r="W253" s="191"/>
      <x:c r="X253" s="191"/>
      <x:c r="Y253" s="191"/>
      <x:c r="Z253" s="191"/>
      <x:c r="AA253" s="191"/>
      <x:c r="AB253" s="191"/>
      <x:c r="AC253" s="191"/>
      <x:c r="AD253" s="191"/>
      <x:c r="AE253" s="191"/>
      <x:c r="AF253" s="191"/>
      <x:c r="AG253" s="191"/>
      <x:c r="AH253" s="191"/>
      <x:c r="AI253" s="191"/>
      <x:c r="AJ253" s="191"/>
      <x:c r="AK253" s="191"/>
    </x:row>
    <x:row r="254">
      <x:c r="A254" s="191"/>
      <x:c r="B254" s="191"/>
      <x:c r="C254" s="191"/>
      <x:c r="D254" s="191"/>
      <x:c r="E254" s="191"/>
      <x:c r="F254" s="191"/>
      <x:c r="G254" s="191"/>
      <x:c r="H254" s="191"/>
      <x:c r="I254" s="191"/>
      <x:c r="J254" s="191"/>
      <x:c r="K254" s="191"/>
      <x:c r="L254" s="191"/>
      <x:c r="M254" s="191"/>
      <x:c r="N254" s="191"/>
      <x:c r="O254" s="191"/>
      <x:c r="P254" s="191"/>
      <x:c r="Q254" s="191"/>
      <x:c r="R254" s="191"/>
      <x:c r="S254" s="191"/>
      <x:c r="T254" s="191"/>
      <x:c r="U254" s="191"/>
      <x:c r="V254" s="191"/>
      <x:c r="W254" s="191"/>
      <x:c r="X254" s="191"/>
      <x:c r="Y254" s="191"/>
      <x:c r="Z254" s="191"/>
      <x:c r="AA254" s="191"/>
      <x:c r="AB254" s="191"/>
      <x:c r="AC254" s="191"/>
      <x:c r="AD254" s="191"/>
      <x:c r="AE254" s="191"/>
      <x:c r="AF254" s="191"/>
      <x:c r="AG254" s="191"/>
      <x:c r="AH254" s="191"/>
      <x:c r="AI254" s="191"/>
      <x:c r="AJ254" s="191"/>
      <x:c r="AK254" s="191"/>
    </x:row>
    <x:row r="255">
      <x:c r="A255" s="191"/>
      <x:c r="B255" s="191"/>
      <x:c r="C255" s="191"/>
      <x:c r="D255" s="191"/>
      <x:c r="E255" s="191"/>
      <x:c r="F255" s="191"/>
      <x:c r="G255" s="191"/>
      <x:c r="H255" s="191"/>
      <x:c r="I255" s="191"/>
      <x:c r="J255" s="191"/>
      <x:c r="K255" s="191"/>
      <x:c r="L255" s="191"/>
      <x:c r="M255" s="191"/>
      <x:c r="N255" s="191"/>
      <x:c r="O255" s="191"/>
      <x:c r="P255" s="191"/>
      <x:c r="Q255" s="191"/>
      <x:c r="R255" s="191"/>
      <x:c r="S255" s="191"/>
      <x:c r="T255" s="191"/>
      <x:c r="U255" s="191"/>
      <x:c r="V255" s="191"/>
      <x:c r="W255" s="191"/>
      <x:c r="X255" s="191"/>
      <x:c r="Y255" s="191"/>
      <x:c r="Z255" s="191"/>
      <x:c r="AA255" s="191"/>
      <x:c r="AB255" s="191"/>
      <x:c r="AC255" s="191"/>
      <x:c r="AD255" s="191"/>
      <x:c r="AE255" s="191"/>
      <x:c r="AF255" s="191"/>
      <x:c r="AG255" s="191"/>
      <x:c r="AH255" s="191"/>
      <x:c r="AI255" s="191"/>
      <x:c r="AJ255" s="191"/>
      <x:c r="AK255" s="191"/>
    </x:row>
    <x:row r="256">
      <x:c r="A256" s="191"/>
      <x:c r="B256" s="191"/>
      <x:c r="C256" s="191"/>
      <x:c r="D256" s="191"/>
      <x:c r="E256" s="191"/>
      <x:c r="F256" s="191"/>
      <x:c r="G256" s="191"/>
      <x:c r="H256" s="191"/>
      <x:c r="I256" s="191"/>
      <x:c r="J256" s="191"/>
      <x:c r="K256" s="191"/>
      <x:c r="L256" s="191"/>
      <x:c r="M256" s="191"/>
      <x:c r="N256" s="191"/>
      <x:c r="O256" s="191"/>
      <x:c r="P256" s="191"/>
      <x:c r="Q256" s="191"/>
      <x:c r="R256" s="191"/>
      <x:c r="S256" s="191"/>
      <x:c r="T256" s="191"/>
      <x:c r="U256" s="191"/>
      <x:c r="V256" s="191"/>
      <x:c r="W256" s="191"/>
      <x:c r="X256" s="191"/>
      <x:c r="Y256" s="191"/>
      <x:c r="Z256" s="191"/>
      <x:c r="AA256" s="191"/>
      <x:c r="AB256" s="191"/>
      <x:c r="AC256" s="191"/>
      <x:c r="AD256" s="191"/>
      <x:c r="AE256" s="191"/>
      <x:c r="AF256" s="191"/>
      <x:c r="AG256" s="191"/>
      <x:c r="AH256" s="191"/>
      <x:c r="AI256" s="191"/>
      <x:c r="AJ256" s="191"/>
      <x:c r="AK256" s="191"/>
    </x:row>
    <x:row r="257">
      <x:c r="A257" s="191"/>
      <x:c r="B257" s="191"/>
      <x:c r="C257" s="191"/>
      <x:c r="D257" s="191"/>
      <x:c r="E257" s="191"/>
      <x:c r="F257" s="191"/>
      <x:c r="G257" s="191"/>
      <x:c r="H257" s="191"/>
      <x:c r="I257" s="191"/>
      <x:c r="J257" s="191"/>
      <x:c r="K257" s="191"/>
      <x:c r="L257" s="191"/>
      <x:c r="M257" s="191"/>
      <x:c r="N257" s="191"/>
      <x:c r="O257" s="191"/>
      <x:c r="P257" s="191"/>
      <x:c r="Q257" s="191"/>
      <x:c r="R257" s="191"/>
      <x:c r="S257" s="191"/>
      <x:c r="T257" s="191"/>
      <x:c r="U257" s="191"/>
      <x:c r="V257" s="191"/>
      <x:c r="W257" s="191"/>
      <x:c r="X257" s="191"/>
      <x:c r="Y257" s="191"/>
      <x:c r="Z257" s="191"/>
      <x:c r="AA257" s="191"/>
      <x:c r="AB257" s="191"/>
      <x:c r="AC257" s="191"/>
      <x:c r="AD257" s="191"/>
      <x:c r="AE257" s="191"/>
      <x:c r="AF257" s="191"/>
      <x:c r="AG257" s="191"/>
      <x:c r="AH257" s="191"/>
      <x:c r="AI257" s="191"/>
      <x:c r="AJ257" s="191"/>
      <x:c r="AK257" s="191"/>
    </x:row>
    <x:row r="258">
      <x:c r="A258" s="191"/>
      <x:c r="B258" s="191"/>
      <x:c r="C258" s="191"/>
      <x:c r="D258" s="191"/>
      <x:c r="E258" s="191"/>
      <x:c r="F258" s="191"/>
      <x:c r="G258" s="191"/>
      <x:c r="H258" s="191"/>
      <x:c r="I258" s="191"/>
      <x:c r="J258" s="191"/>
      <x:c r="K258" s="191"/>
      <x:c r="L258" s="191"/>
      <x:c r="M258" s="191"/>
      <x:c r="N258" s="191"/>
      <x:c r="O258" s="191"/>
      <x:c r="P258" s="191"/>
      <x:c r="Q258" s="191"/>
      <x:c r="R258" s="191"/>
      <x:c r="S258" s="191"/>
      <x:c r="T258" s="191"/>
      <x:c r="U258" s="191"/>
      <x:c r="V258" s="191"/>
      <x:c r="W258" s="191"/>
      <x:c r="X258" s="191"/>
      <x:c r="Y258" s="191"/>
      <x:c r="Z258" s="191"/>
      <x:c r="AA258" s="191"/>
      <x:c r="AB258" s="191"/>
      <x:c r="AC258" s="191"/>
      <x:c r="AD258" s="191"/>
      <x:c r="AE258" s="191"/>
      <x:c r="AF258" s="191"/>
      <x:c r="AG258" s="191"/>
      <x:c r="AH258" s="191"/>
      <x:c r="AI258" s="191"/>
      <x:c r="AJ258" s="191"/>
      <x:c r="AK258" s="191"/>
    </x:row>
    <x:row r="259">
      <x:c r="A259" s="191"/>
      <x:c r="B259" s="191"/>
      <x:c r="C259" s="191"/>
      <x:c r="D259" s="191"/>
      <x:c r="E259" s="191"/>
      <x:c r="F259" s="191"/>
      <x:c r="G259" s="191"/>
      <x:c r="H259" s="191"/>
      <x:c r="I259" s="191"/>
      <x:c r="J259" s="191"/>
      <x:c r="K259" s="191"/>
      <x:c r="L259" s="191"/>
      <x:c r="M259" s="191"/>
      <x:c r="N259" s="191"/>
      <x:c r="O259" s="191"/>
      <x:c r="P259" s="191"/>
      <x:c r="Q259" s="191"/>
      <x:c r="R259" s="191"/>
      <x:c r="S259" s="191"/>
      <x:c r="T259" s="191"/>
      <x:c r="U259" s="191"/>
      <x:c r="V259" s="191"/>
      <x:c r="W259" s="191"/>
      <x:c r="X259" s="191"/>
      <x:c r="Y259" s="191"/>
      <x:c r="Z259" s="191"/>
      <x:c r="AA259" s="191"/>
      <x:c r="AB259" s="191"/>
      <x:c r="AC259" s="191"/>
      <x:c r="AD259" s="191"/>
      <x:c r="AE259" s="191"/>
      <x:c r="AF259" s="191"/>
      <x:c r="AG259" s="191"/>
      <x:c r="AH259" s="191"/>
      <x:c r="AI259" s="191"/>
      <x:c r="AJ259" s="191"/>
      <x:c r="AK259" s="191"/>
    </x:row>
    <x:row r="260">
      <x:c r="A260" s="191"/>
      <x:c r="B260" s="191"/>
      <x:c r="C260" s="191"/>
      <x:c r="D260" s="191"/>
      <x:c r="E260" s="191"/>
      <x:c r="F260" s="191"/>
      <x:c r="G260" s="191"/>
      <x:c r="H260" s="191"/>
      <x:c r="I260" s="191"/>
      <x:c r="J260" s="191"/>
      <x:c r="K260" s="191"/>
      <x:c r="L260" s="191"/>
      <x:c r="M260" s="191"/>
      <x:c r="N260" s="191"/>
      <x:c r="O260" s="191"/>
      <x:c r="P260" s="191"/>
      <x:c r="Q260" s="191"/>
      <x:c r="R260" s="191"/>
      <x:c r="S260" s="191"/>
      <x:c r="T260" s="191"/>
      <x:c r="U260" s="191"/>
      <x:c r="V260" s="191"/>
      <x:c r="W260" s="191"/>
      <x:c r="X260" s="191"/>
      <x:c r="Y260" s="191"/>
      <x:c r="Z260" s="191"/>
      <x:c r="AA260" s="191"/>
      <x:c r="AB260" s="191"/>
      <x:c r="AC260" s="191"/>
      <x:c r="AD260" s="191"/>
      <x:c r="AE260" s="191"/>
      <x:c r="AF260" s="191"/>
      <x:c r="AG260" s="191"/>
      <x:c r="AH260" s="191"/>
      <x:c r="AI260" s="191"/>
      <x:c r="AJ260" s="191"/>
      <x:c r="AK260" s="191"/>
    </x:row>
    <x:row r="261">
      <x:c r="A261" s="191"/>
      <x:c r="B261" s="191"/>
      <x:c r="C261" s="191"/>
      <x:c r="D261" s="191"/>
      <x:c r="E261" s="191"/>
      <x:c r="F261" s="191"/>
      <x:c r="G261" s="191"/>
      <x:c r="H261" s="191"/>
      <x:c r="I261" s="191"/>
      <x:c r="J261" s="191"/>
      <x:c r="K261" s="191"/>
      <x:c r="L261" s="191"/>
      <x:c r="M261" s="191"/>
      <x:c r="N261" s="191"/>
      <x:c r="O261" s="191"/>
      <x:c r="P261" s="191"/>
      <x:c r="Q261" s="191"/>
      <x:c r="R261" s="191"/>
      <x:c r="S261" s="191"/>
      <x:c r="T261" s="191"/>
      <x:c r="U261" s="191"/>
      <x:c r="V261" s="191"/>
      <x:c r="W261" s="191"/>
      <x:c r="X261" s="191"/>
      <x:c r="Y261" s="191"/>
      <x:c r="Z261" s="191"/>
      <x:c r="AA261" s="191"/>
      <x:c r="AB261" s="191"/>
      <x:c r="AC261" s="191"/>
      <x:c r="AD261" s="191"/>
      <x:c r="AE261" s="191"/>
      <x:c r="AF261" s="191"/>
      <x:c r="AG261" s="191"/>
      <x:c r="AH261" s="191"/>
      <x:c r="AI261" s="191"/>
      <x:c r="AJ261" s="191"/>
      <x:c r="AK261" s="191"/>
    </x:row>
    <x:row r="262">
      <x:c r="A262" s="191"/>
      <x:c r="B262" s="191"/>
      <x:c r="C262" s="191"/>
      <x:c r="D262" s="191"/>
      <x:c r="E262" s="191"/>
      <x:c r="F262" s="191"/>
      <x:c r="G262" s="191"/>
      <x:c r="H262" s="191"/>
      <x:c r="I262" s="191"/>
      <x:c r="J262" s="191"/>
      <x:c r="K262" s="191"/>
      <x:c r="L262" s="191"/>
      <x:c r="M262" s="191"/>
      <x:c r="N262" s="191"/>
      <x:c r="O262" s="191"/>
      <x:c r="P262" s="191"/>
      <x:c r="Q262" s="191"/>
      <x:c r="R262" s="191"/>
      <x:c r="S262" s="191"/>
      <x:c r="T262" s="191"/>
      <x:c r="U262" s="191"/>
      <x:c r="V262" s="191"/>
      <x:c r="W262" s="191"/>
      <x:c r="X262" s="191"/>
      <x:c r="Y262" s="191"/>
      <x:c r="Z262" s="191"/>
      <x:c r="AA262" s="191"/>
      <x:c r="AB262" s="191"/>
      <x:c r="AC262" s="191"/>
      <x:c r="AD262" s="191"/>
      <x:c r="AE262" s="191"/>
      <x:c r="AF262" s="191"/>
      <x:c r="AG262" s="191"/>
      <x:c r="AH262" s="191"/>
      <x:c r="AI262" s="191"/>
      <x:c r="AJ262" s="191"/>
      <x:c r="AK262" s="191"/>
    </x:row>
    <x:row r="263">
      <x:c r="A263" s="191"/>
      <x:c r="B263" s="191"/>
      <x:c r="C263" s="191"/>
      <x:c r="D263" s="191"/>
      <x:c r="E263" s="191"/>
      <x:c r="F263" s="191"/>
      <x:c r="G263" s="191"/>
      <x:c r="H263" s="191"/>
      <x:c r="I263" s="191"/>
      <x:c r="J263" s="191"/>
      <x:c r="K263" s="191"/>
      <x:c r="L263" s="191"/>
      <x:c r="M263" s="191"/>
      <x:c r="N263" s="191"/>
      <x:c r="O263" s="191"/>
      <x:c r="P263" s="191"/>
      <x:c r="Q263" s="191"/>
      <x:c r="R263" s="191"/>
      <x:c r="S263" s="191"/>
      <x:c r="T263" s="191"/>
      <x:c r="U263" s="191"/>
      <x:c r="V263" s="191"/>
      <x:c r="W263" s="191"/>
      <x:c r="X263" s="191"/>
      <x:c r="Y263" s="191"/>
      <x:c r="Z263" s="191"/>
      <x:c r="AA263" s="191"/>
      <x:c r="AB263" s="191"/>
      <x:c r="AC263" s="191"/>
      <x:c r="AD263" s="191"/>
      <x:c r="AE263" s="191"/>
      <x:c r="AF263" s="191"/>
      <x:c r="AG263" s="191"/>
      <x:c r="AH263" s="191"/>
      <x:c r="AI263" s="191"/>
      <x:c r="AJ263" s="191"/>
      <x:c r="AK263" s="191"/>
    </x:row>
    <x:row r="264">
      <x:c r="A264" s="191"/>
      <x:c r="B264" s="191"/>
      <x:c r="C264" s="191"/>
      <x:c r="D264" s="191"/>
      <x:c r="E264" s="191"/>
      <x:c r="F264" s="191"/>
      <x:c r="G264" s="191"/>
      <x:c r="H264" s="191"/>
      <x:c r="I264" s="191"/>
      <x:c r="J264" s="191"/>
      <x:c r="K264" s="191"/>
      <x:c r="L264" s="191"/>
      <x:c r="M264" s="191"/>
      <x:c r="N264" s="191"/>
      <x:c r="O264" s="191"/>
      <x:c r="P264" s="191"/>
      <x:c r="Q264" s="191"/>
      <x:c r="R264" s="191"/>
      <x:c r="S264" s="191"/>
      <x:c r="T264" s="191"/>
      <x:c r="U264" s="191"/>
      <x:c r="V264" s="191"/>
      <x:c r="W264" s="191"/>
      <x:c r="X264" s="191"/>
      <x:c r="Y264" s="191"/>
      <x:c r="Z264" s="191"/>
      <x:c r="AA264" s="191"/>
      <x:c r="AB264" s="191"/>
      <x:c r="AC264" s="191"/>
      <x:c r="AD264" s="191"/>
      <x:c r="AE264" s="191"/>
      <x:c r="AF264" s="191"/>
      <x:c r="AG264" s="191"/>
      <x:c r="AH264" s="191"/>
      <x:c r="AI264" s="191"/>
      <x:c r="AJ264" s="191"/>
      <x:c r="AK264" s="191"/>
    </x:row>
    <x:row r="265">
      <x:c r="A265" s="191"/>
      <x:c r="B265" s="191"/>
      <x:c r="C265" s="191"/>
      <x:c r="D265" s="191"/>
      <x:c r="E265" s="191"/>
      <x:c r="F265" s="191"/>
      <x:c r="G265" s="191"/>
      <x:c r="H265" s="191"/>
      <x:c r="I265" s="191"/>
      <x:c r="J265" s="191"/>
      <x:c r="K265" s="191"/>
      <x:c r="L265" s="191"/>
      <x:c r="M265" s="191"/>
      <x:c r="N265" s="191"/>
      <x:c r="O265" s="191"/>
      <x:c r="P265" s="191"/>
      <x:c r="Q265" s="191"/>
      <x:c r="R265" s="191"/>
      <x:c r="S265" s="191"/>
      <x:c r="T265" s="191"/>
      <x:c r="U265" s="191"/>
      <x:c r="V265" s="191"/>
      <x:c r="W265" s="191"/>
      <x:c r="X265" s="191"/>
      <x:c r="Y265" s="191"/>
      <x:c r="Z265" s="191"/>
      <x:c r="AA265" s="191"/>
      <x:c r="AB265" s="191"/>
      <x:c r="AC265" s="191"/>
      <x:c r="AD265" s="191"/>
      <x:c r="AE265" s="191"/>
      <x:c r="AF265" s="191"/>
      <x:c r="AG265" s="191"/>
      <x:c r="AH265" s="191"/>
      <x:c r="AI265" s="191"/>
      <x:c r="AJ265" s="191"/>
      <x:c r="AK265" s="191"/>
    </x:row>
    <x:row r="266">
      <x:c r="A266" s="191"/>
      <x:c r="B266" s="191"/>
      <x:c r="C266" s="191"/>
      <x:c r="D266" s="191"/>
      <x:c r="E266" s="191"/>
      <x:c r="F266" s="191"/>
      <x:c r="G266" s="191"/>
      <x:c r="H266" s="191"/>
      <x:c r="I266" s="191"/>
      <x:c r="J266" s="191"/>
      <x:c r="K266" s="191"/>
      <x:c r="L266" s="191"/>
      <x:c r="M266" s="191"/>
      <x:c r="N266" s="191"/>
      <x:c r="O266" s="191"/>
      <x:c r="P266" s="191"/>
      <x:c r="Q266" s="191"/>
      <x:c r="R266" s="191"/>
      <x:c r="S266" s="191"/>
      <x:c r="T266" s="191"/>
      <x:c r="U266" s="191"/>
      <x:c r="V266" s="191"/>
      <x:c r="W266" s="191"/>
      <x:c r="X266" s="191"/>
      <x:c r="Y266" s="191"/>
      <x:c r="Z266" s="191"/>
      <x:c r="AA266" s="191"/>
      <x:c r="AB266" s="191"/>
      <x:c r="AC266" s="191"/>
      <x:c r="AD266" s="191"/>
      <x:c r="AE266" s="191"/>
      <x:c r="AF266" s="191"/>
      <x:c r="AG266" s="191"/>
      <x:c r="AH266" s="191"/>
      <x:c r="AI266" s="191"/>
      <x:c r="AJ266" s="191"/>
      <x:c r="AK266" s="191"/>
    </x:row>
    <x:row r="267">
      <x:c r="A267" s="191"/>
      <x:c r="B267" s="191"/>
      <x:c r="C267" s="191"/>
      <x:c r="D267" s="191"/>
      <x:c r="E267" s="191"/>
      <x:c r="F267" s="191"/>
      <x:c r="G267" s="191"/>
      <x:c r="H267" s="191"/>
      <x:c r="I267" s="191"/>
      <x:c r="J267" s="191"/>
      <x:c r="K267" s="191"/>
      <x:c r="L267" s="191"/>
      <x:c r="M267" s="191"/>
      <x:c r="N267" s="191"/>
      <x:c r="O267" s="191"/>
      <x:c r="P267" s="191"/>
      <x:c r="Q267" s="191"/>
      <x:c r="R267" s="191"/>
      <x:c r="S267" s="191"/>
      <x:c r="T267" s="191"/>
      <x:c r="U267" s="191"/>
      <x:c r="V267" s="191"/>
      <x:c r="W267" s="191"/>
      <x:c r="X267" s="191"/>
      <x:c r="Y267" s="191"/>
      <x:c r="Z267" s="191"/>
      <x:c r="AA267" s="191"/>
      <x:c r="AB267" s="191"/>
      <x:c r="AC267" s="191"/>
      <x:c r="AD267" s="191"/>
      <x:c r="AE267" s="191"/>
      <x:c r="AF267" s="191"/>
      <x:c r="AG267" s="191"/>
      <x:c r="AH267" s="191"/>
      <x:c r="AI267" s="191"/>
      <x:c r="AJ267" s="191"/>
      <x:c r="AK267" s="191"/>
    </x:row>
    <x:row r="268">
      <x:c r="A268" s="191"/>
      <x:c r="B268" s="191"/>
      <x:c r="C268" s="191"/>
      <x:c r="D268" s="191"/>
      <x:c r="E268" s="191"/>
      <x:c r="F268" s="191"/>
      <x:c r="G268" s="191"/>
      <x:c r="H268" s="191"/>
      <x:c r="I268" s="191"/>
      <x:c r="J268" s="191"/>
      <x:c r="K268" s="191"/>
      <x:c r="L268" s="191"/>
      <x:c r="M268" s="191"/>
      <x:c r="N268" s="191"/>
      <x:c r="O268" s="191"/>
      <x:c r="P268" s="191"/>
      <x:c r="Q268" s="191"/>
      <x:c r="R268" s="191"/>
      <x:c r="S268" s="191"/>
      <x:c r="T268" s="191"/>
      <x:c r="U268" s="191"/>
      <x:c r="V268" s="191"/>
      <x:c r="W268" s="191"/>
      <x:c r="X268" s="191"/>
      <x:c r="Y268" s="191"/>
      <x:c r="Z268" s="191"/>
      <x:c r="AA268" s="191"/>
      <x:c r="AB268" s="191"/>
      <x:c r="AC268" s="191"/>
      <x:c r="AD268" s="191"/>
      <x:c r="AE268" s="191"/>
      <x:c r="AF268" s="191"/>
      <x:c r="AG268" s="191"/>
      <x:c r="AH268" s="191"/>
      <x:c r="AI268" s="191"/>
      <x:c r="AJ268" s="191"/>
      <x:c r="AK268" s="191"/>
    </x:row>
    <x:row r="269">
      <x:c r="A269" s="191"/>
      <x:c r="B269" s="191"/>
      <x:c r="C269" s="191"/>
      <x:c r="D269" s="191"/>
      <x:c r="E269" s="191"/>
      <x:c r="F269" s="191"/>
      <x:c r="G269" s="191"/>
      <x:c r="H269" s="191"/>
      <x:c r="I269" s="191"/>
      <x:c r="J269" s="191"/>
      <x:c r="K269" s="191"/>
      <x:c r="L269" s="191"/>
      <x:c r="M269" s="191"/>
      <x:c r="N269" s="191"/>
      <x:c r="O269" s="191"/>
      <x:c r="P269" s="191"/>
      <x:c r="Q269" s="191"/>
      <x:c r="R269" s="191"/>
      <x:c r="S269" s="191"/>
      <x:c r="T269" s="191"/>
      <x:c r="U269" s="191"/>
      <x:c r="V269" s="191"/>
      <x:c r="W269" s="191"/>
      <x:c r="X269" s="191"/>
      <x:c r="Y269" s="191"/>
      <x:c r="Z269" s="191"/>
      <x:c r="AA269" s="191"/>
      <x:c r="AB269" s="191"/>
      <x:c r="AC269" s="191"/>
      <x:c r="AD269" s="191"/>
      <x:c r="AE269" s="191"/>
      <x:c r="AF269" s="191"/>
      <x:c r="AG269" s="191"/>
      <x:c r="AH269" s="191"/>
      <x:c r="AI269" s="191"/>
      <x:c r="AJ269" s="191"/>
      <x:c r="AK269" s="191"/>
    </x:row>
    <x:row r="270">
      <x:c r="A270" s="191"/>
      <x:c r="B270" s="191"/>
      <x:c r="C270" s="191"/>
      <x:c r="D270" s="191"/>
      <x:c r="E270" s="191"/>
      <x:c r="F270" s="191"/>
      <x:c r="G270" s="191"/>
      <x:c r="H270" s="191"/>
      <x:c r="I270" s="191"/>
      <x:c r="J270" s="191"/>
      <x:c r="K270" s="191"/>
      <x:c r="L270" s="191"/>
      <x:c r="M270" s="191"/>
      <x:c r="N270" s="191"/>
      <x:c r="O270" s="191"/>
      <x:c r="P270" s="191"/>
      <x:c r="Q270" s="191"/>
      <x:c r="R270" s="191"/>
      <x:c r="S270" s="191"/>
      <x:c r="T270" s="191"/>
      <x:c r="U270" s="191"/>
      <x:c r="V270" s="191"/>
      <x:c r="W270" s="191"/>
      <x:c r="X270" s="191"/>
      <x:c r="Y270" s="191"/>
      <x:c r="Z270" s="191"/>
      <x:c r="AA270" s="191"/>
      <x:c r="AB270" s="191"/>
      <x:c r="AC270" s="191"/>
      <x:c r="AD270" s="191"/>
      <x:c r="AE270" s="191"/>
      <x:c r="AF270" s="191"/>
      <x:c r="AG270" s="191"/>
      <x:c r="AH270" s="191"/>
      <x:c r="AI270" s="191"/>
      <x:c r="AJ270" s="191"/>
      <x:c r="AK270" s="191"/>
    </x:row>
    <x:row r="271">
      <x:c r="A271" s="191"/>
      <x:c r="B271" s="191"/>
      <x:c r="C271" s="191"/>
      <x:c r="D271" s="191"/>
      <x:c r="E271" s="191"/>
      <x:c r="F271" s="191"/>
      <x:c r="G271" s="191"/>
      <x:c r="H271" s="191"/>
      <x:c r="I271" s="191"/>
      <x:c r="J271" s="191"/>
      <x:c r="K271" s="191"/>
      <x:c r="L271" s="191"/>
      <x:c r="M271" s="191"/>
      <x:c r="N271" s="191"/>
      <x:c r="O271" s="191"/>
      <x:c r="P271" s="191"/>
      <x:c r="Q271" s="191"/>
      <x:c r="R271" s="191"/>
      <x:c r="S271" s="191"/>
      <x:c r="T271" s="191"/>
      <x:c r="U271" s="191"/>
      <x:c r="V271" s="191"/>
      <x:c r="W271" s="191"/>
      <x:c r="X271" s="191"/>
      <x:c r="Y271" s="191"/>
      <x:c r="Z271" s="191"/>
      <x:c r="AA271" s="191"/>
      <x:c r="AB271" s="191"/>
      <x:c r="AC271" s="191"/>
      <x:c r="AD271" s="191"/>
      <x:c r="AE271" s="191"/>
      <x:c r="AF271" s="191"/>
      <x:c r="AG271" s="191"/>
      <x:c r="AH271" s="191"/>
      <x:c r="AI271" s="191"/>
      <x:c r="AJ271" s="191"/>
      <x:c r="AK271" s="191"/>
    </x:row>
    <x:row r="272">
      <x:c r="A272" s="191"/>
      <x:c r="B272" s="191"/>
      <x:c r="C272" s="191"/>
      <x:c r="D272" s="191"/>
      <x:c r="E272" s="191"/>
      <x:c r="F272" s="191"/>
      <x:c r="G272" s="191"/>
      <x:c r="H272" s="191"/>
      <x:c r="I272" s="191"/>
      <x:c r="J272" s="191"/>
      <x:c r="K272" s="191"/>
      <x:c r="L272" s="191"/>
      <x:c r="M272" s="191"/>
      <x:c r="N272" s="191"/>
      <x:c r="O272" s="191"/>
      <x:c r="P272" s="191"/>
      <x:c r="Q272" s="191"/>
      <x:c r="R272" s="191"/>
      <x:c r="S272" s="191"/>
      <x:c r="T272" s="191"/>
      <x:c r="U272" s="191"/>
      <x:c r="V272" s="191"/>
      <x:c r="W272" s="191"/>
      <x:c r="X272" s="191"/>
      <x:c r="Y272" s="191"/>
      <x:c r="Z272" s="191"/>
      <x:c r="AA272" s="191"/>
      <x:c r="AB272" s="191"/>
      <x:c r="AC272" s="191"/>
      <x:c r="AD272" s="191"/>
      <x:c r="AE272" s="191"/>
      <x:c r="AF272" s="191"/>
      <x:c r="AG272" s="191"/>
      <x:c r="AH272" s="191"/>
      <x:c r="AI272" s="191"/>
      <x:c r="AJ272" s="191"/>
      <x:c r="AK272" s="191"/>
    </x:row>
    <x:row r="273">
      <x:c r="A273" s="191"/>
      <x:c r="B273" s="191"/>
      <x:c r="C273" s="191"/>
      <x:c r="D273" s="191"/>
      <x:c r="E273" s="191"/>
      <x:c r="F273" s="191"/>
      <x:c r="G273" s="191"/>
      <x:c r="H273" s="191"/>
      <x:c r="I273" s="191"/>
      <x:c r="J273" s="191"/>
      <x:c r="K273" s="191"/>
      <x:c r="L273" s="191"/>
      <x:c r="M273" s="191"/>
      <x:c r="N273" s="191"/>
      <x:c r="O273" s="191"/>
      <x:c r="P273" s="191"/>
      <x:c r="Q273" s="191"/>
      <x:c r="R273" s="191"/>
      <x:c r="S273" s="191"/>
      <x:c r="T273" s="191"/>
      <x:c r="U273" s="191"/>
      <x:c r="V273" s="191"/>
      <x:c r="W273" s="191"/>
      <x:c r="X273" s="191"/>
      <x:c r="Y273" s="191"/>
      <x:c r="Z273" s="191"/>
      <x:c r="AA273" s="191"/>
      <x:c r="AB273" s="191"/>
      <x:c r="AC273" s="191"/>
      <x:c r="AD273" s="191"/>
      <x:c r="AE273" s="191"/>
      <x:c r="AF273" s="191"/>
      <x:c r="AG273" s="191"/>
      <x:c r="AH273" s="191"/>
      <x:c r="AI273" s="191"/>
      <x:c r="AJ273" s="191"/>
      <x:c r="AK273" s="191"/>
    </x:row>
    <x:row r="274">
      <x:c r="A274" s="191"/>
      <x:c r="B274" s="191"/>
      <x:c r="C274" s="191"/>
      <x:c r="D274" s="191"/>
      <x:c r="E274" s="191"/>
      <x:c r="F274" s="191"/>
      <x:c r="G274" s="191"/>
      <x:c r="H274" s="191"/>
      <x:c r="I274" s="191"/>
      <x:c r="J274" s="191"/>
      <x:c r="K274" s="191"/>
      <x:c r="L274" s="191"/>
      <x:c r="M274" s="191"/>
      <x:c r="N274" s="191"/>
      <x:c r="O274" s="191"/>
      <x:c r="P274" s="191"/>
      <x:c r="Q274" s="191"/>
      <x:c r="R274" s="191"/>
      <x:c r="S274" s="191"/>
      <x:c r="T274" s="191"/>
      <x:c r="U274" s="191"/>
      <x:c r="V274" s="191"/>
      <x:c r="W274" s="191"/>
      <x:c r="X274" s="191"/>
      <x:c r="Y274" s="191"/>
      <x:c r="Z274" s="191"/>
      <x:c r="AA274" s="191"/>
      <x:c r="AB274" s="191"/>
      <x:c r="AC274" s="191"/>
      <x:c r="AD274" s="191"/>
      <x:c r="AE274" s="191"/>
      <x:c r="AF274" s="191"/>
      <x:c r="AG274" s="191"/>
      <x:c r="AH274" s="191"/>
      <x:c r="AI274" s="191"/>
      <x:c r="AJ274" s="191"/>
      <x:c r="AK274" s="191"/>
    </x:row>
    <x:row r="275">
      <x:c r="A275" s="191"/>
      <x:c r="B275" s="191"/>
      <x:c r="C275" s="191"/>
      <x:c r="D275" s="191"/>
      <x:c r="E275" s="191"/>
      <x:c r="F275" s="191"/>
      <x:c r="G275" s="191"/>
      <x:c r="H275" s="191"/>
      <x:c r="I275" s="191"/>
      <x:c r="J275" s="191"/>
      <x:c r="K275" s="191"/>
      <x:c r="L275" s="191"/>
      <x:c r="M275" s="191"/>
      <x:c r="N275" s="191"/>
      <x:c r="O275" s="191"/>
      <x:c r="P275" s="191"/>
      <x:c r="Q275" s="191"/>
      <x:c r="R275" s="191"/>
      <x:c r="S275" s="191"/>
      <x:c r="T275" s="191"/>
      <x:c r="U275" s="191"/>
      <x:c r="V275" s="191"/>
      <x:c r="W275" s="191"/>
      <x:c r="X275" s="191"/>
      <x:c r="Y275" s="191"/>
      <x:c r="Z275" s="191"/>
      <x:c r="AA275" s="191"/>
      <x:c r="AB275" s="191"/>
      <x:c r="AC275" s="191"/>
      <x:c r="AD275" s="191"/>
      <x:c r="AE275" s="191"/>
      <x:c r="AF275" s="191"/>
      <x:c r="AG275" s="191"/>
      <x:c r="AH275" s="191"/>
      <x:c r="AI275" s="191"/>
      <x:c r="AJ275" s="191"/>
      <x:c r="AK275" s="191"/>
    </x:row>
    <x:row r="276">
      <x:c r="A276" s="191"/>
      <x:c r="B276" s="191"/>
      <x:c r="C276" s="191"/>
      <x:c r="D276" s="191"/>
      <x:c r="E276" s="191"/>
      <x:c r="F276" s="191"/>
      <x:c r="G276" s="191"/>
      <x:c r="H276" s="191"/>
      <x:c r="I276" s="191"/>
      <x:c r="J276" s="191"/>
      <x:c r="K276" s="191"/>
      <x:c r="L276" s="191"/>
      <x:c r="M276" s="191"/>
      <x:c r="N276" s="191"/>
      <x:c r="O276" s="191"/>
      <x:c r="P276" s="191"/>
      <x:c r="Q276" s="191"/>
      <x:c r="R276" s="191"/>
      <x:c r="S276" s="191"/>
      <x:c r="T276" s="191"/>
      <x:c r="U276" s="191"/>
      <x:c r="V276" s="191"/>
      <x:c r="W276" s="191"/>
      <x:c r="X276" s="191"/>
      <x:c r="Y276" s="191"/>
      <x:c r="Z276" s="191"/>
      <x:c r="AA276" s="191"/>
      <x:c r="AB276" s="191"/>
      <x:c r="AC276" s="191"/>
      <x:c r="AD276" s="191"/>
      <x:c r="AE276" s="191"/>
      <x:c r="AF276" s="191"/>
      <x:c r="AG276" s="191"/>
      <x:c r="AH276" s="191"/>
      <x:c r="AI276" s="191"/>
      <x:c r="AJ276" s="191"/>
      <x:c r="AK276" s="191"/>
    </x:row>
    <x:row r="277">
      <x:c r="A277" s="191"/>
      <x:c r="B277" s="191"/>
      <x:c r="C277" s="191"/>
      <x:c r="D277" s="191"/>
      <x:c r="E277" s="191"/>
      <x:c r="F277" s="191"/>
      <x:c r="G277" s="191"/>
      <x:c r="H277" s="191"/>
      <x:c r="I277" s="191"/>
      <x:c r="J277" s="191"/>
      <x:c r="K277" s="191"/>
      <x:c r="L277" s="191"/>
      <x:c r="M277" s="191"/>
      <x:c r="N277" s="191"/>
      <x:c r="O277" s="191"/>
      <x:c r="P277" s="191"/>
      <x:c r="Q277" s="191"/>
      <x:c r="R277" s="191"/>
      <x:c r="S277" s="191"/>
      <x:c r="T277" s="191"/>
      <x:c r="U277" s="191"/>
      <x:c r="V277" s="191"/>
      <x:c r="W277" s="191"/>
      <x:c r="X277" s="191"/>
      <x:c r="Y277" s="191"/>
      <x:c r="Z277" s="191"/>
      <x:c r="AA277" s="191"/>
      <x:c r="AB277" s="191"/>
      <x:c r="AC277" s="191"/>
      <x:c r="AD277" s="191"/>
      <x:c r="AE277" s="191"/>
      <x:c r="AF277" s="191"/>
      <x:c r="AG277" s="191"/>
      <x:c r="AH277" s="191"/>
      <x:c r="AI277" s="191"/>
      <x:c r="AJ277" s="191"/>
      <x:c r="AK277" s="191"/>
    </x:row>
    <x:row r="278">
      <x:c r="A278" s="191"/>
      <x:c r="B278" s="191"/>
      <x:c r="C278" s="191"/>
      <x:c r="D278" s="191"/>
      <x:c r="E278" s="191"/>
      <x:c r="F278" s="191"/>
      <x:c r="G278" s="191"/>
      <x:c r="H278" s="191"/>
      <x:c r="I278" s="191"/>
      <x:c r="J278" s="191"/>
      <x:c r="K278" s="191"/>
      <x:c r="L278" s="191"/>
      <x:c r="M278" s="191"/>
      <x:c r="N278" s="191"/>
      <x:c r="O278" s="191"/>
      <x:c r="P278" s="191"/>
      <x:c r="Q278" s="191"/>
      <x:c r="R278" s="191"/>
      <x:c r="S278" s="191"/>
      <x:c r="T278" s="191"/>
      <x:c r="U278" s="191"/>
      <x:c r="V278" s="191"/>
      <x:c r="W278" s="191"/>
      <x:c r="X278" s="191"/>
      <x:c r="Y278" s="191"/>
      <x:c r="Z278" s="191"/>
      <x:c r="AA278" s="191"/>
      <x:c r="AB278" s="191"/>
      <x:c r="AC278" s="191"/>
      <x:c r="AD278" s="191"/>
      <x:c r="AE278" s="191"/>
      <x:c r="AF278" s="191"/>
      <x:c r="AG278" s="191"/>
      <x:c r="AH278" s="191"/>
      <x:c r="AI278" s="191"/>
      <x:c r="AJ278" s="191"/>
      <x:c r="AK278" s="191"/>
    </x:row>
    <x:row r="279">
      <x:c r="A279" s="191"/>
      <x:c r="B279" s="191"/>
      <x:c r="C279" s="191"/>
      <x:c r="D279" s="191"/>
      <x:c r="E279" s="191"/>
      <x:c r="F279" s="191"/>
      <x:c r="G279" s="191"/>
      <x:c r="H279" s="191"/>
      <x:c r="I279" s="191"/>
      <x:c r="J279" s="191"/>
      <x:c r="K279" s="191"/>
      <x:c r="L279" s="191"/>
      <x:c r="M279" s="191"/>
      <x:c r="N279" s="191"/>
      <x:c r="O279" s="191"/>
      <x:c r="P279" s="191"/>
      <x:c r="Q279" s="191"/>
      <x:c r="R279" s="191"/>
      <x:c r="S279" s="191"/>
      <x:c r="T279" s="191"/>
      <x:c r="U279" s="191"/>
      <x:c r="V279" s="191"/>
      <x:c r="W279" s="191"/>
      <x:c r="X279" s="191"/>
      <x:c r="Y279" s="191"/>
      <x:c r="Z279" s="191"/>
      <x:c r="AA279" s="191"/>
      <x:c r="AB279" s="191"/>
      <x:c r="AC279" s="191"/>
      <x:c r="AD279" s="191"/>
      <x:c r="AE279" s="191"/>
      <x:c r="AF279" s="191"/>
      <x:c r="AG279" s="191"/>
      <x:c r="AH279" s="191"/>
      <x:c r="AI279" s="191"/>
      <x:c r="AJ279" s="191"/>
      <x:c r="AK279" s="191"/>
    </x:row>
    <x:row r="280">
      <x:c r="A280" s="191"/>
      <x:c r="B280" s="191"/>
      <x:c r="C280" s="191"/>
      <x:c r="D280" s="191"/>
      <x:c r="E280" s="191"/>
      <x:c r="F280" s="191"/>
      <x:c r="G280" s="191"/>
      <x:c r="H280" s="191"/>
      <x:c r="I280" s="191"/>
      <x:c r="J280" s="191"/>
      <x:c r="K280" s="191"/>
      <x:c r="L280" s="191"/>
      <x:c r="M280" s="191"/>
      <x:c r="N280" s="191"/>
      <x:c r="O280" s="191"/>
      <x:c r="P280" s="191"/>
      <x:c r="Q280" s="191"/>
      <x:c r="R280" s="191"/>
      <x:c r="S280" s="191"/>
      <x:c r="T280" s="191"/>
      <x:c r="U280" s="191"/>
      <x:c r="V280" s="191"/>
      <x:c r="W280" s="191"/>
      <x:c r="X280" s="191"/>
      <x:c r="Y280" s="191"/>
      <x:c r="Z280" s="191"/>
      <x:c r="AA280" s="191"/>
      <x:c r="AB280" s="191"/>
      <x:c r="AC280" s="191"/>
      <x:c r="AD280" s="191"/>
      <x:c r="AE280" s="191"/>
      <x:c r="AF280" s="191"/>
      <x:c r="AG280" s="191"/>
      <x:c r="AH280" s="191"/>
      <x:c r="AI280" s="191"/>
      <x:c r="AJ280" s="191"/>
      <x:c r="AK280" s="191"/>
    </x:row>
    <x:row r="281">
      <x:c r="A281" s="191"/>
      <x:c r="B281" s="191"/>
      <x:c r="C281" s="191"/>
      <x:c r="D281" s="191"/>
      <x:c r="E281" s="191"/>
      <x:c r="F281" s="191"/>
      <x:c r="G281" s="191"/>
      <x:c r="H281" s="191"/>
      <x:c r="I281" s="191"/>
      <x:c r="J281" s="191"/>
      <x:c r="K281" s="191"/>
      <x:c r="L281" s="191"/>
      <x:c r="M281" s="191"/>
      <x:c r="N281" s="191"/>
      <x:c r="O281" s="191"/>
      <x:c r="P281" s="191"/>
      <x:c r="Q281" s="191"/>
      <x:c r="R281" s="191"/>
      <x:c r="S281" s="191"/>
      <x:c r="T281" s="191"/>
      <x:c r="U281" s="191"/>
      <x:c r="V281" s="191"/>
      <x:c r="W281" s="191"/>
      <x:c r="X281" s="191"/>
      <x:c r="Y281" s="191"/>
      <x:c r="Z281" s="191"/>
      <x:c r="AA281" s="191"/>
      <x:c r="AB281" s="191"/>
      <x:c r="AC281" s="191"/>
      <x:c r="AD281" s="191"/>
      <x:c r="AE281" s="191"/>
      <x:c r="AF281" s="191"/>
      <x:c r="AG281" s="191"/>
      <x:c r="AH281" s="191"/>
      <x:c r="AI281" s="191"/>
      <x:c r="AJ281" s="191"/>
      <x:c r="AK281" s="191"/>
    </x:row>
    <x:row r="282">
      <x:c r="A282" s="191"/>
      <x:c r="B282" s="191"/>
      <x:c r="C282" s="191"/>
      <x:c r="D282" s="191"/>
      <x:c r="E282" s="191"/>
      <x:c r="F282" s="191"/>
      <x:c r="G282" s="191"/>
      <x:c r="H282" s="191"/>
      <x:c r="I282" s="191"/>
      <x:c r="J282" s="191"/>
      <x:c r="K282" s="191"/>
      <x:c r="L282" s="191"/>
      <x:c r="M282" s="191"/>
      <x:c r="N282" s="191"/>
      <x:c r="O282" s="191"/>
      <x:c r="P282" s="191"/>
      <x:c r="Q282" s="191"/>
      <x:c r="R282" s="191"/>
      <x:c r="S282" s="191"/>
      <x:c r="T282" s="191"/>
      <x:c r="U282" s="191"/>
      <x:c r="V282" s="191"/>
      <x:c r="W282" s="191"/>
      <x:c r="X282" s="191"/>
      <x:c r="Y282" s="191"/>
      <x:c r="Z282" s="191"/>
      <x:c r="AA282" s="191"/>
      <x:c r="AB282" s="191"/>
      <x:c r="AC282" s="191"/>
      <x:c r="AD282" s="191"/>
      <x:c r="AE282" s="191"/>
      <x:c r="AF282" s="191"/>
      <x:c r="AG282" s="191"/>
      <x:c r="AH282" s="191"/>
      <x:c r="AI282" s="191"/>
      <x:c r="AJ282" s="191"/>
      <x:c r="AK282" s="191"/>
    </x:row>
    <x:row r="283">
      <x:c r="A283" s="191"/>
      <x:c r="B283" s="191"/>
      <x:c r="C283" s="191"/>
      <x:c r="D283" s="191"/>
      <x:c r="E283" s="191"/>
      <x:c r="F283" s="191"/>
      <x:c r="G283" s="191"/>
      <x:c r="H283" s="191"/>
      <x:c r="I283" s="191"/>
      <x:c r="J283" s="191"/>
      <x:c r="K283" s="191"/>
      <x:c r="L283" s="191"/>
      <x:c r="M283" s="191"/>
      <x:c r="N283" s="191"/>
      <x:c r="O283" s="191"/>
      <x:c r="P283" s="191"/>
      <x:c r="Q283" s="191"/>
      <x:c r="R283" s="191"/>
      <x:c r="S283" s="191"/>
      <x:c r="T283" s="191"/>
      <x:c r="U283" s="191"/>
      <x:c r="V283" s="191"/>
      <x:c r="W283" s="191"/>
      <x:c r="X283" s="191"/>
      <x:c r="Y283" s="191"/>
      <x:c r="Z283" s="191"/>
      <x:c r="AA283" s="191"/>
      <x:c r="AB283" s="191"/>
      <x:c r="AC283" s="191"/>
      <x:c r="AD283" s="191"/>
      <x:c r="AE283" s="191"/>
      <x:c r="AF283" s="191"/>
      <x:c r="AG283" s="191"/>
      <x:c r="AH283" s="191"/>
      <x:c r="AI283" s="191"/>
      <x:c r="AJ283" s="191"/>
      <x:c r="AK283" s="191"/>
    </x:row>
    <x:row r="284">
      <x:c r="A284" s="191"/>
      <x:c r="B284" s="191"/>
      <x:c r="C284" s="191"/>
      <x:c r="D284" s="191"/>
      <x:c r="E284" s="191"/>
      <x:c r="F284" s="191"/>
      <x:c r="G284" s="191"/>
      <x:c r="H284" s="191"/>
      <x:c r="I284" s="191"/>
      <x:c r="J284" s="191"/>
      <x:c r="K284" s="191"/>
      <x:c r="L284" s="191"/>
      <x:c r="M284" s="191"/>
      <x:c r="N284" s="191"/>
      <x:c r="O284" s="191"/>
      <x:c r="P284" s="191"/>
      <x:c r="Q284" s="191"/>
      <x:c r="R284" s="191"/>
      <x:c r="S284" s="191"/>
      <x:c r="T284" s="191"/>
      <x:c r="U284" s="191"/>
      <x:c r="V284" s="191"/>
      <x:c r="W284" s="191"/>
      <x:c r="X284" s="191"/>
      <x:c r="Y284" s="191"/>
      <x:c r="Z284" s="191"/>
      <x:c r="AA284" s="191"/>
      <x:c r="AB284" s="191"/>
      <x:c r="AC284" s="191"/>
      <x:c r="AD284" s="191"/>
      <x:c r="AE284" s="191"/>
      <x:c r="AF284" s="191"/>
      <x:c r="AG284" s="191"/>
      <x:c r="AH284" s="191"/>
      <x:c r="AI284" s="191"/>
      <x:c r="AJ284" s="191"/>
      <x:c r="AK284" s="191"/>
    </x:row>
    <x:row r="285">
      <x:c r="A285" s="191"/>
      <x:c r="B285" s="191"/>
      <x:c r="C285" s="191"/>
      <x:c r="D285" s="191"/>
      <x:c r="E285" s="191"/>
      <x:c r="F285" s="191"/>
      <x:c r="G285" s="191"/>
      <x:c r="H285" s="191"/>
      <x:c r="I285" s="191"/>
      <x:c r="J285" s="191"/>
      <x:c r="K285" s="191"/>
      <x:c r="L285" s="191"/>
      <x:c r="M285" s="191"/>
      <x:c r="N285" s="191"/>
      <x:c r="O285" s="191"/>
      <x:c r="P285" s="191"/>
      <x:c r="Q285" s="191"/>
      <x:c r="R285" s="191"/>
      <x:c r="S285" s="191"/>
      <x:c r="T285" s="191"/>
      <x:c r="U285" s="191"/>
      <x:c r="V285" s="191"/>
      <x:c r="W285" s="191"/>
      <x:c r="X285" s="191"/>
      <x:c r="Y285" s="191"/>
      <x:c r="Z285" s="191"/>
      <x:c r="AA285" s="191"/>
      <x:c r="AB285" s="191"/>
      <x:c r="AC285" s="191"/>
      <x:c r="AD285" s="191"/>
      <x:c r="AE285" s="191"/>
      <x:c r="AF285" s="191"/>
      <x:c r="AG285" s="191"/>
      <x:c r="AH285" s="191"/>
      <x:c r="AI285" s="191"/>
      <x:c r="AJ285" s="191"/>
      <x:c r="AK285" s="191"/>
    </x:row>
    <x:row r="286">
      <x:c r="A286" s="191"/>
      <x:c r="B286" s="191"/>
      <x:c r="C286" s="191"/>
      <x:c r="D286" s="191"/>
      <x:c r="E286" s="191"/>
      <x:c r="F286" s="191"/>
      <x:c r="G286" s="191"/>
      <x:c r="H286" s="191"/>
      <x:c r="I286" s="191"/>
      <x:c r="J286" s="191"/>
      <x:c r="K286" s="191"/>
      <x:c r="L286" s="191"/>
      <x:c r="M286" s="191"/>
      <x:c r="N286" s="191"/>
      <x:c r="O286" s="191"/>
      <x:c r="P286" s="191"/>
      <x:c r="Q286" s="191"/>
      <x:c r="R286" s="191"/>
      <x:c r="S286" s="191"/>
      <x:c r="T286" s="191"/>
      <x:c r="U286" s="191"/>
      <x:c r="V286" s="191"/>
      <x:c r="W286" s="191"/>
      <x:c r="X286" s="191"/>
      <x:c r="Y286" s="191"/>
      <x:c r="Z286" s="191"/>
      <x:c r="AA286" s="191"/>
      <x:c r="AB286" s="191"/>
      <x:c r="AC286" s="191"/>
      <x:c r="AD286" s="191"/>
      <x:c r="AE286" s="191"/>
      <x:c r="AF286" s="191"/>
      <x:c r="AG286" s="191"/>
      <x:c r="AH286" s="191"/>
      <x:c r="AI286" s="191"/>
      <x:c r="AJ286" s="191"/>
      <x:c r="AK286" s="191"/>
    </x:row>
    <x:row r="287">
      <x:c r="A287" s="191"/>
      <x:c r="B287" s="191"/>
      <x:c r="C287" s="191"/>
      <x:c r="D287" s="191"/>
      <x:c r="E287" s="191"/>
      <x:c r="F287" s="191"/>
      <x:c r="G287" s="191"/>
      <x:c r="H287" s="191"/>
      <x:c r="I287" s="191"/>
      <x:c r="J287" s="191"/>
      <x:c r="K287" s="191"/>
      <x:c r="L287" s="191"/>
      <x:c r="M287" s="191"/>
      <x:c r="N287" s="191"/>
      <x:c r="O287" s="191"/>
      <x:c r="P287" s="191"/>
      <x:c r="Q287" s="191"/>
      <x:c r="R287" s="191"/>
      <x:c r="S287" s="191"/>
      <x:c r="T287" s="191"/>
      <x:c r="U287" s="191"/>
      <x:c r="V287" s="191"/>
      <x:c r="W287" s="191"/>
      <x:c r="X287" s="191"/>
      <x:c r="Y287" s="191"/>
      <x:c r="Z287" s="191"/>
      <x:c r="AA287" s="191"/>
      <x:c r="AB287" s="191"/>
      <x:c r="AC287" s="191"/>
      <x:c r="AD287" s="191"/>
      <x:c r="AE287" s="191"/>
      <x:c r="AF287" s="191"/>
      <x:c r="AG287" s="191"/>
      <x:c r="AH287" s="191"/>
      <x:c r="AI287" s="191"/>
      <x:c r="AJ287" s="191"/>
      <x:c r="AK287" s="191"/>
    </x:row>
    <x:row r="288">
      <x:c r="A288" s="191"/>
      <x:c r="B288" s="191"/>
      <x:c r="C288" s="191"/>
      <x:c r="D288" s="191"/>
      <x:c r="E288" s="191"/>
      <x:c r="F288" s="191"/>
      <x:c r="G288" s="191"/>
      <x:c r="H288" s="191"/>
      <x:c r="I288" s="191"/>
      <x:c r="J288" s="191"/>
      <x:c r="K288" s="191"/>
      <x:c r="L288" s="191"/>
      <x:c r="M288" s="191"/>
      <x:c r="N288" s="191"/>
      <x:c r="O288" s="191"/>
      <x:c r="P288" s="191"/>
      <x:c r="Q288" s="191"/>
      <x:c r="R288" s="191"/>
      <x:c r="S288" s="191"/>
      <x:c r="T288" s="191"/>
      <x:c r="U288" s="191"/>
      <x:c r="V288" s="191"/>
      <x:c r="W288" s="191"/>
      <x:c r="X288" s="191"/>
      <x:c r="Y288" s="191"/>
      <x:c r="Z288" s="191"/>
      <x:c r="AA288" s="191"/>
      <x:c r="AB288" s="191"/>
      <x:c r="AC288" s="191"/>
      <x:c r="AD288" s="191"/>
      <x:c r="AE288" s="191"/>
      <x:c r="AF288" s="191"/>
      <x:c r="AG288" s="191"/>
      <x:c r="AH288" s="191"/>
      <x:c r="AI288" s="191"/>
      <x:c r="AJ288" s="191"/>
      <x:c r="AK288" s="191"/>
    </x:row>
    <x:row r="289">
      <x:c r="A289" s="191"/>
      <x:c r="B289" s="191"/>
      <x:c r="C289" s="191"/>
      <x:c r="D289" s="191"/>
      <x:c r="E289" s="191"/>
      <x:c r="F289" s="191"/>
      <x:c r="G289" s="191"/>
      <x:c r="H289" s="191"/>
      <x:c r="I289" s="191"/>
      <x:c r="J289" s="191"/>
      <x:c r="K289" s="191"/>
      <x:c r="L289" s="191"/>
      <x:c r="M289" s="191"/>
      <x:c r="N289" s="191"/>
      <x:c r="O289" s="191"/>
      <x:c r="P289" s="191"/>
      <x:c r="Q289" s="191"/>
      <x:c r="R289" s="191"/>
      <x:c r="S289" s="191"/>
      <x:c r="T289" s="191"/>
      <x:c r="U289" s="191"/>
      <x:c r="V289" s="191"/>
      <x:c r="W289" s="191"/>
      <x:c r="X289" s="191"/>
      <x:c r="Y289" s="191"/>
      <x:c r="Z289" s="191"/>
      <x:c r="AA289" s="191"/>
      <x:c r="AB289" s="191"/>
      <x:c r="AC289" s="191"/>
      <x:c r="AD289" s="191"/>
      <x:c r="AE289" s="191"/>
      <x:c r="AF289" s="191"/>
      <x:c r="AG289" s="191"/>
      <x:c r="AH289" s="191"/>
      <x:c r="AI289" s="191"/>
      <x:c r="AJ289" s="191"/>
      <x:c r="AK289" s="191"/>
    </x:row>
    <x:row r="290">
      <x:c r="A290" s="191"/>
      <x:c r="B290" s="191"/>
      <x:c r="C290" s="191"/>
      <x:c r="D290" s="191"/>
      <x:c r="E290" s="191"/>
      <x:c r="F290" s="191"/>
      <x:c r="G290" s="191"/>
      <x:c r="H290" s="191"/>
      <x:c r="I290" s="191"/>
      <x:c r="J290" s="191"/>
      <x:c r="K290" s="191"/>
      <x:c r="L290" s="191"/>
      <x:c r="M290" s="191"/>
      <x:c r="N290" s="191"/>
      <x:c r="O290" s="191"/>
      <x:c r="P290" s="191"/>
      <x:c r="Q290" s="191"/>
      <x:c r="R290" s="191"/>
      <x:c r="S290" s="191"/>
      <x:c r="T290" s="191"/>
      <x:c r="U290" s="191"/>
      <x:c r="V290" s="191"/>
      <x:c r="W290" s="191"/>
      <x:c r="X290" s="191"/>
      <x:c r="Y290" s="191"/>
      <x:c r="Z290" s="191"/>
      <x:c r="AA290" s="191"/>
      <x:c r="AB290" s="191"/>
      <x:c r="AC290" s="191"/>
      <x:c r="AD290" s="191"/>
      <x:c r="AE290" s="191"/>
      <x:c r="AF290" s="191"/>
      <x:c r="AG290" s="191"/>
      <x:c r="AH290" s="191"/>
      <x:c r="AI290" s="191"/>
      <x:c r="AJ290" s="191"/>
      <x:c r="AK290" s="191"/>
    </x:row>
    <x:row r="291">
      <x:c r="A291" s="191"/>
      <x:c r="B291" s="191"/>
      <x:c r="C291" s="191"/>
      <x:c r="D291" s="191"/>
      <x:c r="E291" s="191"/>
      <x:c r="F291" s="191"/>
      <x:c r="G291" s="191"/>
      <x:c r="H291" s="191"/>
      <x:c r="I291" s="191"/>
      <x:c r="J291" s="191"/>
      <x:c r="K291" s="191"/>
      <x:c r="L291" s="191"/>
      <x:c r="M291" s="191"/>
      <x:c r="N291" s="191"/>
      <x:c r="O291" s="191"/>
      <x:c r="P291" s="191"/>
      <x:c r="Q291" s="191"/>
      <x:c r="R291" s="191"/>
      <x:c r="S291" s="191"/>
      <x:c r="T291" s="191"/>
      <x:c r="U291" s="191"/>
      <x:c r="V291" s="191"/>
      <x:c r="W291" s="191"/>
      <x:c r="X291" s="191"/>
      <x:c r="Y291" s="191"/>
      <x:c r="Z291" s="191"/>
      <x:c r="AA291" s="191"/>
      <x:c r="AB291" s="191"/>
      <x:c r="AC291" s="191"/>
      <x:c r="AD291" s="191"/>
      <x:c r="AE291" s="191"/>
      <x:c r="AF291" s="191"/>
      <x:c r="AG291" s="191"/>
      <x:c r="AH291" s="191"/>
      <x:c r="AI291" s="191"/>
      <x:c r="AJ291" s="191"/>
      <x:c r="AK291" s="191"/>
    </x:row>
    <x:row r="292">
      <x:c r="A292" s="191"/>
      <x:c r="B292" s="191"/>
      <x:c r="C292" s="191"/>
      <x:c r="D292" s="191"/>
      <x:c r="E292" s="191"/>
      <x:c r="F292" s="191"/>
      <x:c r="G292" s="191"/>
      <x:c r="H292" s="191"/>
      <x:c r="I292" s="191"/>
      <x:c r="J292" s="191"/>
      <x:c r="K292" s="191"/>
      <x:c r="L292" s="191"/>
      <x:c r="M292" s="191"/>
      <x:c r="N292" s="191"/>
      <x:c r="O292" s="191"/>
      <x:c r="P292" s="191"/>
      <x:c r="Q292" s="191"/>
      <x:c r="R292" s="191"/>
      <x:c r="S292" s="191"/>
      <x:c r="T292" s="191"/>
      <x:c r="U292" s="191"/>
      <x:c r="V292" s="191"/>
      <x:c r="W292" s="191"/>
      <x:c r="X292" s="191"/>
      <x:c r="Y292" s="191"/>
      <x:c r="Z292" s="191"/>
      <x:c r="AA292" s="191"/>
      <x:c r="AB292" s="191"/>
      <x:c r="AC292" s="191"/>
      <x:c r="AD292" s="191"/>
      <x:c r="AE292" s="191"/>
      <x:c r="AF292" s="191"/>
      <x:c r="AG292" s="191"/>
      <x:c r="AH292" s="191"/>
      <x:c r="AI292" s="191"/>
      <x:c r="AJ292" s="191"/>
      <x:c r="AK292" s="191"/>
    </x:row>
    <x:row r="293">
      <x:c r="A293" s="191"/>
      <x:c r="B293" s="191"/>
      <x:c r="C293" s="191"/>
      <x:c r="D293" s="191"/>
      <x:c r="E293" s="191"/>
      <x:c r="F293" s="191"/>
      <x:c r="G293" s="191"/>
      <x:c r="H293" s="191"/>
      <x:c r="I293" s="191"/>
      <x:c r="J293" s="191"/>
      <x:c r="K293" s="191"/>
      <x:c r="L293" s="191"/>
      <x:c r="M293" s="191"/>
      <x:c r="N293" s="191"/>
      <x:c r="O293" s="191"/>
      <x:c r="P293" s="191"/>
      <x:c r="Q293" s="191"/>
      <x:c r="R293" s="191"/>
      <x:c r="S293" s="191"/>
      <x:c r="T293" s="191"/>
      <x:c r="U293" s="191"/>
      <x:c r="V293" s="191"/>
      <x:c r="W293" s="191"/>
      <x:c r="X293" s="191"/>
      <x:c r="Y293" s="191"/>
      <x:c r="Z293" s="191"/>
      <x:c r="AA293" s="191"/>
      <x:c r="AB293" s="191"/>
      <x:c r="AC293" s="191"/>
      <x:c r="AD293" s="191"/>
      <x:c r="AE293" s="191"/>
      <x:c r="AF293" s="191"/>
      <x:c r="AG293" s="191"/>
      <x:c r="AH293" s="191"/>
      <x:c r="AI293" s="191"/>
      <x:c r="AJ293" s="191"/>
      <x:c r="AK293" s="191"/>
    </x:row>
    <x:row r="294">
      <x:c r="A294" s="191"/>
      <x:c r="B294" s="191"/>
      <x:c r="C294" s="191"/>
      <x:c r="D294" s="191"/>
      <x:c r="E294" s="191"/>
      <x:c r="F294" s="191"/>
      <x:c r="G294" s="191"/>
      <x:c r="H294" s="191"/>
      <x:c r="I294" s="191"/>
      <x:c r="J294" s="191"/>
      <x:c r="K294" s="191"/>
      <x:c r="L294" s="191"/>
      <x:c r="M294" s="191"/>
      <x:c r="N294" s="191"/>
      <x:c r="O294" s="191"/>
      <x:c r="P294" s="191"/>
      <x:c r="Q294" s="191"/>
      <x:c r="R294" s="191"/>
      <x:c r="S294" s="191"/>
      <x:c r="T294" s="191"/>
      <x:c r="U294" s="191"/>
      <x:c r="V294" s="191"/>
      <x:c r="W294" s="191"/>
      <x:c r="X294" s="191"/>
      <x:c r="Y294" s="191"/>
      <x:c r="Z294" s="191"/>
      <x:c r="AA294" s="191"/>
      <x:c r="AB294" s="191"/>
      <x:c r="AC294" s="191"/>
      <x:c r="AD294" s="191"/>
      <x:c r="AE294" s="191"/>
      <x:c r="AF294" s="191"/>
      <x:c r="AG294" s="191"/>
      <x:c r="AH294" s="191"/>
      <x:c r="AI294" s="191"/>
      <x:c r="AJ294" s="191"/>
      <x:c r="AK294" s="191"/>
    </x:row>
    <x:row r="295">
      <x:c r="A295" s="191"/>
      <x:c r="B295" s="191"/>
      <x:c r="C295" s="191"/>
      <x:c r="D295" s="191"/>
      <x:c r="E295" s="191"/>
      <x:c r="F295" s="191"/>
      <x:c r="G295" s="191"/>
      <x:c r="H295" s="191"/>
      <x:c r="I295" s="191"/>
      <x:c r="J295" s="191"/>
      <x:c r="K295" s="191"/>
      <x:c r="L295" s="191"/>
      <x:c r="M295" s="191"/>
      <x:c r="N295" s="191"/>
      <x:c r="O295" s="191"/>
      <x:c r="P295" s="191"/>
      <x:c r="Q295" s="191"/>
      <x:c r="R295" s="191"/>
      <x:c r="S295" s="191"/>
      <x:c r="T295" s="191"/>
      <x:c r="U295" s="191"/>
      <x:c r="V295" s="191"/>
      <x:c r="W295" s="191"/>
      <x:c r="X295" s="191"/>
      <x:c r="Y295" s="191"/>
      <x:c r="Z295" s="191"/>
      <x:c r="AA295" s="191"/>
      <x:c r="AB295" s="191"/>
      <x:c r="AC295" s="191"/>
      <x:c r="AD295" s="191"/>
      <x:c r="AE295" s="191"/>
      <x:c r="AF295" s="191"/>
      <x:c r="AG295" s="191"/>
      <x:c r="AH295" s="191"/>
      <x:c r="AI295" s="191"/>
      <x:c r="AJ295" s="191"/>
      <x:c r="AK295" s="191"/>
    </x:row>
    <x:row r="296">
      <x:c r="A296" s="191"/>
      <x:c r="B296" s="191"/>
      <x:c r="C296" s="191"/>
      <x:c r="D296" s="191"/>
      <x:c r="E296" s="191"/>
      <x:c r="F296" s="191"/>
      <x:c r="G296" s="191"/>
      <x:c r="H296" s="191"/>
      <x:c r="I296" s="191"/>
      <x:c r="J296" s="191"/>
      <x:c r="K296" s="191"/>
      <x:c r="L296" s="191"/>
      <x:c r="M296" s="191"/>
      <x:c r="N296" s="191"/>
      <x:c r="O296" s="191"/>
      <x:c r="P296" s="191"/>
      <x:c r="Q296" s="191"/>
      <x:c r="R296" s="191"/>
      <x:c r="S296" s="191"/>
      <x:c r="T296" s="191"/>
      <x:c r="U296" s="191"/>
      <x:c r="V296" s="191"/>
      <x:c r="W296" s="191"/>
      <x:c r="X296" s="191"/>
      <x:c r="Y296" s="191"/>
      <x:c r="Z296" s="191"/>
      <x:c r="AA296" s="191"/>
      <x:c r="AB296" s="191"/>
      <x:c r="AC296" s="191"/>
      <x:c r="AD296" s="191"/>
      <x:c r="AE296" s="191"/>
      <x:c r="AF296" s="191"/>
      <x:c r="AG296" s="191"/>
      <x:c r="AH296" s="191"/>
      <x:c r="AI296" s="191"/>
      <x:c r="AJ296" s="191"/>
      <x:c r="AK296" s="191"/>
    </x:row>
    <x:row r="297">
      <x:c r="A297" s="191"/>
      <x:c r="B297" s="191"/>
      <x:c r="C297" s="191"/>
      <x:c r="D297" s="191"/>
      <x:c r="E297" s="191"/>
      <x:c r="F297" s="191"/>
      <x:c r="G297" s="191"/>
      <x:c r="H297" s="191"/>
      <x:c r="I297" s="191"/>
      <x:c r="J297" s="191"/>
      <x:c r="K297" s="191"/>
      <x:c r="L297" s="191"/>
      <x:c r="M297" s="191"/>
      <x:c r="N297" s="191"/>
      <x:c r="O297" s="191"/>
      <x:c r="P297" s="191"/>
      <x:c r="Q297" s="191"/>
      <x:c r="R297" s="191"/>
      <x:c r="S297" s="191"/>
      <x:c r="T297" s="191"/>
      <x:c r="U297" s="191"/>
      <x:c r="V297" s="191"/>
      <x:c r="W297" s="191"/>
      <x:c r="X297" s="191"/>
      <x:c r="Y297" s="191"/>
      <x:c r="Z297" s="191"/>
      <x:c r="AA297" s="191"/>
      <x:c r="AB297" s="191"/>
      <x:c r="AC297" s="191"/>
      <x:c r="AD297" s="191"/>
      <x:c r="AE297" s="191"/>
      <x:c r="AF297" s="191"/>
      <x:c r="AG297" s="191"/>
      <x:c r="AH297" s="191"/>
      <x:c r="AI297" s="191"/>
      <x:c r="AJ297" s="191"/>
      <x:c r="AK297" s="191"/>
    </x:row>
    <x:row r="298">
      <x:c r="A298" s="191"/>
      <x:c r="B298" s="191"/>
      <x:c r="C298" s="191"/>
      <x:c r="D298" s="191"/>
      <x:c r="E298" s="191"/>
      <x:c r="F298" s="191"/>
      <x:c r="G298" s="191"/>
      <x:c r="H298" s="191"/>
      <x:c r="I298" s="191"/>
      <x:c r="J298" s="191"/>
      <x:c r="K298" s="191"/>
      <x:c r="L298" s="191"/>
      <x:c r="M298" s="191"/>
      <x:c r="N298" s="191"/>
      <x:c r="O298" s="191"/>
      <x:c r="P298" s="191"/>
      <x:c r="Q298" s="191"/>
      <x:c r="R298" s="191"/>
      <x:c r="S298" s="191"/>
      <x:c r="T298" s="191"/>
      <x:c r="U298" s="191"/>
      <x:c r="V298" s="191"/>
      <x:c r="W298" s="191"/>
      <x:c r="X298" s="191"/>
      <x:c r="Y298" s="191"/>
      <x:c r="Z298" s="191"/>
      <x:c r="AA298" s="191"/>
      <x:c r="AB298" s="191"/>
      <x:c r="AC298" s="191"/>
      <x:c r="AD298" s="191"/>
      <x:c r="AE298" s="191"/>
      <x:c r="AF298" s="191"/>
      <x:c r="AG298" s="191"/>
      <x:c r="AH298" s="191"/>
      <x:c r="AI298" s="191"/>
      <x:c r="AJ298" s="191"/>
      <x:c r="AK298" s="191"/>
    </x:row>
    <x:row r="299">
      <x:c r="A299" s="191"/>
      <x:c r="B299" s="191"/>
      <x:c r="C299" s="191"/>
      <x:c r="D299" s="191"/>
      <x:c r="E299" s="191"/>
      <x:c r="F299" s="191"/>
      <x:c r="G299" s="191"/>
      <x:c r="H299" s="191"/>
      <x:c r="I299" s="191"/>
      <x:c r="J299" s="191"/>
      <x:c r="K299" s="191"/>
      <x:c r="L299" s="191"/>
      <x:c r="M299" s="191"/>
      <x:c r="N299" s="191"/>
      <x:c r="O299" s="191"/>
      <x:c r="P299" s="191"/>
      <x:c r="Q299" s="191"/>
      <x:c r="R299" s="191"/>
      <x:c r="S299" s="191"/>
      <x:c r="T299" s="191"/>
      <x:c r="U299" s="191"/>
      <x:c r="V299" s="191"/>
      <x:c r="W299" s="191"/>
      <x:c r="X299" s="191"/>
      <x:c r="Y299" s="191"/>
      <x:c r="Z299" s="191"/>
      <x:c r="AA299" s="191"/>
      <x:c r="AB299" s="191"/>
      <x:c r="AC299" s="191"/>
      <x:c r="AD299" s="191"/>
      <x:c r="AE299" s="191"/>
      <x:c r="AF299" s="191"/>
      <x:c r="AG299" s="191"/>
      <x:c r="AH299" s="191"/>
      <x:c r="AI299" s="191"/>
      <x:c r="AJ299" s="191"/>
      <x:c r="AK299" s="191"/>
    </x:row>
    <x:row r="300">
      <x:c r="A300" s="191"/>
      <x:c r="B300" s="191"/>
      <x:c r="C300" s="191"/>
      <x:c r="D300" s="191"/>
      <x:c r="E300" s="191"/>
      <x:c r="F300" s="191"/>
      <x:c r="G300" s="191"/>
      <x:c r="H300" s="191"/>
      <x:c r="I300" s="191"/>
      <x:c r="J300" s="191"/>
      <x:c r="K300" s="191"/>
      <x:c r="L300" s="191"/>
      <x:c r="M300" s="191"/>
      <x:c r="N300" s="191"/>
      <x:c r="O300" s="191"/>
      <x:c r="P300" s="191"/>
      <x:c r="Q300" s="191"/>
      <x:c r="R300" s="191"/>
      <x:c r="S300" s="191"/>
      <x:c r="T300" s="191"/>
      <x:c r="U300" s="191"/>
      <x:c r="V300" s="191"/>
      <x:c r="W300" s="191"/>
      <x:c r="X300" s="191"/>
      <x:c r="Y300" s="191"/>
      <x:c r="Z300" s="191"/>
      <x:c r="AA300" s="191"/>
      <x:c r="AB300" s="191"/>
      <x:c r="AC300" s="191"/>
      <x:c r="AD300" s="191"/>
      <x:c r="AE300" s="191"/>
      <x:c r="AF300" s="191"/>
      <x:c r="AG300" s="191"/>
      <x:c r="AH300" s="191"/>
      <x:c r="AI300" s="191"/>
      <x:c r="AJ300" s="191"/>
      <x:c r="AK300" s="191"/>
    </x:row>
  </x:sheetData>
  <x:mergeCells>
    <x:mergeCell ref="A1:AK1"/>
    <x:mergeCell ref="A4:AK4"/>
    <x:mergeCell ref="A5:K5"/>
    <x:mergeCell ref="M5:W5"/>
    <x:mergeCell ref="Y5:AI5"/>
    <x:mergeCell ref="A20:AK20"/>
    <x:mergeCell ref="A21:K21"/>
    <x:mergeCell ref="M21:W21"/>
    <x:mergeCell ref="Y21:AI21"/>
    <x:mergeCell ref="A36:AK36"/>
    <x:mergeCell ref="A37:K37"/>
    <x:mergeCell ref="M37:W37"/>
    <x:mergeCell ref="Y37:AI37"/>
    <x:mergeCell ref="A53:AK53"/>
    <x:mergeCell ref="A54:AK5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50" hidden="0" customWidth="1"/>
    <x:col min="7" max="7" width="50" hidden="0" customWidth="1"/>
    <x:col min="8" max="8" width="50" hidden="0" customWidth="1"/>
    <x:col min="9" max="9" width="27" hidden="0" customWidth="1"/>
    <x:col min="10" max="10" width="10" hidden="0" customWidth="1"/>
  </x:cols>
  <x:sheetData>
    <x:row r="1" ht="28" customHeight="1">
      <x:c r="A1" s="5" t="str">
        <x:v>Sequential 10×10 Swaption Surface Build — One Expiry Row per Step</x:v>
      </x:c>
      <x:c r="B1" s="5"/>
      <x:c r="C1" s="5"/>
      <x:c r="D1" s="5"/>
      <x:c r="E1" s="5"/>
      <x:c r="F1" s="5"/>
      <x:c r="G1" s="5"/>
      <x:c r="H1" s="5"/>
      <x:c r="I1" s="5"/>
      <x:c r="J1" s="5"/>
      <x:c r="K1" s="191"/>
      <x:c r="L1" s="191"/>
      <x:c r="M1" s="191"/>
      <x:c r="N1" s="191"/>
      <x:c r="O1" s="191"/>
      <x:c r="P1" s="191"/>
      <x:c r="Q1" s="191"/>
      <x:c r="R1" s="191"/>
      <x:c r="S1" s="191"/>
      <x:c r="T1" s="191"/>
      <x:c r="U1" s="191"/>
      <x:c r="V1" s="191"/>
      <x:c r="W1" s="191"/>
      <x:c r="X1" s="191"/>
      <x:c r="Y1" s="191"/>
      <x:c r="Z1" s="191"/>
      <x:c r="AA1" s="191"/>
      <x:c r="AB1" s="191"/>
      <x:c r="AC1" s="191"/>
      <x:c r="AD1" s="191"/>
      <x:c r="AE1" s="191"/>
      <x:c r="AF1" s="191"/>
      <x:c r="AG1" s="191"/>
      <x:c r="AH1" s="191"/>
      <x:c r="AI1" s="191"/>
      <x:c r="AJ1" s="191"/>
      <x:c r="AK1" s="191"/>
    </x:row>
    <x:row r="2">
      <x:c r="A2" s="191"/>
      <x:c r="B2" s="191"/>
      <x:c r="C2" s="191"/>
      <x:c r="D2" s="191"/>
      <x:c r="E2" s="191"/>
      <x:c r="F2" s="191"/>
      <x:c r="G2" s="191"/>
      <x:c r="H2" s="191"/>
      <x:c r="I2" s="191"/>
      <x:c r="J2" s="191"/>
      <x:c r="K2" s="191"/>
      <x:c r="L2" s="191"/>
      <x:c r="M2" s="191"/>
      <x:c r="N2" s="191"/>
      <x:c r="O2" s="191"/>
      <x:c r="P2" s="191"/>
      <x:c r="Q2" s="191"/>
      <x:c r="R2" s="191"/>
      <x:c r="S2" s="191"/>
      <x:c r="T2" s="191"/>
      <x:c r="U2" s="191"/>
      <x:c r="V2" s="191"/>
      <x:c r="W2" s="191"/>
      <x:c r="X2" s="191"/>
      <x:c r="Y2" s="191"/>
      <x:c r="Z2" s="191"/>
      <x:c r="AA2" s="191"/>
      <x:c r="AB2" s="191"/>
      <x:c r="AC2" s="191"/>
      <x:c r="AD2" s="191"/>
      <x:c r="AE2" s="191"/>
      <x:c r="AF2" s="191"/>
      <x:c r="AG2" s="191"/>
      <x:c r="AH2" s="191"/>
      <x:c r="AI2" s="191"/>
      <x:c r="AJ2" s="191"/>
      <x:c r="AK2" s="191"/>
    </x:row>
    <x:row r="3">
      <x:c r="A3" s="45" t="str">
        <x:v>Step</x:v>
      </x:c>
      <x:c r="B3" s="45" t="str">
        <x:v>Expiry Row Added</x:v>
      </x:c>
      <x:c r="C3" s="45" t="str">
        <x:v>Prior ATM Object</x:v>
      </x:c>
      <x:c r="D3" s="45" t="str">
        <x:v>Prior RHO Object</x:v>
      </x:c>
      <x:c r="E3" s="45" t="str">
        <x:v>Prior NU Object</x:v>
      </x:c>
      <x:c r="F3" s="45" t="str">
        <x:v>ATM UDF Call</x:v>
      </x:c>
      <x:c r="G3" s="45" t="str">
        <x:v>RHO UDF Call</x:v>
      </x:c>
      <x:c r="H3" s="45" t="str">
        <x:v>NU UDF Call</x:v>
      </x:c>
      <x:c r="I3" s="45" t="str">
        <x:v>Combined Output Object</x:v>
      </x:c>
      <x:c r="J3" s="45" t="str">
        <x:v>Final?</x:v>
      </x:c>
      <x:c r="K3" s="191"/>
      <x:c r="L3" s="191"/>
      <x:c r="M3" s="191"/>
      <x:c r="N3" s="191"/>
      <x:c r="O3" s="191"/>
      <x:c r="P3" s="191"/>
      <x:c r="Q3" s="191"/>
      <x:c r="R3" s="191"/>
      <x:c r="S3" s="191"/>
      <x:c r="T3" s="191"/>
      <x:c r="U3" s="191"/>
      <x:c r="V3" s="191"/>
      <x:c r="W3" s="191"/>
      <x:c r="X3" s="191"/>
      <x:c r="Y3" s="191"/>
      <x:c r="Z3" s="191"/>
      <x:c r="AA3" s="191"/>
      <x:c r="AB3" s="191"/>
      <x:c r="AC3" s="191"/>
      <x:c r="AD3" s="191"/>
      <x:c r="AE3" s="191"/>
      <x:c r="AF3" s="191"/>
      <x:c r="AG3" s="191"/>
      <x:c r="AH3" s="191"/>
      <x:c r="AI3" s="191"/>
      <x:c r="AJ3" s="191"/>
      <x:c r="AK3" s="191"/>
    </x:row>
    <x:row r="4">
      <x:c r="A4" s="219" t="n">
        <x:v>0</x:v>
      </x:c>
      <x:c r="B4" s="219" t="str">
        <x:v>Base</x:v>
      </x:c>
      <x:c r="C4" s="219" t="str">
        <x:v>Base_ATM</x:v>
      </x:c>
      <x:c r="D4" s="219" t="str">
        <x:v>Base_RHO</x:v>
      </x:c>
      <x:c r="E4" s="219" t="str">
        <x:v>Base_NU</x:v>
      </x:c>
      <x:c r="F4" s="219" t="str">
        <x:v>Base ATM surface</x:v>
      </x:c>
      <x:c r="G4" s="219" t="str">
        <x:v>Base RHO surface</x:v>
      </x:c>
      <x:c r="H4" s="219" t="str">
        <x:v>Base NU surface</x:v>
      </x:c>
      <x:c r="I4" s="219" t="str">
        <x:v>Base_Swabr_Swaption</x:v>
      </x:c>
      <x:c r="J4" s="219" t="str">
        <x:v>No</x:v>
      </x:c>
      <x:c r="K4" s="191"/>
      <x:c r="L4" s="191"/>
      <x:c r="M4" s="191"/>
      <x:c r="N4" s="191"/>
      <x:c r="O4" s="191"/>
      <x:c r="P4" s="191"/>
      <x:c r="Q4" s="191"/>
      <x:c r="R4" s="191"/>
      <x:c r="S4" s="191"/>
      <x:c r="T4" s="191"/>
      <x:c r="U4" s="191"/>
      <x:c r="V4" s="191"/>
      <x:c r="W4" s="191"/>
      <x:c r="X4" s="191"/>
      <x:c r="Y4" s="191"/>
      <x:c r="Z4" s="191"/>
      <x:c r="AA4" s="191"/>
      <x:c r="AB4" s="191"/>
      <x:c r="AC4" s="191"/>
      <x:c r="AD4" s="191"/>
      <x:c r="AE4" s="191"/>
      <x:c r="AF4" s="191"/>
      <x:c r="AG4" s="191"/>
      <x:c r="AH4" s="191"/>
      <x:c r="AI4" s="191"/>
      <x:c r="AJ4" s="191"/>
      <x:c r="AK4" s="191"/>
    </x:row>
    <x:row r="5">
      <x:c r="A5" s="221" t="n">
        <x:v>1</x:v>
      </x:c>
      <x:c r="B5" s="221" t="str">
        <x:v>1M</x:v>
      </x:c>
      <x:c r="C5" s="221" t="str">
        <x:v>Base_ATM</x:v>
      </x:c>
      <x:c r="D5" s="221" t="str">
        <x:v>Base_RHO</x:v>
      </x:c>
      <x:c r="E5" s="221" t="str">
        <x:v>Base_NU</x:v>
      </x:c>
      <x:c r="F5" s="223" t="str">
        <x:v>=gxlSABRSurfaceShift(Base_ATM, "1M_ExpiryRow", ATM_ShockRow_01)</x:v>
      </x:c>
      <x:c r="G5" s="223" t="str">
        <x:v>=gxlSABRSurfaceShift(Base_RHO, "1M_ExpiryRow", RHO_ShockRow_01)</x:v>
      </x:c>
      <x:c r="H5" s="223" t="str">
        <x:v>=gxlSABRSurfaceShift(Base_NU, "1M_ExpiryRow", NU_ShockRow_01)</x:v>
      </x:c>
      <x:c r="I5" s="224" t="str">
        <x:v>Swabr_Swaption_Step01</x:v>
      </x:c>
      <x:c r="J5" s="192" t="str">
        <x:v>No</x:v>
      </x:c>
      <x:c r="K5" s="191"/>
      <x:c r="L5" s="191"/>
      <x:c r="M5" s="191"/>
      <x:c r="N5" s="191"/>
      <x:c r="O5" s="191"/>
      <x:c r="P5" s="191"/>
      <x:c r="Q5" s="191"/>
      <x:c r="R5" s="191"/>
      <x:c r="S5" s="191"/>
      <x:c r="T5" s="191"/>
      <x:c r="U5" s="191"/>
      <x:c r="V5" s="191"/>
      <x:c r="W5" s="191"/>
      <x:c r="X5" s="191"/>
      <x:c r="Y5" s="191"/>
      <x:c r="Z5" s="191"/>
      <x:c r="AA5" s="191"/>
      <x:c r="AB5" s="191"/>
      <x:c r="AC5" s="191"/>
      <x:c r="AD5" s="191"/>
      <x:c r="AE5" s="191"/>
      <x:c r="AF5" s="191"/>
      <x:c r="AG5" s="191"/>
      <x:c r="AH5" s="191"/>
      <x:c r="AI5" s="191"/>
      <x:c r="AJ5" s="191"/>
      <x:c r="AK5" s="191"/>
    </x:row>
    <x:row r="6">
      <x:c r="A6" s="221" t="n">
        <x:v>2</x:v>
      </x:c>
      <x:c r="B6" s="221" t="str">
        <x:v>3M</x:v>
      </x:c>
      <x:c r="C6" s="221" t="str">
        <x:v>ATM_Step01</x:v>
      </x:c>
      <x:c r="D6" s="221" t="str">
        <x:v>RHO_Step01</x:v>
      </x:c>
      <x:c r="E6" s="221" t="str">
        <x:v>NU_Step01</x:v>
      </x:c>
      <x:c r="F6" s="223" t="str">
        <x:v>=gxlSABRSurfaceShift(ATM_Step01, "3M_ExpiryRow", ATM_ShockRow_02)</x:v>
      </x:c>
      <x:c r="G6" s="223" t="str">
        <x:v>=gxlSABRSurfaceShift(RHO_Step01, "3M_ExpiryRow", RHO_ShockRow_02)</x:v>
      </x:c>
      <x:c r="H6" s="223" t="str">
        <x:v>=gxlSABRSurfaceShift(NU_Step01, "3M_ExpiryRow", NU_ShockRow_02)</x:v>
      </x:c>
      <x:c r="I6" s="224" t="str">
        <x:v>Swabr_Swaption_Step02</x:v>
      </x:c>
      <x:c r="J6" s="192" t="str">
        <x:v>No</x:v>
      </x:c>
      <x:c r="K6" s="191"/>
      <x:c r="L6" s="191"/>
      <x:c r="M6" s="191"/>
      <x:c r="N6" s="191"/>
      <x:c r="O6" s="191"/>
      <x:c r="P6" s="191"/>
      <x:c r="Q6" s="191"/>
      <x:c r="R6" s="191"/>
      <x:c r="S6" s="191"/>
      <x:c r="T6" s="191"/>
      <x:c r="U6" s="191"/>
      <x:c r="V6" s="191"/>
      <x:c r="W6" s="191"/>
      <x:c r="X6" s="191"/>
      <x:c r="Y6" s="191"/>
      <x:c r="Z6" s="191"/>
      <x:c r="AA6" s="191"/>
      <x:c r="AB6" s="191"/>
      <x:c r="AC6" s="191"/>
      <x:c r="AD6" s="191"/>
      <x:c r="AE6" s="191"/>
      <x:c r="AF6" s="191"/>
      <x:c r="AG6" s="191"/>
      <x:c r="AH6" s="191"/>
      <x:c r="AI6" s="191"/>
      <x:c r="AJ6" s="191"/>
      <x:c r="AK6" s="191"/>
    </x:row>
    <x:row r="7">
      <x:c r="A7" s="221" t="n">
        <x:v>3</x:v>
      </x:c>
      <x:c r="B7" s="221" t="str">
        <x:v>6M</x:v>
      </x:c>
      <x:c r="C7" s="221" t="str">
        <x:v>ATM_Step02</x:v>
      </x:c>
      <x:c r="D7" s="221" t="str">
        <x:v>RHO_Step02</x:v>
      </x:c>
      <x:c r="E7" s="221" t="str">
        <x:v>NU_Step02</x:v>
      </x:c>
      <x:c r="F7" s="223" t="str">
        <x:v>=gxlSABRSurfaceShift(ATM_Step02, "6M_ExpiryRow", ATM_ShockRow_03)</x:v>
      </x:c>
      <x:c r="G7" s="223" t="str">
        <x:v>=gxlSABRSurfaceShift(RHO_Step02, "6M_ExpiryRow", RHO_ShockRow_03)</x:v>
      </x:c>
      <x:c r="H7" s="223" t="str">
        <x:v>=gxlSABRSurfaceShift(NU_Step02, "6M_ExpiryRow", NU_ShockRow_03)</x:v>
      </x:c>
      <x:c r="I7" s="224" t="str">
        <x:v>Swabr_Swaption_Step03</x:v>
      </x:c>
      <x:c r="J7" s="192" t="str">
        <x:v>No</x:v>
      </x:c>
      <x:c r="K7" s="191"/>
      <x:c r="L7" s="191"/>
      <x:c r="M7" s="191"/>
      <x:c r="N7" s="191"/>
      <x:c r="O7" s="191"/>
      <x:c r="P7" s="191"/>
      <x:c r="Q7" s="191"/>
      <x:c r="R7" s="191"/>
      <x:c r="S7" s="191"/>
      <x:c r="T7" s="191"/>
      <x:c r="U7" s="191"/>
      <x:c r="V7" s="191"/>
      <x:c r="W7" s="191"/>
      <x:c r="X7" s="191"/>
      <x:c r="Y7" s="191"/>
      <x:c r="Z7" s="191"/>
      <x:c r="AA7" s="191"/>
      <x:c r="AB7" s="191"/>
      <x:c r="AC7" s="191"/>
      <x:c r="AD7" s="191"/>
      <x:c r="AE7" s="191"/>
      <x:c r="AF7" s="191"/>
      <x:c r="AG7" s="191"/>
      <x:c r="AH7" s="191"/>
      <x:c r="AI7" s="191"/>
      <x:c r="AJ7" s="191"/>
      <x:c r="AK7" s="191"/>
    </x:row>
    <x:row r="8">
      <x:c r="A8" s="221" t="n">
        <x:v>4</x:v>
      </x:c>
      <x:c r="B8" s="221" t="str">
        <x:v>1Y</x:v>
      </x:c>
      <x:c r="C8" s="221" t="str">
        <x:v>ATM_Step03</x:v>
      </x:c>
      <x:c r="D8" s="221" t="str">
        <x:v>RHO_Step03</x:v>
      </x:c>
      <x:c r="E8" s="221" t="str">
        <x:v>NU_Step03</x:v>
      </x:c>
      <x:c r="F8" s="223" t="str">
        <x:v>=gxlSABRSurfaceShift(ATM_Step03, "1Y_ExpiryRow", ATM_ShockRow_04)</x:v>
      </x:c>
      <x:c r="G8" s="223" t="str">
        <x:v>=gxlSABRSurfaceShift(RHO_Step03, "1Y_ExpiryRow", RHO_ShockRow_04)</x:v>
      </x:c>
      <x:c r="H8" s="223" t="str">
        <x:v>=gxlSABRSurfaceShift(NU_Step03, "1Y_ExpiryRow", NU_ShockRow_04)</x:v>
      </x:c>
      <x:c r="I8" s="224" t="str">
        <x:v>Swabr_Swaption_Step04</x:v>
      </x:c>
      <x:c r="J8" s="192" t="str">
        <x:v>No</x:v>
      </x:c>
      <x:c r="K8" s="191"/>
      <x:c r="L8" s="191"/>
      <x:c r="M8" s="191"/>
      <x:c r="N8" s="191"/>
      <x:c r="O8" s="191"/>
      <x:c r="P8" s="191"/>
      <x:c r="Q8" s="191"/>
      <x:c r="R8" s="191"/>
      <x:c r="S8" s="191"/>
      <x:c r="T8" s="191"/>
      <x:c r="U8" s="191"/>
      <x:c r="V8" s="191"/>
      <x:c r="W8" s="191"/>
      <x:c r="X8" s="191"/>
      <x:c r="Y8" s="191"/>
      <x:c r="Z8" s="191"/>
      <x:c r="AA8" s="191"/>
      <x:c r="AB8" s="191"/>
      <x:c r="AC8" s="191"/>
      <x:c r="AD8" s="191"/>
      <x:c r="AE8" s="191"/>
      <x:c r="AF8" s="191"/>
      <x:c r="AG8" s="191"/>
      <x:c r="AH8" s="191"/>
      <x:c r="AI8" s="191"/>
      <x:c r="AJ8" s="191"/>
      <x:c r="AK8" s="191"/>
    </x:row>
    <x:row r="9">
      <x:c r="A9" s="221" t="n">
        <x:v>5</x:v>
      </x:c>
      <x:c r="B9" s="221" t="str">
        <x:v>2Y</x:v>
      </x:c>
      <x:c r="C9" s="221" t="str">
        <x:v>ATM_Step04</x:v>
      </x:c>
      <x:c r="D9" s="221" t="str">
        <x:v>RHO_Step04</x:v>
      </x:c>
      <x:c r="E9" s="221" t="str">
        <x:v>NU_Step04</x:v>
      </x:c>
      <x:c r="F9" s="223" t="str">
        <x:v>=gxlSABRSurfaceShift(ATM_Step04, "2Y_ExpiryRow", ATM_ShockRow_05)</x:v>
      </x:c>
      <x:c r="G9" s="223" t="str">
        <x:v>=gxlSABRSurfaceShift(RHO_Step04, "2Y_ExpiryRow", RHO_ShockRow_05)</x:v>
      </x:c>
      <x:c r="H9" s="223" t="str">
        <x:v>=gxlSABRSurfaceShift(NU_Step04, "2Y_ExpiryRow", NU_ShockRow_05)</x:v>
      </x:c>
      <x:c r="I9" s="224" t="str">
        <x:v>Swabr_Swaption_Step05</x:v>
      </x:c>
      <x:c r="J9" s="192" t="str">
        <x:v>No</x:v>
      </x:c>
      <x:c r="K9" s="191"/>
      <x:c r="L9" s="191"/>
      <x:c r="M9" s="191"/>
      <x:c r="N9" s="191"/>
      <x:c r="O9" s="191"/>
      <x:c r="P9" s="191"/>
      <x:c r="Q9" s="191"/>
      <x:c r="R9" s="191"/>
      <x:c r="S9" s="191"/>
      <x:c r="T9" s="191"/>
      <x:c r="U9" s="191"/>
      <x:c r="V9" s="191"/>
      <x:c r="W9" s="191"/>
      <x:c r="X9" s="191"/>
      <x:c r="Y9" s="191"/>
      <x:c r="Z9" s="191"/>
      <x:c r="AA9" s="191"/>
      <x:c r="AB9" s="191"/>
      <x:c r="AC9" s="191"/>
      <x:c r="AD9" s="191"/>
      <x:c r="AE9" s="191"/>
      <x:c r="AF9" s="191"/>
      <x:c r="AG9" s="191"/>
      <x:c r="AH9" s="191"/>
      <x:c r="AI9" s="191"/>
      <x:c r="AJ9" s="191"/>
      <x:c r="AK9" s="191"/>
    </x:row>
    <x:row r="10">
      <x:c r="A10" s="221" t="n">
        <x:v>6</x:v>
      </x:c>
      <x:c r="B10" s="221" t="str">
        <x:v>3Y</x:v>
      </x:c>
      <x:c r="C10" s="221" t="str">
        <x:v>ATM_Step05</x:v>
      </x:c>
      <x:c r="D10" s="221" t="str">
        <x:v>RHO_Step05</x:v>
      </x:c>
      <x:c r="E10" s="221" t="str">
        <x:v>NU_Step05</x:v>
      </x:c>
      <x:c r="F10" s="223" t="str">
        <x:v>=gxlSABRSurfaceShift(ATM_Step05, "3Y_ExpiryRow", ATM_ShockRow_06)</x:v>
      </x:c>
      <x:c r="G10" s="223" t="str">
        <x:v>=gxlSABRSurfaceShift(RHO_Step05, "3Y_ExpiryRow", RHO_ShockRow_06)</x:v>
      </x:c>
      <x:c r="H10" s="223" t="str">
        <x:v>=gxlSABRSurfaceShift(NU_Step05, "3Y_ExpiryRow", NU_ShockRow_06)</x:v>
      </x:c>
      <x:c r="I10" s="224" t="str">
        <x:v>Swabr_Swaption_Step06</x:v>
      </x:c>
      <x:c r="J10" s="192" t="str">
        <x:v>No</x:v>
      </x:c>
      <x:c r="K10" s="191"/>
      <x:c r="L10" s="191"/>
      <x:c r="M10" s="191"/>
      <x:c r="N10" s="191"/>
      <x:c r="O10" s="191"/>
      <x:c r="P10" s="191"/>
      <x:c r="Q10" s="191"/>
      <x:c r="R10" s="191"/>
      <x:c r="S10" s="191"/>
      <x:c r="T10" s="191"/>
      <x:c r="U10" s="191"/>
      <x:c r="V10" s="191"/>
      <x:c r="W10" s="191"/>
      <x:c r="X10" s="191"/>
      <x:c r="Y10" s="191"/>
      <x:c r="Z10" s="191"/>
      <x:c r="AA10" s="191"/>
      <x:c r="AB10" s="191"/>
      <x:c r="AC10" s="191"/>
      <x:c r="AD10" s="191"/>
      <x:c r="AE10" s="191"/>
      <x:c r="AF10" s="191"/>
      <x:c r="AG10" s="191"/>
      <x:c r="AH10" s="191"/>
      <x:c r="AI10" s="191"/>
      <x:c r="AJ10" s="191"/>
      <x:c r="AK10" s="191"/>
    </x:row>
    <x:row r="11">
      <x:c r="A11" s="221" t="n">
        <x:v>7</x:v>
      </x:c>
      <x:c r="B11" s="221" t="str">
        <x:v>5Y</x:v>
      </x:c>
      <x:c r="C11" s="221" t="str">
        <x:v>ATM_Step06</x:v>
      </x:c>
      <x:c r="D11" s="221" t="str">
        <x:v>RHO_Step06</x:v>
      </x:c>
      <x:c r="E11" s="221" t="str">
        <x:v>NU_Step06</x:v>
      </x:c>
      <x:c r="F11" s="223" t="str">
        <x:v>=gxlSABRSurfaceShift(ATM_Step06, "5Y_ExpiryRow", ATM_ShockRow_07)</x:v>
      </x:c>
      <x:c r="G11" s="223" t="str">
        <x:v>=gxlSABRSurfaceShift(RHO_Step06, "5Y_ExpiryRow", RHO_ShockRow_07)</x:v>
      </x:c>
      <x:c r="H11" s="223" t="str">
        <x:v>=gxlSABRSurfaceShift(NU_Step06, "5Y_ExpiryRow", NU_ShockRow_07)</x:v>
      </x:c>
      <x:c r="I11" s="224" t="str">
        <x:v>Swabr_Swaption_Step07</x:v>
      </x:c>
      <x:c r="J11" s="192" t="str">
        <x:v>No</x:v>
      </x:c>
      <x:c r="K11" s="191"/>
      <x:c r="L11" s="191"/>
      <x:c r="M11" s="191"/>
      <x:c r="N11" s="191"/>
      <x:c r="O11" s="191"/>
      <x:c r="P11" s="191"/>
      <x:c r="Q11" s="191"/>
      <x:c r="R11" s="191"/>
      <x:c r="S11" s="191"/>
      <x:c r="T11" s="191"/>
      <x:c r="U11" s="191"/>
      <x:c r="V11" s="191"/>
      <x:c r="W11" s="191"/>
      <x:c r="X11" s="191"/>
      <x:c r="Y11" s="191"/>
      <x:c r="Z11" s="191"/>
      <x:c r="AA11" s="191"/>
      <x:c r="AB11" s="191"/>
      <x:c r="AC11" s="191"/>
      <x:c r="AD11" s="191"/>
      <x:c r="AE11" s="191"/>
      <x:c r="AF11" s="191"/>
      <x:c r="AG11" s="191"/>
      <x:c r="AH11" s="191"/>
      <x:c r="AI11" s="191"/>
      <x:c r="AJ11" s="191"/>
      <x:c r="AK11" s="191"/>
    </x:row>
    <x:row r="12">
      <x:c r="A12" s="221" t="n">
        <x:v>8</x:v>
      </x:c>
      <x:c r="B12" s="221" t="str">
        <x:v>10Y</x:v>
      </x:c>
      <x:c r="C12" s="221" t="str">
        <x:v>ATM_Step07</x:v>
      </x:c>
      <x:c r="D12" s="221" t="str">
        <x:v>RHO_Step07</x:v>
      </x:c>
      <x:c r="E12" s="221" t="str">
        <x:v>NU_Step07</x:v>
      </x:c>
      <x:c r="F12" s="223" t="str">
        <x:v>=gxlSABRSurfaceShift(ATM_Step07, "10Y_ExpiryRow", ATM_ShockRow_08)</x:v>
      </x:c>
      <x:c r="G12" s="223" t="str">
        <x:v>=gxlSABRSurfaceShift(RHO_Step07, "10Y_ExpiryRow", RHO_ShockRow_08)</x:v>
      </x:c>
      <x:c r="H12" s="223" t="str">
        <x:v>=gxlSABRSurfaceShift(NU_Step07, "10Y_ExpiryRow", NU_ShockRow_08)</x:v>
      </x:c>
      <x:c r="I12" s="224" t="str">
        <x:v>Swabr_Swaption_Step08</x:v>
      </x:c>
      <x:c r="J12" s="192" t="str">
        <x:v>No</x:v>
      </x:c>
      <x:c r="K12" s="191"/>
      <x:c r="L12" s="191"/>
      <x:c r="M12" s="191"/>
      <x:c r="N12" s="191"/>
      <x:c r="O12" s="191"/>
      <x:c r="P12" s="191"/>
      <x:c r="Q12" s="191"/>
      <x:c r="R12" s="191"/>
      <x:c r="S12" s="191"/>
      <x:c r="T12" s="191"/>
      <x:c r="U12" s="191"/>
      <x:c r="V12" s="191"/>
      <x:c r="W12" s="191"/>
      <x:c r="X12" s="191"/>
      <x:c r="Y12" s="191"/>
      <x:c r="Z12" s="191"/>
      <x:c r="AA12" s="191"/>
      <x:c r="AB12" s="191"/>
      <x:c r="AC12" s="191"/>
      <x:c r="AD12" s="191"/>
      <x:c r="AE12" s="191"/>
      <x:c r="AF12" s="191"/>
      <x:c r="AG12" s="191"/>
      <x:c r="AH12" s="191"/>
      <x:c r="AI12" s="191"/>
      <x:c r="AJ12" s="191"/>
      <x:c r="AK12" s="191"/>
    </x:row>
    <x:row r="13">
      <x:c r="A13" s="221" t="n">
        <x:v>9</x:v>
      </x:c>
      <x:c r="B13" s="221" t="str">
        <x:v>20Y</x:v>
      </x:c>
      <x:c r="C13" s="221" t="str">
        <x:v>ATM_Step08</x:v>
      </x:c>
      <x:c r="D13" s="221" t="str">
        <x:v>RHO_Step08</x:v>
      </x:c>
      <x:c r="E13" s="221" t="str">
        <x:v>NU_Step08</x:v>
      </x:c>
      <x:c r="F13" s="223" t="str">
        <x:v>=gxlSABRSurfaceShift(ATM_Step08, "20Y_ExpiryRow", ATM_ShockRow_09)</x:v>
      </x:c>
      <x:c r="G13" s="223" t="str">
        <x:v>=gxlSABRSurfaceShift(RHO_Step08, "20Y_ExpiryRow", RHO_ShockRow_09)</x:v>
      </x:c>
      <x:c r="H13" s="223" t="str">
        <x:v>=gxlSABRSurfaceShift(NU_Step08, "20Y_ExpiryRow", NU_ShockRow_09)</x:v>
      </x:c>
      <x:c r="I13" s="224" t="str">
        <x:v>Swabr_Swaption_Step09</x:v>
      </x:c>
      <x:c r="J13" s="192" t="str">
        <x:v>No</x:v>
      </x:c>
      <x:c r="K13" s="191"/>
      <x:c r="L13" s="191"/>
      <x:c r="M13" s="191"/>
      <x:c r="N13" s="191"/>
      <x:c r="O13" s="191"/>
      <x:c r="P13" s="191"/>
      <x:c r="Q13" s="191"/>
      <x:c r="R13" s="191"/>
      <x:c r="S13" s="191"/>
      <x:c r="T13" s="191"/>
      <x:c r="U13" s="191"/>
      <x:c r="V13" s="191"/>
      <x:c r="W13" s="191"/>
      <x:c r="X13" s="191"/>
      <x:c r="Y13" s="191"/>
      <x:c r="Z13" s="191"/>
      <x:c r="AA13" s="191"/>
      <x:c r="AB13" s="191"/>
      <x:c r="AC13" s="191"/>
      <x:c r="AD13" s="191"/>
      <x:c r="AE13" s="191"/>
      <x:c r="AF13" s="191"/>
      <x:c r="AG13" s="191"/>
      <x:c r="AH13" s="191"/>
      <x:c r="AI13" s="191"/>
      <x:c r="AJ13" s="191"/>
      <x:c r="AK13" s="191"/>
    </x:row>
    <x:row r="14">
      <x:c r="A14" s="203" t="n">
        <x:v>10</x:v>
      </x:c>
      <x:c r="B14" s="203" t="str">
        <x:v>30Y</x:v>
      </x:c>
      <x:c r="C14" s="203" t="str">
        <x:v>ATM_Step09</x:v>
      </x:c>
      <x:c r="D14" s="203" t="str">
        <x:v>RHO_Step09</x:v>
      </x:c>
      <x:c r="E14" s="203" t="str">
        <x:v>NU_Step09</x:v>
      </x:c>
      <x:c r="F14" s="203" t="str">
        <x:v>=gxlSABRSurfaceShift(ATM_Step09, "30Y_ExpiryRow", ATM_ShockRow_10)</x:v>
      </x:c>
      <x:c r="G14" s="203" t="str">
        <x:v>=gxlSABRSurfaceShift(RHO_Step09, "30Y_ExpiryRow", RHO_ShockRow_10)</x:v>
      </x:c>
      <x:c r="H14" s="203" t="str">
        <x:v>=gxlSABRSurfaceShift(NU_Step09, "30Y_ExpiryRow", NU_ShockRow_10)</x:v>
      </x:c>
      <x:c r="I14" s="203" t="str">
        <x:v>Swabr_Swaption_Step10</x:v>
      </x:c>
      <x:c r="J14" s="203" t="str">
        <x:v>Yes</x:v>
      </x:c>
      <x:c r="K14" s="191"/>
      <x:c r="L14" s="191"/>
      <x:c r="M14" s="191"/>
      <x:c r="N14" s="191"/>
      <x:c r="O14" s="191"/>
      <x:c r="P14" s="191"/>
      <x:c r="Q14" s="191"/>
      <x:c r="R14" s="191"/>
      <x:c r="S14" s="191"/>
      <x:c r="T14" s="191"/>
      <x:c r="U14" s="191"/>
      <x:c r="V14" s="191"/>
      <x:c r="W14" s="191"/>
      <x:c r="X14" s="191"/>
      <x:c r="Y14" s="191"/>
      <x:c r="Z14" s="191"/>
      <x:c r="AA14" s="191"/>
      <x:c r="AB14" s="191"/>
      <x:c r="AC14" s="191"/>
      <x:c r="AD14" s="191"/>
      <x:c r="AE14" s="191"/>
      <x:c r="AF14" s="191"/>
      <x:c r="AG14" s="191"/>
      <x:c r="AH14" s="191"/>
      <x:c r="AI14" s="191"/>
      <x:c r="AJ14" s="191"/>
      <x:c r="AK14" s="191"/>
    </x:row>
    <x:row r="15">
      <x:c r="A15" s="191"/>
      <x:c r="B15" s="191"/>
      <x:c r="C15" s="191"/>
      <x:c r="D15" s="191"/>
      <x:c r="E15" s="191"/>
      <x:c r="F15" s="191"/>
      <x:c r="G15" s="191"/>
      <x:c r="H15" s="191"/>
      <x:c r="I15" s="191"/>
      <x:c r="J15" s="191"/>
      <x:c r="K15" s="191"/>
      <x:c r="L15" s="191"/>
      <x:c r="M15" s="191"/>
      <x:c r="N15" s="191"/>
      <x:c r="O15" s="191"/>
      <x:c r="P15" s="191"/>
      <x:c r="Q15" s="191"/>
      <x:c r="R15" s="191"/>
      <x:c r="S15" s="191"/>
      <x:c r="T15" s="191"/>
      <x:c r="U15" s="191"/>
      <x:c r="V15" s="191"/>
      <x:c r="W15" s="191"/>
      <x:c r="X15" s="191"/>
      <x:c r="Y15" s="191"/>
      <x:c r="Z15" s="191"/>
      <x:c r="AA15" s="191"/>
      <x:c r="AB15" s="191"/>
      <x:c r="AC15" s="191"/>
      <x:c r="AD15" s="191"/>
      <x:c r="AE15" s="191"/>
      <x:c r="AF15" s="191"/>
      <x:c r="AG15" s="191"/>
      <x:c r="AH15" s="191"/>
      <x:c r="AI15" s="191"/>
      <x:c r="AJ15" s="191"/>
      <x:c r="AK15" s="191"/>
    </x:row>
    <x:row r="16">
      <x:c r="A16" s="191"/>
      <x:c r="B16" s="191"/>
      <x:c r="C16" s="191"/>
      <x:c r="D16" s="191"/>
      <x:c r="E16" s="191"/>
      <x:c r="F16" s="191"/>
      <x:c r="G16" s="191"/>
      <x:c r="H16" s="191"/>
      <x:c r="I16" s="191"/>
      <x:c r="J16" s="191"/>
      <x:c r="K16" s="191"/>
      <x:c r="L16" s="191"/>
      <x:c r="M16" s="191"/>
      <x:c r="N16" s="191"/>
      <x:c r="O16" s="191"/>
      <x:c r="P16" s="191"/>
      <x:c r="Q16" s="191"/>
      <x:c r="R16" s="191"/>
      <x:c r="S16" s="191"/>
      <x:c r="T16" s="191"/>
      <x:c r="U16" s="191"/>
      <x:c r="V16" s="191"/>
      <x:c r="W16" s="191"/>
      <x:c r="X16" s="191"/>
      <x:c r="Y16" s="191"/>
      <x:c r="Z16" s="191"/>
      <x:c r="AA16" s="191"/>
      <x:c r="AB16" s="191"/>
      <x:c r="AC16" s="191"/>
      <x:c r="AD16" s="191"/>
      <x:c r="AE16" s="191"/>
      <x:c r="AF16" s="191"/>
      <x:c r="AG16" s="191"/>
      <x:c r="AH16" s="191"/>
      <x:c r="AI16" s="191"/>
      <x:c r="AJ16" s="191"/>
      <x:c r="AK16" s="191"/>
    </x:row>
    <x:row r="17">
      <x:c r="A17" s="191"/>
      <x:c r="B17" s="191"/>
      <x:c r="C17" s="191"/>
      <x:c r="D17" s="191"/>
      <x:c r="E17" s="191"/>
      <x:c r="F17" s="191"/>
      <x:c r="G17" s="191"/>
      <x:c r="H17" s="191"/>
      <x:c r="I17" s="191"/>
      <x:c r="J17" s="191"/>
      <x:c r="K17" s="191"/>
      <x:c r="L17" s="191"/>
      <x:c r="M17" s="191"/>
      <x:c r="N17" s="191"/>
      <x:c r="O17" s="191"/>
      <x:c r="P17" s="191"/>
      <x:c r="Q17" s="191"/>
      <x:c r="R17" s="191"/>
      <x:c r="S17" s="191"/>
      <x:c r="T17" s="191"/>
      <x:c r="U17" s="191"/>
      <x:c r="V17" s="191"/>
      <x:c r="W17" s="191"/>
      <x:c r="X17" s="191"/>
      <x:c r="Y17" s="191"/>
      <x:c r="Z17" s="191"/>
      <x:c r="AA17" s="191"/>
      <x:c r="AB17" s="191"/>
      <x:c r="AC17" s="191"/>
      <x:c r="AD17" s="191"/>
      <x:c r="AE17" s="191"/>
      <x:c r="AF17" s="191"/>
      <x:c r="AG17" s="191"/>
      <x:c r="AH17" s="191"/>
      <x:c r="AI17" s="191"/>
      <x:c r="AJ17" s="191"/>
      <x:c r="AK17" s="191"/>
    </x:row>
    <x:row r="18">
      <x:c r="A18" s="191"/>
      <x:c r="B18" s="191"/>
      <x:c r="C18" s="191"/>
      <x:c r="D18" s="191"/>
      <x:c r="E18" s="191"/>
      <x:c r="F18" s="191"/>
      <x:c r="G18" s="191"/>
      <x:c r="H18" s="191"/>
      <x:c r="I18" s="191"/>
      <x:c r="J18" s="191"/>
      <x:c r="K18" s="191"/>
      <x:c r="L18" s="191"/>
      <x:c r="M18" s="191"/>
      <x:c r="N18" s="191"/>
      <x:c r="O18" s="191"/>
      <x:c r="P18" s="191"/>
      <x:c r="Q18" s="191"/>
      <x:c r="R18" s="191"/>
      <x:c r="S18" s="191"/>
      <x:c r="T18" s="191"/>
      <x:c r="U18" s="191"/>
      <x:c r="V18" s="191"/>
      <x:c r="W18" s="191"/>
      <x:c r="X18" s="191"/>
      <x:c r="Y18" s="191"/>
      <x:c r="Z18" s="191"/>
      <x:c r="AA18" s="191"/>
      <x:c r="AB18" s="191"/>
      <x:c r="AC18" s="191"/>
      <x:c r="AD18" s="191"/>
      <x:c r="AE18" s="191"/>
      <x:c r="AF18" s="191"/>
      <x:c r="AG18" s="191"/>
      <x:c r="AH18" s="191"/>
      <x:c r="AI18" s="191"/>
      <x:c r="AJ18" s="191"/>
      <x:c r="AK18" s="191"/>
    </x:row>
    <x:row r="19">
      <x:c r="A19" s="191"/>
      <x:c r="B19" s="191"/>
      <x:c r="C19" s="191"/>
      <x:c r="D19" s="191"/>
      <x:c r="E19" s="191"/>
      <x:c r="F19" s="191"/>
      <x:c r="G19" s="191"/>
      <x:c r="H19" s="191"/>
      <x:c r="I19" s="191"/>
      <x:c r="J19" s="191"/>
      <x:c r="K19" s="191"/>
      <x:c r="L19" s="191"/>
      <x:c r="M19" s="191"/>
      <x:c r="N19" s="191"/>
      <x:c r="O19" s="191"/>
      <x:c r="P19" s="191"/>
      <x:c r="Q19" s="191"/>
      <x:c r="R19" s="191"/>
      <x:c r="S19" s="191"/>
      <x:c r="T19" s="191"/>
      <x:c r="U19" s="191"/>
      <x:c r="V19" s="191"/>
      <x:c r="W19" s="191"/>
      <x:c r="X19" s="191"/>
      <x:c r="Y19" s="191"/>
      <x:c r="Z19" s="191"/>
      <x:c r="AA19" s="191"/>
      <x:c r="AB19" s="191"/>
      <x:c r="AC19" s="191"/>
      <x:c r="AD19" s="191"/>
      <x:c r="AE19" s="191"/>
      <x:c r="AF19" s="191"/>
      <x:c r="AG19" s="191"/>
      <x:c r="AH19" s="191"/>
      <x:c r="AI19" s="191"/>
      <x:c r="AJ19" s="191"/>
      <x:c r="AK19" s="191"/>
    </x:row>
    <x:row r="20">
      <x:c r="A20" s="191"/>
      <x:c r="B20" s="191"/>
      <x:c r="C20" s="191"/>
      <x:c r="D20" s="191"/>
      <x:c r="E20" s="191"/>
      <x:c r="F20" s="191"/>
      <x:c r="G20" s="191"/>
      <x:c r="H20" s="191"/>
      <x:c r="I20" s="191"/>
      <x:c r="J20" s="191"/>
      <x:c r="K20" s="191"/>
      <x:c r="L20" s="191"/>
      <x:c r="M20" s="191"/>
      <x:c r="N20" s="191"/>
      <x:c r="O20" s="191"/>
      <x:c r="P20" s="191"/>
      <x:c r="Q20" s="191"/>
      <x:c r="R20" s="191"/>
      <x:c r="S20" s="191"/>
      <x:c r="T20" s="191"/>
      <x:c r="U20" s="191"/>
      <x:c r="V20" s="191"/>
      <x:c r="W20" s="191"/>
      <x:c r="X20" s="191"/>
      <x:c r="Y20" s="191"/>
      <x:c r="Z20" s="191"/>
      <x:c r="AA20" s="191"/>
      <x:c r="AB20" s="191"/>
      <x:c r="AC20" s="191"/>
      <x:c r="AD20" s="191"/>
      <x:c r="AE20" s="191"/>
      <x:c r="AF20" s="191"/>
      <x:c r="AG20" s="191"/>
      <x:c r="AH20" s="191"/>
      <x:c r="AI20" s="191"/>
      <x:c r="AJ20" s="191"/>
      <x:c r="AK20" s="191"/>
    </x:row>
    <x:row r="21">
      <x:c r="A21" s="191"/>
      <x:c r="B21" s="191"/>
      <x:c r="C21" s="191"/>
      <x:c r="D21" s="191"/>
      <x:c r="E21" s="191"/>
      <x:c r="F21" s="191"/>
      <x:c r="G21" s="191"/>
      <x:c r="H21" s="191"/>
      <x:c r="I21" s="191"/>
      <x:c r="J21" s="191"/>
      <x:c r="K21" s="191"/>
      <x:c r="L21" s="191"/>
      <x:c r="M21" s="191"/>
      <x:c r="N21" s="191"/>
      <x:c r="O21" s="191"/>
      <x:c r="P21" s="191"/>
      <x:c r="Q21" s="191"/>
      <x:c r="R21" s="191"/>
      <x:c r="S21" s="191"/>
      <x:c r="T21" s="191"/>
      <x:c r="U21" s="191"/>
      <x:c r="V21" s="191"/>
      <x:c r="W21" s="191"/>
      <x:c r="X21" s="191"/>
      <x:c r="Y21" s="191"/>
      <x:c r="Z21" s="191"/>
      <x:c r="AA21" s="191"/>
      <x:c r="AB21" s="191"/>
      <x:c r="AC21" s="191"/>
      <x:c r="AD21" s="191"/>
      <x:c r="AE21" s="191"/>
      <x:c r="AF21" s="191"/>
      <x:c r="AG21" s="191"/>
      <x:c r="AH21" s="191"/>
      <x:c r="AI21" s="191"/>
      <x:c r="AJ21" s="191"/>
      <x:c r="AK21" s="191"/>
    </x:row>
    <x:row r="22">
      <x:c r="A22" s="191"/>
      <x:c r="B22" s="191"/>
      <x:c r="C22" s="191"/>
      <x:c r="D22" s="191"/>
      <x:c r="E22" s="191"/>
      <x:c r="F22" s="191"/>
      <x:c r="G22" s="191"/>
      <x:c r="H22" s="191"/>
      <x:c r="I22" s="191"/>
      <x:c r="J22" s="191"/>
      <x:c r="K22" s="191"/>
      <x:c r="L22" s="191"/>
      <x:c r="M22" s="191"/>
      <x:c r="N22" s="191"/>
      <x:c r="O22" s="191"/>
      <x:c r="P22" s="191"/>
      <x:c r="Q22" s="191"/>
      <x:c r="R22" s="191"/>
      <x:c r="S22" s="191"/>
      <x:c r="T22" s="191"/>
      <x:c r="U22" s="191"/>
      <x:c r="V22" s="191"/>
      <x:c r="W22" s="191"/>
      <x:c r="X22" s="191"/>
      <x:c r="Y22" s="191"/>
      <x:c r="Z22" s="191"/>
      <x:c r="AA22" s="191"/>
      <x:c r="AB22" s="191"/>
      <x:c r="AC22" s="191"/>
      <x:c r="AD22" s="191"/>
      <x:c r="AE22" s="191"/>
      <x:c r="AF22" s="191"/>
      <x:c r="AG22" s="191"/>
      <x:c r="AH22" s="191"/>
      <x:c r="AI22" s="191"/>
      <x:c r="AJ22" s="191"/>
      <x:c r="AK22" s="191"/>
    </x:row>
    <x:row r="23">
      <x:c r="A23" s="191"/>
      <x:c r="B23" s="191"/>
      <x:c r="C23" s="191"/>
      <x:c r="D23" s="191"/>
      <x:c r="E23" s="191"/>
      <x:c r="F23" s="191"/>
      <x:c r="G23" s="191"/>
      <x:c r="H23" s="191"/>
      <x:c r="I23" s="191"/>
      <x:c r="J23" s="191"/>
      <x:c r="K23" s="191"/>
      <x:c r="L23" s="191"/>
      <x:c r="M23" s="191"/>
      <x:c r="N23" s="191"/>
      <x:c r="O23" s="191"/>
      <x:c r="P23" s="191"/>
      <x:c r="Q23" s="191"/>
      <x:c r="R23" s="191"/>
      <x:c r="S23" s="191"/>
      <x:c r="T23" s="191"/>
      <x:c r="U23" s="191"/>
      <x:c r="V23" s="191"/>
      <x:c r="W23" s="191"/>
      <x:c r="X23" s="191"/>
      <x:c r="Y23" s="191"/>
      <x:c r="Z23" s="191"/>
      <x:c r="AA23" s="191"/>
      <x:c r="AB23" s="191"/>
      <x:c r="AC23" s="191"/>
      <x:c r="AD23" s="191"/>
      <x:c r="AE23" s="191"/>
      <x:c r="AF23" s="191"/>
      <x:c r="AG23" s="191"/>
      <x:c r="AH23" s="191"/>
      <x:c r="AI23" s="191"/>
      <x:c r="AJ23" s="191"/>
      <x:c r="AK23" s="191"/>
    </x:row>
    <x:row r="24">
      <x:c r="A24" s="191"/>
      <x:c r="B24" s="191"/>
      <x:c r="C24" s="191"/>
      <x:c r="D24" s="191"/>
      <x:c r="E24" s="191"/>
      <x:c r="F24" s="191"/>
      <x:c r="G24" s="191"/>
      <x:c r="H24" s="191"/>
      <x:c r="I24" s="191"/>
      <x:c r="J24" s="191"/>
      <x:c r="K24" s="191"/>
      <x:c r="L24" s="191"/>
      <x:c r="M24" s="191"/>
      <x:c r="N24" s="191"/>
      <x:c r="O24" s="191"/>
      <x:c r="P24" s="191"/>
      <x:c r="Q24" s="191"/>
      <x:c r="R24" s="191"/>
      <x:c r="S24" s="191"/>
      <x:c r="T24" s="191"/>
      <x:c r="U24" s="191"/>
      <x:c r="V24" s="191"/>
      <x:c r="W24" s="191"/>
      <x:c r="X24" s="191"/>
      <x:c r="Y24" s="191"/>
      <x:c r="Z24" s="191"/>
      <x:c r="AA24" s="191"/>
      <x:c r="AB24" s="191"/>
      <x:c r="AC24" s="191"/>
      <x:c r="AD24" s="191"/>
      <x:c r="AE24" s="191"/>
      <x:c r="AF24" s="191"/>
      <x:c r="AG24" s="191"/>
      <x:c r="AH24" s="191"/>
      <x:c r="AI24" s="191"/>
      <x:c r="AJ24" s="191"/>
      <x:c r="AK24" s="191"/>
    </x:row>
    <x:row r="25">
      <x:c r="A25" s="191"/>
      <x:c r="B25" s="191"/>
      <x:c r="C25" s="191"/>
      <x:c r="D25" s="191"/>
      <x:c r="E25" s="191"/>
      <x:c r="F25" s="191"/>
      <x:c r="G25" s="191"/>
      <x:c r="H25" s="191"/>
      <x:c r="I25" s="191"/>
      <x:c r="J25" s="191"/>
      <x:c r="K25" s="191"/>
      <x:c r="L25" s="191"/>
      <x:c r="M25" s="191"/>
      <x:c r="N25" s="191"/>
      <x:c r="O25" s="191"/>
      <x:c r="P25" s="191"/>
      <x:c r="Q25" s="191"/>
      <x:c r="R25" s="191"/>
      <x:c r="S25" s="191"/>
      <x:c r="T25" s="191"/>
      <x:c r="U25" s="191"/>
      <x:c r="V25" s="191"/>
      <x:c r="W25" s="191"/>
      <x:c r="X25" s="191"/>
      <x:c r="Y25" s="191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</x:row>
    <x:row r="26">
      <x:c r="A26" s="191"/>
      <x:c r="B26" s="191"/>
      <x:c r="C26" s="191"/>
      <x:c r="D26" s="191"/>
      <x:c r="E26" s="191"/>
      <x:c r="F26" s="191"/>
      <x:c r="G26" s="191"/>
      <x:c r="H26" s="191"/>
      <x:c r="I26" s="191"/>
      <x:c r="J26" s="191"/>
      <x:c r="K26" s="191"/>
      <x:c r="L26" s="191"/>
      <x:c r="M26" s="191"/>
      <x:c r="N26" s="191"/>
      <x:c r="O26" s="191"/>
      <x:c r="P26" s="191"/>
      <x:c r="Q26" s="191"/>
      <x:c r="R26" s="191"/>
      <x:c r="S26" s="191"/>
      <x:c r="T26" s="191"/>
      <x:c r="U26" s="191"/>
      <x:c r="V26" s="191"/>
      <x:c r="W26" s="191"/>
      <x:c r="X26" s="191"/>
      <x:c r="Y26" s="191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</x:row>
    <x:row r="27">
      <x:c r="A27" s="191"/>
      <x:c r="B27" s="191"/>
      <x:c r="C27" s="191"/>
      <x:c r="D27" s="191"/>
      <x:c r="E27" s="191"/>
      <x:c r="F27" s="191"/>
      <x:c r="G27" s="191"/>
      <x:c r="H27" s="191"/>
      <x:c r="I27" s="191"/>
      <x:c r="J27" s="191"/>
      <x:c r="K27" s="191"/>
      <x:c r="L27" s="191"/>
      <x:c r="M27" s="191"/>
      <x:c r="N27" s="191"/>
      <x:c r="O27" s="191"/>
      <x:c r="P27" s="191"/>
      <x:c r="Q27" s="191"/>
      <x:c r="R27" s="191"/>
      <x:c r="S27" s="191"/>
      <x:c r="T27" s="191"/>
      <x:c r="U27" s="191"/>
      <x:c r="V27" s="191"/>
      <x:c r="W27" s="191"/>
      <x:c r="X27" s="191"/>
      <x:c r="Y27" s="191"/>
      <x:c r="Z27" s="191"/>
      <x:c r="AA27" s="191"/>
      <x:c r="AB27" s="191"/>
      <x:c r="AC27" s="191"/>
      <x:c r="AD27" s="191"/>
      <x:c r="AE27" s="191"/>
      <x:c r="AF27" s="191"/>
      <x:c r="AG27" s="191"/>
      <x:c r="AH27" s="191"/>
      <x:c r="AI27" s="191"/>
      <x:c r="AJ27" s="191"/>
      <x:c r="AK27" s="191"/>
    </x:row>
    <x:row r="28">
      <x:c r="A28" s="191"/>
      <x:c r="B28" s="191"/>
      <x:c r="C28" s="191"/>
      <x:c r="D28" s="191"/>
      <x:c r="E28" s="191"/>
      <x:c r="F28" s="191"/>
      <x:c r="G28" s="191"/>
      <x:c r="H28" s="191"/>
      <x:c r="I28" s="191"/>
      <x:c r="J28" s="191"/>
      <x:c r="K28" s="191"/>
      <x:c r="L28" s="191"/>
      <x:c r="M28" s="191"/>
      <x:c r="N28" s="191"/>
      <x:c r="O28" s="191"/>
      <x:c r="P28" s="191"/>
      <x:c r="Q28" s="191"/>
      <x:c r="R28" s="191"/>
      <x:c r="S28" s="191"/>
      <x:c r="T28" s="191"/>
      <x:c r="U28" s="191"/>
      <x:c r="V28" s="191"/>
      <x:c r="W28" s="191"/>
      <x:c r="X28" s="191"/>
      <x:c r="Y28" s="191"/>
      <x:c r="Z28" s="191"/>
      <x:c r="AA28" s="191"/>
      <x:c r="AB28" s="191"/>
      <x:c r="AC28" s="191"/>
      <x:c r="AD28" s="191"/>
      <x:c r="AE28" s="191"/>
      <x:c r="AF28" s="191"/>
      <x:c r="AG28" s="191"/>
      <x:c r="AH28" s="191"/>
      <x:c r="AI28" s="191"/>
      <x:c r="AJ28" s="191"/>
      <x:c r="AK28" s="191"/>
    </x:row>
    <x:row r="29">
      <x:c r="A29" s="191"/>
      <x:c r="B29" s="191"/>
      <x:c r="C29" s="191"/>
      <x:c r="D29" s="191"/>
      <x:c r="E29" s="191"/>
      <x:c r="F29" s="191"/>
      <x:c r="G29" s="191"/>
      <x:c r="H29" s="191"/>
      <x:c r="I29" s="191"/>
      <x:c r="J29" s="191"/>
      <x:c r="K29" s="191"/>
      <x:c r="L29" s="191"/>
      <x:c r="M29" s="191"/>
      <x:c r="N29" s="191"/>
      <x:c r="O29" s="191"/>
      <x:c r="P29" s="191"/>
      <x:c r="Q29" s="191"/>
      <x:c r="R29" s="191"/>
      <x:c r="S29" s="191"/>
      <x:c r="T29" s="191"/>
      <x:c r="U29" s="191"/>
      <x:c r="V29" s="191"/>
      <x:c r="W29" s="191"/>
      <x:c r="X29" s="191"/>
      <x:c r="Y29" s="191"/>
      <x:c r="Z29" s="191"/>
      <x:c r="AA29" s="191"/>
      <x:c r="AB29" s="191"/>
      <x:c r="AC29" s="191"/>
      <x:c r="AD29" s="191"/>
      <x:c r="AE29" s="191"/>
      <x:c r="AF29" s="191"/>
      <x:c r="AG29" s="191"/>
      <x:c r="AH29" s="191"/>
      <x:c r="AI29" s="191"/>
      <x:c r="AJ29" s="191"/>
      <x:c r="AK29" s="191"/>
    </x:row>
    <x:row r="30">
      <x:c r="A30" s="191"/>
      <x:c r="B30" s="191"/>
      <x:c r="C30" s="191"/>
      <x:c r="D30" s="191"/>
      <x:c r="E30" s="191"/>
      <x:c r="F30" s="191"/>
      <x:c r="G30" s="191"/>
      <x:c r="H30" s="191"/>
      <x:c r="I30" s="191"/>
      <x:c r="J30" s="191"/>
      <x:c r="K30" s="191"/>
      <x:c r="L30" s="191"/>
      <x:c r="M30" s="191"/>
      <x:c r="N30" s="191"/>
      <x:c r="O30" s="191"/>
      <x:c r="P30" s="191"/>
      <x:c r="Q30" s="191"/>
      <x:c r="R30" s="191"/>
      <x:c r="S30" s="191"/>
      <x:c r="T30" s="191"/>
      <x:c r="U30" s="191"/>
      <x:c r="V30" s="191"/>
      <x:c r="W30" s="191"/>
      <x:c r="X30" s="191"/>
      <x:c r="Y30" s="191"/>
      <x:c r="Z30" s="191"/>
      <x:c r="AA30" s="191"/>
      <x:c r="AB30" s="191"/>
      <x:c r="AC30" s="191"/>
      <x:c r="AD30" s="191"/>
      <x:c r="AE30" s="191"/>
      <x:c r="AF30" s="191"/>
      <x:c r="AG30" s="191"/>
      <x:c r="AH30" s="191"/>
      <x:c r="AI30" s="191"/>
      <x:c r="AJ30" s="191"/>
      <x:c r="AK30" s="191"/>
    </x:row>
    <x:row r="31">
      <x:c r="A31" s="191"/>
      <x:c r="B31" s="191"/>
      <x:c r="C31" s="191"/>
      <x:c r="D31" s="191"/>
      <x:c r="E31" s="191"/>
      <x:c r="F31" s="191"/>
      <x:c r="G31" s="191"/>
      <x:c r="H31" s="191"/>
      <x:c r="I31" s="191"/>
      <x:c r="J31" s="191"/>
      <x:c r="K31" s="191"/>
      <x:c r="L31" s="191"/>
      <x:c r="M31" s="191"/>
      <x:c r="N31" s="191"/>
      <x:c r="O31" s="191"/>
      <x:c r="P31" s="191"/>
      <x:c r="Q31" s="191"/>
      <x:c r="R31" s="191"/>
      <x:c r="S31" s="191"/>
      <x:c r="T31" s="191"/>
      <x:c r="U31" s="191"/>
      <x:c r="V31" s="191"/>
      <x:c r="W31" s="191"/>
      <x:c r="X31" s="191"/>
      <x:c r="Y31" s="191"/>
      <x:c r="Z31" s="191"/>
      <x:c r="AA31" s="191"/>
      <x:c r="AB31" s="191"/>
      <x:c r="AC31" s="191"/>
      <x:c r="AD31" s="191"/>
      <x:c r="AE31" s="191"/>
      <x:c r="AF31" s="191"/>
      <x:c r="AG31" s="191"/>
      <x:c r="AH31" s="191"/>
      <x:c r="AI31" s="191"/>
      <x:c r="AJ31" s="191"/>
      <x:c r="AK31" s="191"/>
    </x:row>
    <x:row r="32">
      <x:c r="A32" s="191"/>
      <x:c r="B32" s="191"/>
      <x:c r="C32" s="191"/>
      <x:c r="D32" s="191"/>
      <x:c r="E32" s="191"/>
      <x:c r="F32" s="191"/>
      <x:c r="G32" s="191"/>
      <x:c r="H32" s="191"/>
      <x:c r="I32" s="191"/>
      <x:c r="J32" s="191"/>
      <x:c r="K32" s="191"/>
      <x:c r="L32" s="191"/>
      <x:c r="M32" s="191"/>
      <x:c r="N32" s="191"/>
      <x:c r="O32" s="191"/>
      <x:c r="P32" s="191"/>
      <x:c r="Q32" s="191"/>
      <x:c r="R32" s="191"/>
      <x:c r="S32" s="191"/>
      <x:c r="T32" s="191"/>
      <x:c r="U32" s="191"/>
      <x:c r="V32" s="191"/>
      <x:c r="W32" s="191"/>
      <x:c r="X32" s="191"/>
      <x:c r="Y32" s="191"/>
      <x:c r="Z32" s="191"/>
      <x:c r="AA32" s="191"/>
      <x:c r="AB32" s="191"/>
      <x:c r="AC32" s="191"/>
      <x:c r="AD32" s="191"/>
      <x:c r="AE32" s="191"/>
      <x:c r="AF32" s="191"/>
      <x:c r="AG32" s="191"/>
      <x:c r="AH32" s="191"/>
      <x:c r="AI32" s="191"/>
      <x:c r="AJ32" s="191"/>
      <x:c r="AK32" s="191"/>
    </x:row>
    <x:row r="33">
      <x:c r="A33" s="191"/>
      <x:c r="B33" s="191"/>
      <x:c r="C33" s="191"/>
      <x:c r="D33" s="191"/>
      <x:c r="E33" s="191"/>
      <x:c r="F33" s="191"/>
      <x:c r="G33" s="191"/>
      <x:c r="H33" s="191"/>
      <x:c r="I33" s="191"/>
      <x:c r="J33" s="191"/>
      <x:c r="K33" s="191"/>
      <x:c r="L33" s="191"/>
      <x:c r="M33" s="191"/>
      <x:c r="N33" s="191"/>
      <x:c r="O33" s="191"/>
      <x:c r="P33" s="191"/>
      <x:c r="Q33" s="191"/>
      <x:c r="R33" s="191"/>
      <x:c r="S33" s="191"/>
      <x:c r="T33" s="191"/>
      <x:c r="U33" s="191"/>
      <x:c r="V33" s="191"/>
      <x:c r="W33" s="191"/>
      <x:c r="X33" s="191"/>
      <x:c r="Y33" s="191"/>
      <x:c r="Z33" s="191"/>
      <x:c r="AA33" s="191"/>
      <x:c r="AB33" s="191"/>
      <x:c r="AC33" s="191"/>
      <x:c r="AD33" s="191"/>
      <x:c r="AE33" s="191"/>
      <x:c r="AF33" s="191"/>
      <x:c r="AG33" s="191"/>
      <x:c r="AH33" s="191"/>
      <x:c r="AI33" s="191"/>
      <x:c r="AJ33" s="191"/>
      <x:c r="AK33" s="191"/>
    </x:row>
    <x:row r="34">
      <x:c r="A34" s="191"/>
      <x:c r="B34" s="191"/>
      <x:c r="C34" s="191"/>
      <x:c r="D34" s="191"/>
      <x:c r="E34" s="191"/>
      <x:c r="F34" s="191"/>
      <x:c r="G34" s="191"/>
      <x:c r="H34" s="191"/>
      <x:c r="I34" s="191"/>
      <x:c r="J34" s="191"/>
      <x:c r="K34" s="191"/>
      <x:c r="L34" s="191"/>
      <x:c r="M34" s="191"/>
      <x:c r="N34" s="191"/>
      <x:c r="O34" s="191"/>
      <x:c r="P34" s="191"/>
      <x:c r="Q34" s="191"/>
      <x:c r="R34" s="191"/>
      <x:c r="S34" s="191"/>
      <x:c r="T34" s="191"/>
      <x:c r="U34" s="191"/>
      <x:c r="V34" s="191"/>
      <x:c r="W34" s="191"/>
      <x:c r="X34" s="191"/>
      <x:c r="Y34" s="191"/>
      <x:c r="Z34" s="191"/>
      <x:c r="AA34" s="191"/>
      <x:c r="AB34" s="191"/>
      <x:c r="AC34" s="191"/>
      <x:c r="AD34" s="191"/>
      <x:c r="AE34" s="191"/>
      <x:c r="AF34" s="191"/>
      <x:c r="AG34" s="191"/>
      <x:c r="AH34" s="191"/>
      <x:c r="AI34" s="191"/>
      <x:c r="AJ34" s="191"/>
      <x:c r="AK34" s="191"/>
    </x:row>
    <x:row r="35">
      <x:c r="A35" s="191"/>
      <x:c r="B35" s="191"/>
      <x:c r="C35" s="191"/>
      <x:c r="D35" s="191"/>
      <x:c r="E35" s="191"/>
      <x:c r="F35" s="191"/>
      <x:c r="G35" s="191"/>
      <x:c r="H35" s="191"/>
      <x:c r="I35" s="191"/>
      <x:c r="J35" s="191"/>
      <x:c r="K35" s="191"/>
      <x:c r="L35" s="191"/>
      <x:c r="M35" s="191"/>
      <x:c r="N35" s="191"/>
      <x:c r="O35" s="191"/>
      <x:c r="P35" s="191"/>
      <x:c r="Q35" s="191"/>
      <x:c r="R35" s="191"/>
      <x:c r="S35" s="191"/>
      <x:c r="T35" s="191"/>
      <x:c r="U35" s="191"/>
      <x:c r="V35" s="191"/>
      <x:c r="W35" s="191"/>
      <x:c r="X35" s="191"/>
      <x:c r="Y35" s="191"/>
      <x:c r="Z35" s="191"/>
      <x:c r="AA35" s="191"/>
      <x:c r="AB35" s="191"/>
      <x:c r="AC35" s="191"/>
      <x:c r="AD35" s="191"/>
      <x:c r="AE35" s="191"/>
      <x:c r="AF35" s="191"/>
      <x:c r="AG35" s="191"/>
      <x:c r="AH35" s="191"/>
      <x:c r="AI35" s="191"/>
      <x:c r="AJ35" s="191"/>
      <x:c r="AK35" s="191"/>
    </x:row>
    <x:row r="36">
      <x:c r="A36" s="191"/>
      <x:c r="B36" s="191"/>
      <x:c r="C36" s="191"/>
      <x:c r="D36" s="191"/>
      <x:c r="E36" s="191"/>
      <x:c r="F36" s="191"/>
      <x:c r="G36" s="191"/>
      <x:c r="H36" s="191"/>
      <x:c r="I36" s="191"/>
      <x:c r="J36" s="191"/>
      <x:c r="K36" s="191"/>
      <x:c r="L36" s="191"/>
      <x:c r="M36" s="191"/>
      <x:c r="N36" s="191"/>
      <x:c r="O36" s="191"/>
      <x:c r="P36" s="191"/>
      <x:c r="Q36" s="191"/>
      <x:c r="R36" s="191"/>
      <x:c r="S36" s="191"/>
      <x:c r="T36" s="191"/>
      <x:c r="U36" s="191"/>
      <x:c r="V36" s="191"/>
      <x:c r="W36" s="191"/>
      <x:c r="X36" s="191"/>
      <x:c r="Y36" s="191"/>
      <x:c r="Z36" s="191"/>
      <x:c r="AA36" s="191"/>
      <x:c r="AB36" s="191"/>
      <x:c r="AC36" s="191"/>
      <x:c r="AD36" s="191"/>
      <x:c r="AE36" s="191"/>
      <x:c r="AF36" s="191"/>
      <x:c r="AG36" s="191"/>
      <x:c r="AH36" s="191"/>
      <x:c r="AI36" s="191"/>
      <x:c r="AJ36" s="191"/>
      <x:c r="AK36" s="191"/>
    </x:row>
    <x:row r="37">
      <x:c r="A37" s="191"/>
      <x:c r="B37" s="191"/>
      <x:c r="C37" s="191"/>
      <x:c r="D37" s="191"/>
      <x:c r="E37" s="191"/>
      <x:c r="F37" s="191"/>
      <x:c r="G37" s="191"/>
      <x:c r="H37" s="191"/>
      <x:c r="I37" s="191"/>
      <x:c r="J37" s="191"/>
      <x:c r="K37" s="191"/>
      <x:c r="L37" s="191"/>
      <x:c r="M37" s="191"/>
      <x:c r="N37" s="191"/>
      <x:c r="O37" s="191"/>
      <x:c r="P37" s="191"/>
      <x:c r="Q37" s="191"/>
      <x:c r="R37" s="191"/>
      <x:c r="S37" s="191"/>
      <x:c r="T37" s="191"/>
      <x:c r="U37" s="191"/>
      <x:c r="V37" s="191"/>
      <x:c r="W37" s="191"/>
      <x:c r="X37" s="191"/>
      <x:c r="Y37" s="191"/>
      <x:c r="Z37" s="191"/>
      <x:c r="AA37" s="191"/>
      <x:c r="AB37" s="191"/>
      <x:c r="AC37" s="191"/>
      <x:c r="AD37" s="191"/>
      <x:c r="AE37" s="191"/>
      <x:c r="AF37" s="191"/>
      <x:c r="AG37" s="191"/>
      <x:c r="AH37" s="191"/>
      <x:c r="AI37" s="191"/>
      <x:c r="AJ37" s="191"/>
      <x:c r="AK37" s="191"/>
    </x:row>
    <x:row r="38">
      <x:c r="A38" s="191"/>
      <x:c r="B38" s="191"/>
      <x:c r="C38" s="191"/>
      <x:c r="D38" s="191"/>
      <x:c r="E38" s="191"/>
      <x:c r="F38" s="191"/>
      <x:c r="G38" s="191"/>
      <x:c r="H38" s="191"/>
      <x:c r="I38" s="191"/>
      <x:c r="J38" s="191"/>
      <x:c r="K38" s="191"/>
      <x:c r="L38" s="191"/>
      <x:c r="M38" s="191"/>
      <x:c r="N38" s="191"/>
      <x:c r="O38" s="191"/>
      <x:c r="P38" s="191"/>
      <x:c r="Q38" s="191"/>
      <x:c r="R38" s="191"/>
      <x:c r="S38" s="191"/>
      <x:c r="T38" s="191"/>
      <x:c r="U38" s="191"/>
      <x:c r="V38" s="191"/>
      <x:c r="W38" s="191"/>
      <x:c r="X38" s="191"/>
      <x:c r="Y38" s="191"/>
      <x:c r="Z38" s="191"/>
      <x:c r="AA38" s="191"/>
      <x:c r="AB38" s="191"/>
      <x:c r="AC38" s="191"/>
      <x:c r="AD38" s="191"/>
      <x:c r="AE38" s="191"/>
      <x:c r="AF38" s="191"/>
      <x:c r="AG38" s="191"/>
      <x:c r="AH38" s="191"/>
      <x:c r="AI38" s="191"/>
      <x:c r="AJ38" s="191"/>
      <x:c r="AK38" s="191"/>
    </x:row>
    <x:row r="39">
      <x:c r="A39" s="191"/>
      <x:c r="B39" s="191"/>
      <x:c r="C39" s="191"/>
      <x:c r="D39" s="191"/>
      <x:c r="E39" s="191"/>
      <x:c r="F39" s="191"/>
      <x:c r="G39" s="191"/>
      <x:c r="H39" s="191"/>
      <x:c r="I39" s="191"/>
      <x:c r="J39" s="191"/>
      <x:c r="K39" s="191"/>
      <x:c r="L39" s="191"/>
      <x:c r="M39" s="191"/>
      <x:c r="N39" s="191"/>
      <x:c r="O39" s="191"/>
      <x:c r="P39" s="191"/>
      <x:c r="Q39" s="191"/>
      <x:c r="R39" s="191"/>
      <x:c r="S39" s="191"/>
      <x:c r="T39" s="191"/>
      <x:c r="U39" s="191"/>
      <x:c r="V39" s="191"/>
      <x:c r="W39" s="191"/>
      <x:c r="X39" s="191"/>
      <x:c r="Y39" s="191"/>
      <x:c r="Z39" s="191"/>
      <x:c r="AA39" s="191"/>
      <x:c r="AB39" s="191"/>
      <x:c r="AC39" s="191"/>
      <x:c r="AD39" s="191"/>
      <x:c r="AE39" s="191"/>
      <x:c r="AF39" s="191"/>
      <x:c r="AG39" s="191"/>
      <x:c r="AH39" s="191"/>
      <x:c r="AI39" s="191"/>
      <x:c r="AJ39" s="191"/>
      <x:c r="AK39" s="191"/>
    </x:row>
    <x:row r="40">
      <x:c r="A40" s="191"/>
      <x:c r="B40" s="191"/>
      <x:c r="C40" s="191"/>
      <x:c r="D40" s="191"/>
      <x:c r="E40" s="191"/>
      <x:c r="F40" s="191"/>
      <x:c r="G40" s="191"/>
      <x:c r="H40" s="191"/>
      <x:c r="I40" s="191"/>
      <x:c r="J40" s="191"/>
      <x:c r="K40" s="191"/>
      <x:c r="L40" s="191"/>
      <x:c r="M40" s="191"/>
      <x:c r="N40" s="191"/>
      <x:c r="O40" s="191"/>
      <x:c r="P40" s="191"/>
      <x:c r="Q40" s="191"/>
      <x:c r="R40" s="191"/>
      <x:c r="S40" s="191"/>
      <x:c r="T40" s="191"/>
      <x:c r="U40" s="191"/>
      <x:c r="V40" s="191"/>
      <x:c r="W40" s="191"/>
      <x:c r="X40" s="191"/>
      <x:c r="Y40" s="191"/>
      <x:c r="Z40" s="191"/>
      <x:c r="AA40" s="191"/>
      <x:c r="AB40" s="191"/>
      <x:c r="AC40" s="191"/>
      <x:c r="AD40" s="191"/>
      <x:c r="AE40" s="191"/>
      <x:c r="AF40" s="191"/>
      <x:c r="AG40" s="191"/>
      <x:c r="AH40" s="191"/>
      <x:c r="AI40" s="191"/>
      <x:c r="AJ40" s="191"/>
      <x:c r="AK40" s="191"/>
    </x:row>
    <x:row r="41">
      <x:c r="A41" s="191"/>
      <x:c r="B41" s="191"/>
      <x:c r="C41" s="191"/>
      <x:c r="D41" s="191"/>
      <x:c r="E41" s="191"/>
      <x:c r="F41" s="191"/>
      <x:c r="G41" s="191"/>
      <x:c r="H41" s="191"/>
      <x:c r="I41" s="191"/>
      <x:c r="J41" s="191"/>
      <x:c r="K41" s="191"/>
      <x:c r="L41" s="191"/>
      <x:c r="M41" s="191"/>
      <x:c r="N41" s="191"/>
      <x:c r="O41" s="191"/>
      <x:c r="P41" s="191"/>
      <x:c r="Q41" s="191"/>
      <x:c r="R41" s="191"/>
      <x:c r="S41" s="191"/>
      <x:c r="T41" s="191"/>
      <x:c r="U41" s="191"/>
      <x:c r="V41" s="191"/>
      <x:c r="W41" s="191"/>
      <x:c r="X41" s="191"/>
      <x:c r="Y41" s="191"/>
      <x:c r="Z41" s="191"/>
      <x:c r="AA41" s="191"/>
      <x:c r="AB41" s="191"/>
      <x:c r="AC41" s="191"/>
      <x:c r="AD41" s="191"/>
      <x:c r="AE41" s="191"/>
      <x:c r="AF41" s="191"/>
      <x:c r="AG41" s="191"/>
      <x:c r="AH41" s="191"/>
      <x:c r="AI41" s="191"/>
      <x:c r="AJ41" s="191"/>
      <x:c r="AK41" s="191"/>
    </x:row>
    <x:row r="42">
      <x:c r="A42" s="191"/>
      <x:c r="B42" s="191"/>
      <x:c r="C42" s="191"/>
      <x:c r="D42" s="191"/>
      <x:c r="E42" s="191"/>
      <x:c r="F42" s="191"/>
      <x:c r="G42" s="191"/>
      <x:c r="H42" s="191"/>
      <x:c r="I42" s="191"/>
      <x:c r="J42" s="191"/>
      <x:c r="K42" s="191"/>
      <x:c r="L42" s="191"/>
      <x:c r="M42" s="191"/>
      <x:c r="N42" s="191"/>
      <x:c r="O42" s="191"/>
      <x:c r="P42" s="191"/>
      <x:c r="Q42" s="191"/>
      <x:c r="R42" s="191"/>
      <x:c r="S42" s="191"/>
      <x:c r="T42" s="191"/>
      <x:c r="U42" s="191"/>
      <x:c r="V42" s="191"/>
      <x:c r="W42" s="191"/>
      <x:c r="X42" s="191"/>
      <x:c r="Y42" s="191"/>
      <x:c r="Z42" s="191"/>
      <x:c r="AA42" s="191"/>
      <x:c r="AB42" s="191"/>
      <x:c r="AC42" s="191"/>
      <x:c r="AD42" s="191"/>
      <x:c r="AE42" s="191"/>
      <x:c r="AF42" s="191"/>
      <x:c r="AG42" s="191"/>
      <x:c r="AH42" s="191"/>
      <x:c r="AI42" s="191"/>
      <x:c r="AJ42" s="191"/>
      <x:c r="AK42" s="191"/>
    </x:row>
    <x:row r="43">
      <x:c r="A43" s="191"/>
      <x:c r="B43" s="191"/>
      <x:c r="C43" s="191"/>
      <x:c r="D43" s="191"/>
      <x:c r="E43" s="191"/>
      <x:c r="F43" s="191"/>
      <x:c r="G43" s="191"/>
      <x:c r="H43" s="191"/>
      <x:c r="I43" s="191"/>
      <x:c r="J43" s="191"/>
      <x:c r="K43" s="191"/>
      <x:c r="L43" s="191"/>
      <x:c r="M43" s="191"/>
      <x:c r="N43" s="191"/>
      <x:c r="O43" s="191"/>
      <x:c r="P43" s="191"/>
      <x:c r="Q43" s="191"/>
      <x:c r="R43" s="191"/>
      <x:c r="S43" s="191"/>
      <x:c r="T43" s="191"/>
      <x:c r="U43" s="191"/>
      <x:c r="V43" s="191"/>
      <x:c r="W43" s="191"/>
      <x:c r="X43" s="191"/>
      <x:c r="Y43" s="191"/>
      <x:c r="Z43" s="191"/>
      <x:c r="AA43" s="191"/>
      <x:c r="AB43" s="191"/>
      <x:c r="AC43" s="191"/>
      <x:c r="AD43" s="191"/>
      <x:c r="AE43" s="191"/>
      <x:c r="AF43" s="191"/>
      <x:c r="AG43" s="191"/>
      <x:c r="AH43" s="191"/>
      <x:c r="AI43" s="191"/>
      <x:c r="AJ43" s="191"/>
      <x:c r="AK43" s="191"/>
    </x:row>
    <x:row r="44">
      <x:c r="A44" s="191"/>
      <x:c r="B44" s="191"/>
      <x:c r="C44" s="191"/>
      <x:c r="D44" s="191"/>
      <x:c r="E44" s="191"/>
      <x:c r="F44" s="191"/>
      <x:c r="G44" s="191"/>
      <x:c r="H44" s="191"/>
      <x:c r="I44" s="191"/>
      <x:c r="J44" s="191"/>
      <x:c r="K44" s="191"/>
      <x:c r="L44" s="191"/>
      <x:c r="M44" s="191"/>
      <x:c r="N44" s="191"/>
      <x:c r="O44" s="191"/>
      <x:c r="P44" s="191"/>
      <x:c r="Q44" s="191"/>
      <x:c r="R44" s="191"/>
      <x:c r="S44" s="191"/>
      <x:c r="T44" s="191"/>
      <x:c r="U44" s="191"/>
      <x:c r="V44" s="191"/>
      <x:c r="W44" s="191"/>
      <x:c r="X44" s="191"/>
      <x:c r="Y44" s="191"/>
      <x:c r="Z44" s="191"/>
      <x:c r="AA44" s="191"/>
      <x:c r="AB44" s="191"/>
      <x:c r="AC44" s="191"/>
      <x:c r="AD44" s="191"/>
      <x:c r="AE44" s="191"/>
      <x:c r="AF44" s="191"/>
      <x:c r="AG44" s="191"/>
      <x:c r="AH44" s="191"/>
      <x:c r="AI44" s="191"/>
      <x:c r="AJ44" s="191"/>
      <x:c r="AK44" s="191"/>
    </x:row>
    <x:row r="45">
      <x:c r="A45" s="191"/>
      <x:c r="B45" s="191"/>
      <x:c r="C45" s="191"/>
      <x:c r="D45" s="191"/>
      <x:c r="E45" s="191"/>
      <x:c r="F45" s="191"/>
      <x:c r="G45" s="191"/>
      <x:c r="H45" s="191"/>
      <x:c r="I45" s="191"/>
      <x:c r="J45" s="191"/>
      <x:c r="K45" s="191"/>
      <x:c r="L45" s="191"/>
      <x:c r="M45" s="191"/>
      <x:c r="N45" s="191"/>
      <x:c r="O45" s="191"/>
      <x:c r="P45" s="191"/>
      <x:c r="Q45" s="191"/>
      <x:c r="R45" s="191"/>
      <x:c r="S45" s="191"/>
      <x:c r="T45" s="191"/>
      <x:c r="U45" s="191"/>
      <x:c r="V45" s="191"/>
      <x:c r="W45" s="191"/>
      <x:c r="X45" s="191"/>
      <x:c r="Y45" s="191"/>
      <x:c r="Z45" s="191"/>
      <x:c r="AA45" s="191"/>
      <x:c r="AB45" s="191"/>
      <x:c r="AC45" s="191"/>
      <x:c r="AD45" s="191"/>
      <x:c r="AE45" s="191"/>
      <x:c r="AF45" s="191"/>
      <x:c r="AG45" s="191"/>
      <x:c r="AH45" s="191"/>
      <x:c r="AI45" s="191"/>
      <x:c r="AJ45" s="191"/>
      <x:c r="AK45" s="191"/>
    </x:row>
    <x:row r="46">
      <x:c r="A46" s="191"/>
      <x:c r="B46" s="191"/>
      <x:c r="C46" s="191"/>
      <x:c r="D46" s="191"/>
      <x:c r="E46" s="191"/>
      <x:c r="F46" s="191"/>
      <x:c r="G46" s="191"/>
      <x:c r="H46" s="191"/>
      <x:c r="I46" s="191"/>
      <x:c r="J46" s="191"/>
      <x:c r="K46" s="191"/>
      <x:c r="L46" s="191"/>
      <x:c r="M46" s="191"/>
      <x:c r="N46" s="191"/>
      <x:c r="O46" s="191"/>
      <x:c r="P46" s="191"/>
      <x:c r="Q46" s="191"/>
      <x:c r="R46" s="191"/>
      <x:c r="S46" s="191"/>
      <x:c r="T46" s="191"/>
      <x:c r="U46" s="191"/>
      <x:c r="V46" s="191"/>
      <x:c r="W46" s="191"/>
      <x:c r="X46" s="191"/>
      <x:c r="Y46" s="191"/>
      <x:c r="Z46" s="191"/>
      <x:c r="AA46" s="191"/>
      <x:c r="AB46" s="191"/>
      <x:c r="AC46" s="191"/>
      <x:c r="AD46" s="191"/>
      <x:c r="AE46" s="191"/>
      <x:c r="AF46" s="191"/>
      <x:c r="AG46" s="191"/>
      <x:c r="AH46" s="191"/>
      <x:c r="AI46" s="191"/>
      <x:c r="AJ46" s="191"/>
      <x:c r="AK46" s="191"/>
    </x:row>
    <x:row r="47">
      <x:c r="A47" s="191"/>
      <x:c r="B47" s="191"/>
      <x:c r="C47" s="191"/>
      <x:c r="D47" s="191"/>
      <x:c r="E47" s="191"/>
      <x:c r="F47" s="191"/>
      <x:c r="G47" s="191"/>
      <x:c r="H47" s="191"/>
      <x:c r="I47" s="191"/>
      <x:c r="J47" s="191"/>
      <x:c r="K47" s="191"/>
      <x:c r="L47" s="191"/>
      <x:c r="M47" s="191"/>
      <x:c r="N47" s="191"/>
      <x:c r="O47" s="191"/>
      <x:c r="P47" s="191"/>
      <x:c r="Q47" s="191"/>
      <x:c r="R47" s="191"/>
      <x:c r="S47" s="191"/>
      <x:c r="T47" s="191"/>
      <x:c r="U47" s="191"/>
      <x:c r="V47" s="191"/>
      <x:c r="W47" s="191"/>
      <x:c r="X47" s="191"/>
      <x:c r="Y47" s="191"/>
      <x:c r="Z47" s="191"/>
      <x:c r="AA47" s="191"/>
      <x:c r="AB47" s="191"/>
      <x:c r="AC47" s="191"/>
      <x:c r="AD47" s="191"/>
      <x:c r="AE47" s="191"/>
      <x:c r="AF47" s="191"/>
      <x:c r="AG47" s="191"/>
      <x:c r="AH47" s="191"/>
      <x:c r="AI47" s="191"/>
      <x:c r="AJ47" s="191"/>
      <x:c r="AK47" s="191"/>
    </x:row>
    <x:row r="48">
      <x:c r="A48" s="191"/>
      <x:c r="B48" s="191"/>
      <x:c r="C48" s="191"/>
      <x:c r="D48" s="191"/>
      <x:c r="E48" s="191"/>
      <x:c r="F48" s="191"/>
      <x:c r="G48" s="191"/>
      <x:c r="H48" s="191"/>
      <x:c r="I48" s="191"/>
      <x:c r="J48" s="191"/>
      <x:c r="K48" s="191"/>
      <x:c r="L48" s="191"/>
      <x:c r="M48" s="191"/>
      <x:c r="N48" s="191"/>
      <x:c r="O48" s="191"/>
      <x:c r="P48" s="191"/>
      <x:c r="Q48" s="191"/>
      <x:c r="R48" s="191"/>
      <x:c r="S48" s="191"/>
      <x:c r="T48" s="191"/>
      <x:c r="U48" s="191"/>
      <x:c r="V48" s="191"/>
      <x:c r="W48" s="191"/>
      <x:c r="X48" s="191"/>
      <x:c r="Y48" s="191"/>
      <x:c r="Z48" s="191"/>
      <x:c r="AA48" s="191"/>
      <x:c r="AB48" s="191"/>
      <x:c r="AC48" s="191"/>
      <x:c r="AD48" s="191"/>
      <x:c r="AE48" s="191"/>
      <x:c r="AF48" s="191"/>
      <x:c r="AG48" s="191"/>
      <x:c r="AH48" s="191"/>
      <x:c r="AI48" s="191"/>
      <x:c r="AJ48" s="191"/>
      <x:c r="AK48" s="191"/>
    </x:row>
    <x:row r="49">
      <x:c r="A49" s="191"/>
      <x:c r="B49" s="191"/>
      <x:c r="C49" s="191"/>
      <x:c r="D49" s="191"/>
      <x:c r="E49" s="191"/>
      <x:c r="F49" s="191"/>
      <x:c r="G49" s="191"/>
      <x:c r="H49" s="191"/>
      <x:c r="I49" s="191"/>
      <x:c r="J49" s="191"/>
      <x:c r="K49" s="191"/>
      <x:c r="L49" s="191"/>
      <x:c r="M49" s="191"/>
      <x:c r="N49" s="191"/>
      <x:c r="O49" s="191"/>
      <x:c r="P49" s="191"/>
      <x:c r="Q49" s="191"/>
      <x:c r="R49" s="191"/>
      <x:c r="S49" s="191"/>
      <x:c r="T49" s="191"/>
      <x:c r="U49" s="191"/>
      <x:c r="V49" s="191"/>
      <x:c r="W49" s="191"/>
      <x:c r="X49" s="191"/>
      <x:c r="Y49" s="191"/>
      <x:c r="Z49" s="191"/>
      <x:c r="AA49" s="191"/>
      <x:c r="AB49" s="191"/>
      <x:c r="AC49" s="191"/>
      <x:c r="AD49" s="191"/>
      <x:c r="AE49" s="191"/>
      <x:c r="AF49" s="191"/>
      <x:c r="AG49" s="191"/>
      <x:c r="AH49" s="191"/>
      <x:c r="AI49" s="191"/>
      <x:c r="AJ49" s="191"/>
      <x:c r="AK49" s="191"/>
    </x:row>
    <x:row r="50">
      <x:c r="A50" s="191"/>
      <x:c r="B50" s="191"/>
      <x:c r="C50" s="191"/>
      <x:c r="D50" s="191"/>
      <x:c r="E50" s="191"/>
      <x:c r="F50" s="191"/>
      <x:c r="G50" s="191"/>
      <x:c r="H50" s="191"/>
      <x:c r="I50" s="191"/>
      <x:c r="J50" s="191"/>
      <x:c r="K50" s="191"/>
      <x:c r="L50" s="191"/>
      <x:c r="M50" s="191"/>
      <x:c r="N50" s="191"/>
      <x:c r="O50" s="191"/>
      <x:c r="P50" s="191"/>
      <x:c r="Q50" s="191"/>
      <x:c r="R50" s="191"/>
      <x:c r="S50" s="191"/>
      <x:c r="T50" s="191"/>
      <x:c r="U50" s="191"/>
      <x:c r="V50" s="191"/>
      <x:c r="W50" s="191"/>
      <x:c r="X50" s="191"/>
      <x:c r="Y50" s="191"/>
      <x:c r="Z50" s="191"/>
      <x:c r="AA50" s="191"/>
      <x:c r="AB50" s="191"/>
      <x:c r="AC50" s="191"/>
      <x:c r="AD50" s="191"/>
      <x:c r="AE50" s="191"/>
      <x:c r="AF50" s="191"/>
      <x:c r="AG50" s="191"/>
      <x:c r="AH50" s="191"/>
      <x:c r="AI50" s="191"/>
      <x:c r="AJ50" s="191"/>
      <x:c r="AK50" s="191"/>
    </x:row>
    <x:row r="51">
      <x:c r="A51" s="191"/>
      <x:c r="B51" s="191"/>
      <x:c r="C51" s="191"/>
      <x:c r="D51" s="191"/>
      <x:c r="E51" s="191"/>
      <x:c r="F51" s="191"/>
      <x:c r="G51" s="191"/>
      <x:c r="H51" s="191"/>
      <x:c r="I51" s="191"/>
      <x:c r="J51" s="191"/>
      <x:c r="K51" s="191"/>
      <x:c r="L51" s="191"/>
      <x:c r="M51" s="191"/>
      <x:c r="N51" s="191"/>
      <x:c r="O51" s="191"/>
      <x:c r="P51" s="191"/>
      <x:c r="Q51" s="191"/>
      <x:c r="R51" s="191"/>
      <x:c r="S51" s="191"/>
      <x:c r="T51" s="191"/>
      <x:c r="U51" s="191"/>
      <x:c r="V51" s="191"/>
      <x:c r="W51" s="191"/>
      <x:c r="X51" s="191"/>
      <x:c r="Y51" s="191"/>
      <x:c r="Z51" s="191"/>
      <x:c r="AA51" s="191"/>
      <x:c r="AB51" s="191"/>
      <x:c r="AC51" s="191"/>
      <x:c r="AD51" s="191"/>
      <x:c r="AE51" s="191"/>
      <x:c r="AF51" s="191"/>
      <x:c r="AG51" s="191"/>
      <x:c r="AH51" s="191"/>
      <x:c r="AI51" s="191"/>
      <x:c r="AJ51" s="191"/>
      <x:c r="AK51" s="191"/>
    </x:row>
    <x:row r="52">
      <x:c r="A52" s="191"/>
      <x:c r="B52" s="191"/>
      <x:c r="C52" s="191"/>
      <x:c r="D52" s="191"/>
      <x:c r="E52" s="191"/>
      <x:c r="F52" s="191"/>
      <x:c r="G52" s="191"/>
      <x:c r="H52" s="191"/>
      <x:c r="I52" s="191"/>
      <x:c r="J52" s="191"/>
      <x:c r="K52" s="191"/>
      <x:c r="L52" s="191"/>
      <x:c r="M52" s="191"/>
      <x:c r="N52" s="191"/>
      <x:c r="O52" s="191"/>
      <x:c r="P52" s="191"/>
      <x:c r="Q52" s="191"/>
      <x:c r="R52" s="191"/>
      <x:c r="S52" s="191"/>
      <x:c r="T52" s="191"/>
      <x:c r="U52" s="191"/>
      <x:c r="V52" s="191"/>
      <x:c r="W52" s="191"/>
      <x:c r="X52" s="191"/>
      <x:c r="Y52" s="191"/>
      <x:c r="Z52" s="191"/>
      <x:c r="AA52" s="191"/>
      <x:c r="AB52" s="191"/>
      <x:c r="AC52" s="191"/>
      <x:c r="AD52" s="191"/>
      <x:c r="AE52" s="191"/>
      <x:c r="AF52" s="191"/>
      <x:c r="AG52" s="191"/>
      <x:c r="AH52" s="191"/>
      <x:c r="AI52" s="191"/>
      <x:c r="AJ52" s="191"/>
      <x:c r="AK52" s="191"/>
    </x:row>
    <x:row r="53">
      <x:c r="A53" s="191"/>
      <x:c r="B53" s="191"/>
      <x:c r="C53" s="191"/>
      <x:c r="D53" s="191"/>
      <x:c r="E53" s="191"/>
      <x:c r="F53" s="191"/>
      <x:c r="G53" s="191"/>
      <x:c r="H53" s="191"/>
      <x:c r="I53" s="191"/>
      <x:c r="J53" s="191"/>
      <x:c r="K53" s="191"/>
      <x:c r="L53" s="191"/>
      <x:c r="M53" s="191"/>
      <x:c r="N53" s="191"/>
      <x:c r="O53" s="191"/>
      <x:c r="P53" s="191"/>
      <x:c r="Q53" s="191"/>
      <x:c r="R53" s="191"/>
      <x:c r="S53" s="191"/>
      <x:c r="T53" s="191"/>
      <x:c r="U53" s="191"/>
      <x:c r="V53" s="191"/>
      <x:c r="W53" s="191"/>
      <x:c r="X53" s="191"/>
      <x:c r="Y53" s="191"/>
      <x:c r="Z53" s="191"/>
      <x:c r="AA53" s="191"/>
      <x:c r="AB53" s="191"/>
      <x:c r="AC53" s="191"/>
      <x:c r="AD53" s="191"/>
      <x:c r="AE53" s="191"/>
      <x:c r="AF53" s="191"/>
      <x:c r="AG53" s="191"/>
      <x:c r="AH53" s="191"/>
      <x:c r="AI53" s="191"/>
      <x:c r="AJ53" s="191"/>
      <x:c r="AK53" s="191"/>
    </x:row>
    <x:row r="54">
      <x:c r="A54" s="191"/>
      <x:c r="B54" s="191"/>
      <x:c r="C54" s="191"/>
      <x:c r="D54" s="191"/>
      <x:c r="E54" s="191"/>
      <x:c r="F54" s="191"/>
      <x:c r="G54" s="191"/>
      <x:c r="H54" s="191"/>
      <x:c r="I54" s="191"/>
      <x:c r="J54" s="191"/>
      <x:c r="K54" s="191"/>
      <x:c r="L54" s="191"/>
      <x:c r="M54" s="191"/>
      <x:c r="N54" s="191"/>
      <x:c r="O54" s="191"/>
      <x:c r="P54" s="191"/>
      <x:c r="Q54" s="191"/>
      <x:c r="R54" s="191"/>
      <x:c r="S54" s="191"/>
      <x:c r="T54" s="191"/>
      <x:c r="U54" s="191"/>
      <x:c r="V54" s="191"/>
      <x:c r="W54" s="191"/>
      <x:c r="X54" s="191"/>
      <x:c r="Y54" s="191"/>
      <x:c r="Z54" s="191"/>
      <x:c r="AA54" s="191"/>
      <x:c r="AB54" s="191"/>
      <x:c r="AC54" s="191"/>
      <x:c r="AD54" s="191"/>
      <x:c r="AE54" s="191"/>
      <x:c r="AF54" s="191"/>
      <x:c r="AG54" s="191"/>
      <x:c r="AH54" s="191"/>
      <x:c r="AI54" s="191"/>
      <x:c r="AJ54" s="191"/>
      <x:c r="AK54" s="191"/>
    </x:row>
    <x:row r="55">
      <x:c r="A55" s="191"/>
      <x:c r="B55" s="191"/>
      <x:c r="C55" s="191"/>
      <x:c r="D55" s="191"/>
      <x:c r="E55" s="191"/>
      <x:c r="F55" s="191"/>
      <x:c r="G55" s="191"/>
      <x:c r="H55" s="191"/>
      <x:c r="I55" s="191"/>
      <x:c r="J55" s="191"/>
      <x:c r="K55" s="191"/>
      <x:c r="L55" s="191"/>
      <x:c r="M55" s="191"/>
      <x:c r="N55" s="191"/>
      <x:c r="O55" s="191"/>
      <x:c r="P55" s="191"/>
      <x:c r="Q55" s="191"/>
      <x:c r="R55" s="191"/>
      <x:c r="S55" s="191"/>
      <x:c r="T55" s="191"/>
      <x:c r="U55" s="191"/>
      <x:c r="V55" s="191"/>
      <x:c r="W55" s="191"/>
      <x:c r="X55" s="191"/>
      <x:c r="Y55" s="191"/>
      <x:c r="Z55" s="191"/>
      <x:c r="AA55" s="191"/>
      <x:c r="AB55" s="191"/>
      <x:c r="AC55" s="191"/>
      <x:c r="AD55" s="191"/>
      <x:c r="AE55" s="191"/>
      <x:c r="AF55" s="191"/>
      <x:c r="AG55" s="191"/>
      <x:c r="AH55" s="191"/>
      <x:c r="AI55" s="191"/>
      <x:c r="AJ55" s="191"/>
      <x:c r="AK55" s="191"/>
    </x:row>
    <x:row r="56">
      <x:c r="A56" s="191"/>
      <x:c r="B56" s="191"/>
      <x:c r="C56" s="191"/>
      <x:c r="D56" s="191"/>
      <x:c r="E56" s="191"/>
      <x:c r="F56" s="191"/>
      <x:c r="G56" s="191"/>
      <x:c r="H56" s="191"/>
      <x:c r="I56" s="191"/>
      <x:c r="J56" s="191"/>
      <x:c r="K56" s="191"/>
      <x:c r="L56" s="191"/>
      <x:c r="M56" s="191"/>
      <x:c r="N56" s="191"/>
      <x:c r="O56" s="191"/>
      <x:c r="P56" s="191"/>
      <x:c r="Q56" s="191"/>
      <x:c r="R56" s="191"/>
      <x:c r="S56" s="191"/>
      <x:c r="T56" s="191"/>
      <x:c r="U56" s="191"/>
      <x:c r="V56" s="191"/>
      <x:c r="W56" s="191"/>
      <x:c r="X56" s="191"/>
      <x:c r="Y56" s="191"/>
      <x:c r="Z56" s="191"/>
      <x:c r="AA56" s="191"/>
      <x:c r="AB56" s="191"/>
      <x:c r="AC56" s="191"/>
      <x:c r="AD56" s="191"/>
      <x:c r="AE56" s="191"/>
      <x:c r="AF56" s="191"/>
      <x:c r="AG56" s="191"/>
      <x:c r="AH56" s="191"/>
      <x:c r="AI56" s="191"/>
      <x:c r="AJ56" s="191"/>
      <x:c r="AK56" s="191"/>
    </x:row>
    <x:row r="57">
      <x:c r="A57" s="191"/>
      <x:c r="B57" s="191"/>
      <x:c r="C57" s="191"/>
      <x:c r="D57" s="191"/>
      <x:c r="E57" s="191"/>
      <x:c r="F57" s="191"/>
      <x:c r="G57" s="191"/>
      <x:c r="H57" s="191"/>
      <x:c r="I57" s="191"/>
      <x:c r="J57" s="191"/>
      <x:c r="K57" s="191"/>
      <x:c r="L57" s="191"/>
      <x:c r="M57" s="191"/>
      <x:c r="N57" s="191"/>
      <x:c r="O57" s="191"/>
      <x:c r="P57" s="191"/>
      <x:c r="Q57" s="191"/>
      <x:c r="R57" s="191"/>
      <x:c r="S57" s="191"/>
      <x:c r="T57" s="191"/>
      <x:c r="U57" s="191"/>
      <x:c r="V57" s="191"/>
      <x:c r="W57" s="191"/>
      <x:c r="X57" s="191"/>
      <x:c r="Y57" s="191"/>
      <x:c r="Z57" s="191"/>
      <x:c r="AA57" s="191"/>
      <x:c r="AB57" s="191"/>
      <x:c r="AC57" s="191"/>
      <x:c r="AD57" s="191"/>
      <x:c r="AE57" s="191"/>
      <x:c r="AF57" s="191"/>
      <x:c r="AG57" s="191"/>
      <x:c r="AH57" s="191"/>
      <x:c r="AI57" s="191"/>
      <x:c r="AJ57" s="191"/>
      <x:c r="AK57" s="191"/>
    </x:row>
    <x:row r="58">
      <x:c r="A58" s="191"/>
      <x:c r="B58" s="191"/>
      <x:c r="C58" s="191"/>
      <x:c r="D58" s="191"/>
      <x:c r="E58" s="191"/>
      <x:c r="F58" s="191"/>
      <x:c r="G58" s="191"/>
      <x:c r="H58" s="191"/>
      <x:c r="I58" s="191"/>
      <x:c r="J58" s="191"/>
      <x:c r="K58" s="191"/>
      <x:c r="L58" s="191"/>
      <x:c r="M58" s="191"/>
      <x:c r="N58" s="191"/>
      <x:c r="O58" s="191"/>
      <x:c r="P58" s="191"/>
      <x:c r="Q58" s="191"/>
      <x:c r="R58" s="191"/>
      <x:c r="S58" s="191"/>
      <x:c r="T58" s="191"/>
      <x:c r="U58" s="191"/>
      <x:c r="V58" s="191"/>
      <x:c r="W58" s="191"/>
      <x:c r="X58" s="191"/>
      <x:c r="Y58" s="191"/>
      <x:c r="Z58" s="191"/>
      <x:c r="AA58" s="191"/>
      <x:c r="AB58" s="191"/>
      <x:c r="AC58" s="191"/>
      <x:c r="AD58" s="191"/>
      <x:c r="AE58" s="191"/>
      <x:c r="AF58" s="191"/>
      <x:c r="AG58" s="191"/>
      <x:c r="AH58" s="191"/>
      <x:c r="AI58" s="191"/>
      <x:c r="AJ58" s="191"/>
      <x:c r="AK58" s="191"/>
    </x:row>
    <x:row r="59">
      <x:c r="A59" s="191"/>
      <x:c r="B59" s="191"/>
      <x:c r="C59" s="191"/>
      <x:c r="D59" s="191"/>
      <x:c r="E59" s="191"/>
      <x:c r="F59" s="191"/>
      <x:c r="G59" s="191"/>
      <x:c r="H59" s="191"/>
      <x:c r="I59" s="191"/>
      <x:c r="J59" s="191"/>
      <x:c r="K59" s="191"/>
      <x:c r="L59" s="191"/>
      <x:c r="M59" s="191"/>
      <x:c r="N59" s="191"/>
      <x:c r="O59" s="191"/>
      <x:c r="P59" s="191"/>
      <x:c r="Q59" s="191"/>
      <x:c r="R59" s="191"/>
      <x:c r="S59" s="191"/>
      <x:c r="T59" s="191"/>
      <x:c r="U59" s="191"/>
      <x:c r="V59" s="191"/>
      <x:c r="W59" s="191"/>
      <x:c r="X59" s="191"/>
      <x:c r="Y59" s="191"/>
      <x:c r="Z59" s="191"/>
      <x:c r="AA59" s="191"/>
      <x:c r="AB59" s="191"/>
      <x:c r="AC59" s="191"/>
      <x:c r="AD59" s="191"/>
      <x:c r="AE59" s="191"/>
      <x:c r="AF59" s="191"/>
      <x:c r="AG59" s="191"/>
      <x:c r="AH59" s="191"/>
      <x:c r="AI59" s="191"/>
      <x:c r="AJ59" s="191"/>
      <x:c r="AK59" s="191"/>
    </x:row>
    <x:row r="60">
      <x:c r="A60" s="191"/>
      <x:c r="B60" s="191"/>
      <x:c r="C60" s="191"/>
      <x:c r="D60" s="191"/>
      <x:c r="E60" s="191"/>
      <x:c r="F60" s="191"/>
      <x:c r="G60" s="191"/>
      <x:c r="H60" s="191"/>
      <x:c r="I60" s="191"/>
      <x:c r="J60" s="191"/>
      <x:c r="K60" s="191"/>
      <x:c r="L60" s="191"/>
      <x:c r="M60" s="191"/>
      <x:c r="N60" s="191"/>
      <x:c r="O60" s="191"/>
      <x:c r="P60" s="191"/>
      <x:c r="Q60" s="191"/>
      <x:c r="R60" s="191"/>
      <x:c r="S60" s="191"/>
      <x:c r="T60" s="191"/>
      <x:c r="U60" s="191"/>
      <x:c r="V60" s="191"/>
      <x:c r="W60" s="191"/>
      <x:c r="X60" s="191"/>
      <x:c r="Y60" s="191"/>
      <x:c r="Z60" s="191"/>
      <x:c r="AA60" s="191"/>
      <x:c r="AB60" s="191"/>
      <x:c r="AC60" s="191"/>
      <x:c r="AD60" s="191"/>
      <x:c r="AE60" s="191"/>
      <x:c r="AF60" s="191"/>
      <x:c r="AG60" s="191"/>
      <x:c r="AH60" s="191"/>
      <x:c r="AI60" s="191"/>
      <x:c r="AJ60" s="191"/>
      <x:c r="AK60" s="191"/>
    </x:row>
    <x:row r="61">
      <x:c r="A61" s="191"/>
      <x:c r="B61" s="191"/>
      <x:c r="C61" s="191"/>
      <x:c r="D61" s="191"/>
      <x:c r="E61" s="191"/>
      <x:c r="F61" s="191"/>
      <x:c r="G61" s="191"/>
      <x:c r="H61" s="191"/>
      <x:c r="I61" s="191"/>
      <x:c r="J61" s="191"/>
      <x:c r="K61" s="191"/>
      <x:c r="L61" s="191"/>
      <x:c r="M61" s="191"/>
      <x:c r="N61" s="191"/>
      <x:c r="O61" s="191"/>
      <x:c r="P61" s="191"/>
      <x:c r="Q61" s="191"/>
      <x:c r="R61" s="191"/>
      <x:c r="S61" s="191"/>
      <x:c r="T61" s="191"/>
      <x:c r="U61" s="191"/>
      <x:c r="V61" s="191"/>
      <x:c r="W61" s="191"/>
      <x:c r="X61" s="191"/>
      <x:c r="Y61" s="191"/>
      <x:c r="Z61" s="191"/>
      <x:c r="AA61" s="191"/>
      <x:c r="AB61" s="191"/>
      <x:c r="AC61" s="191"/>
      <x:c r="AD61" s="191"/>
      <x:c r="AE61" s="191"/>
      <x:c r="AF61" s="191"/>
      <x:c r="AG61" s="191"/>
      <x:c r="AH61" s="191"/>
      <x:c r="AI61" s="191"/>
      <x:c r="AJ61" s="191"/>
      <x:c r="AK61" s="191"/>
    </x:row>
    <x:row r="62">
      <x:c r="A62" s="191"/>
      <x:c r="B62" s="191"/>
      <x:c r="C62" s="191"/>
      <x:c r="D62" s="191"/>
      <x:c r="E62" s="191"/>
      <x:c r="F62" s="191"/>
      <x:c r="G62" s="191"/>
      <x:c r="H62" s="191"/>
      <x:c r="I62" s="191"/>
      <x:c r="J62" s="191"/>
      <x:c r="K62" s="191"/>
      <x:c r="L62" s="191"/>
      <x:c r="M62" s="191"/>
      <x:c r="N62" s="191"/>
      <x:c r="O62" s="191"/>
      <x:c r="P62" s="191"/>
      <x:c r="Q62" s="191"/>
      <x:c r="R62" s="191"/>
      <x:c r="S62" s="191"/>
      <x:c r="T62" s="191"/>
      <x:c r="U62" s="191"/>
      <x:c r="V62" s="191"/>
      <x:c r="W62" s="191"/>
      <x:c r="X62" s="191"/>
      <x:c r="Y62" s="191"/>
      <x:c r="Z62" s="191"/>
      <x:c r="AA62" s="191"/>
      <x:c r="AB62" s="191"/>
      <x:c r="AC62" s="191"/>
      <x:c r="AD62" s="191"/>
      <x:c r="AE62" s="191"/>
      <x:c r="AF62" s="191"/>
      <x:c r="AG62" s="191"/>
      <x:c r="AH62" s="191"/>
      <x:c r="AI62" s="191"/>
      <x:c r="AJ62" s="191"/>
      <x:c r="AK62" s="191"/>
    </x:row>
    <x:row r="63">
      <x:c r="A63" s="191"/>
      <x:c r="B63" s="191"/>
      <x:c r="C63" s="191"/>
      <x:c r="D63" s="191"/>
      <x:c r="E63" s="191"/>
      <x:c r="F63" s="191"/>
      <x:c r="G63" s="191"/>
      <x:c r="H63" s="191"/>
      <x:c r="I63" s="191"/>
      <x:c r="J63" s="191"/>
      <x:c r="K63" s="191"/>
      <x:c r="L63" s="191"/>
      <x:c r="M63" s="191"/>
      <x:c r="N63" s="191"/>
      <x:c r="O63" s="191"/>
      <x:c r="P63" s="191"/>
      <x:c r="Q63" s="191"/>
      <x:c r="R63" s="191"/>
      <x:c r="S63" s="191"/>
      <x:c r="T63" s="191"/>
      <x:c r="U63" s="191"/>
      <x:c r="V63" s="191"/>
      <x:c r="W63" s="191"/>
      <x:c r="X63" s="191"/>
      <x:c r="Y63" s="191"/>
      <x:c r="Z63" s="191"/>
      <x:c r="AA63" s="191"/>
      <x:c r="AB63" s="191"/>
      <x:c r="AC63" s="191"/>
      <x:c r="AD63" s="191"/>
      <x:c r="AE63" s="191"/>
      <x:c r="AF63" s="191"/>
      <x:c r="AG63" s="191"/>
      <x:c r="AH63" s="191"/>
      <x:c r="AI63" s="191"/>
      <x:c r="AJ63" s="191"/>
      <x:c r="AK63" s="191"/>
    </x:row>
    <x:row r="64">
      <x:c r="A64" s="191"/>
      <x:c r="B64" s="191"/>
      <x:c r="C64" s="191"/>
      <x:c r="D64" s="191"/>
      <x:c r="E64" s="191"/>
      <x:c r="F64" s="191"/>
      <x:c r="G64" s="191"/>
      <x:c r="H64" s="191"/>
      <x:c r="I64" s="191"/>
      <x:c r="J64" s="191"/>
      <x:c r="K64" s="191"/>
      <x:c r="L64" s="191"/>
      <x:c r="M64" s="191"/>
      <x:c r="N64" s="191"/>
      <x:c r="O64" s="191"/>
      <x:c r="P64" s="191"/>
      <x:c r="Q64" s="191"/>
      <x:c r="R64" s="191"/>
      <x:c r="S64" s="191"/>
      <x:c r="T64" s="191"/>
      <x:c r="U64" s="191"/>
      <x:c r="V64" s="191"/>
      <x:c r="W64" s="191"/>
      <x:c r="X64" s="191"/>
      <x:c r="Y64" s="191"/>
      <x:c r="Z64" s="191"/>
      <x:c r="AA64" s="191"/>
      <x:c r="AB64" s="191"/>
      <x:c r="AC64" s="191"/>
      <x:c r="AD64" s="191"/>
      <x:c r="AE64" s="191"/>
      <x:c r="AF64" s="191"/>
      <x:c r="AG64" s="191"/>
      <x:c r="AH64" s="191"/>
      <x:c r="AI64" s="191"/>
      <x:c r="AJ64" s="191"/>
      <x:c r="AK64" s="191"/>
    </x:row>
    <x:row r="65">
      <x:c r="A65" s="191"/>
      <x:c r="B65" s="191"/>
      <x:c r="C65" s="191"/>
      <x:c r="D65" s="191"/>
      <x:c r="E65" s="191"/>
      <x:c r="F65" s="191"/>
      <x:c r="G65" s="191"/>
      <x:c r="H65" s="191"/>
      <x:c r="I65" s="191"/>
      <x:c r="J65" s="191"/>
      <x:c r="K65" s="191"/>
      <x:c r="L65" s="191"/>
      <x:c r="M65" s="191"/>
      <x:c r="N65" s="191"/>
      <x:c r="O65" s="191"/>
      <x:c r="P65" s="191"/>
      <x:c r="Q65" s="191"/>
      <x:c r="R65" s="191"/>
      <x:c r="S65" s="191"/>
      <x:c r="T65" s="191"/>
      <x:c r="U65" s="191"/>
      <x:c r="V65" s="191"/>
      <x:c r="W65" s="191"/>
      <x:c r="X65" s="191"/>
      <x:c r="Y65" s="191"/>
      <x:c r="Z65" s="191"/>
      <x:c r="AA65" s="191"/>
      <x:c r="AB65" s="191"/>
      <x:c r="AC65" s="191"/>
      <x:c r="AD65" s="191"/>
      <x:c r="AE65" s="191"/>
      <x:c r="AF65" s="191"/>
      <x:c r="AG65" s="191"/>
      <x:c r="AH65" s="191"/>
      <x:c r="AI65" s="191"/>
      <x:c r="AJ65" s="191"/>
      <x:c r="AK65" s="191"/>
    </x:row>
    <x:row r="66">
      <x:c r="A66" s="191"/>
      <x:c r="B66" s="191"/>
      <x:c r="C66" s="191"/>
      <x:c r="D66" s="191"/>
      <x:c r="E66" s="191"/>
      <x:c r="F66" s="191"/>
      <x:c r="G66" s="191"/>
      <x:c r="H66" s="191"/>
      <x:c r="I66" s="191"/>
      <x:c r="J66" s="191"/>
      <x:c r="K66" s="191"/>
      <x:c r="L66" s="191"/>
      <x:c r="M66" s="191"/>
      <x:c r="N66" s="191"/>
      <x:c r="O66" s="191"/>
      <x:c r="P66" s="191"/>
      <x:c r="Q66" s="191"/>
      <x:c r="R66" s="191"/>
      <x:c r="S66" s="191"/>
      <x:c r="T66" s="191"/>
      <x:c r="U66" s="191"/>
      <x:c r="V66" s="191"/>
      <x:c r="W66" s="191"/>
      <x:c r="X66" s="191"/>
      <x:c r="Y66" s="191"/>
      <x:c r="Z66" s="191"/>
      <x:c r="AA66" s="191"/>
      <x:c r="AB66" s="191"/>
      <x:c r="AC66" s="191"/>
      <x:c r="AD66" s="191"/>
      <x:c r="AE66" s="191"/>
      <x:c r="AF66" s="191"/>
      <x:c r="AG66" s="191"/>
      <x:c r="AH66" s="191"/>
      <x:c r="AI66" s="191"/>
      <x:c r="AJ66" s="191"/>
      <x:c r="AK66" s="191"/>
    </x:row>
    <x:row r="67">
      <x:c r="A67" s="191"/>
      <x:c r="B67" s="191"/>
      <x:c r="C67" s="191"/>
      <x:c r="D67" s="191"/>
      <x:c r="E67" s="191"/>
      <x:c r="F67" s="191"/>
      <x:c r="G67" s="191"/>
      <x:c r="H67" s="191"/>
      <x:c r="I67" s="191"/>
      <x:c r="J67" s="191"/>
      <x:c r="K67" s="191"/>
      <x:c r="L67" s="191"/>
      <x:c r="M67" s="191"/>
      <x:c r="N67" s="191"/>
      <x:c r="O67" s="191"/>
      <x:c r="P67" s="191"/>
      <x:c r="Q67" s="191"/>
      <x:c r="R67" s="191"/>
      <x:c r="S67" s="191"/>
      <x:c r="T67" s="191"/>
      <x:c r="U67" s="191"/>
      <x:c r="V67" s="191"/>
      <x:c r="W67" s="191"/>
      <x:c r="X67" s="191"/>
      <x:c r="Y67" s="191"/>
      <x:c r="Z67" s="191"/>
      <x:c r="AA67" s="191"/>
      <x:c r="AB67" s="191"/>
      <x:c r="AC67" s="191"/>
      <x:c r="AD67" s="191"/>
      <x:c r="AE67" s="191"/>
      <x:c r="AF67" s="191"/>
      <x:c r="AG67" s="191"/>
      <x:c r="AH67" s="191"/>
      <x:c r="AI67" s="191"/>
      <x:c r="AJ67" s="191"/>
      <x:c r="AK67" s="191"/>
    </x:row>
    <x:row r="68">
      <x:c r="A68" s="191"/>
      <x:c r="B68" s="191"/>
      <x:c r="C68" s="191"/>
      <x:c r="D68" s="191"/>
      <x:c r="E68" s="191"/>
      <x:c r="F68" s="191"/>
      <x:c r="G68" s="191"/>
      <x:c r="H68" s="191"/>
      <x:c r="I68" s="191"/>
      <x:c r="J68" s="191"/>
      <x:c r="K68" s="191"/>
      <x:c r="L68" s="191"/>
      <x:c r="M68" s="191"/>
      <x:c r="N68" s="191"/>
      <x:c r="O68" s="191"/>
      <x:c r="P68" s="191"/>
      <x:c r="Q68" s="191"/>
      <x:c r="R68" s="191"/>
      <x:c r="S68" s="191"/>
      <x:c r="T68" s="191"/>
      <x:c r="U68" s="191"/>
      <x:c r="V68" s="191"/>
      <x:c r="W68" s="191"/>
      <x:c r="X68" s="191"/>
      <x:c r="Y68" s="191"/>
      <x:c r="Z68" s="191"/>
      <x:c r="AA68" s="191"/>
      <x:c r="AB68" s="191"/>
      <x:c r="AC68" s="191"/>
      <x:c r="AD68" s="191"/>
      <x:c r="AE68" s="191"/>
      <x:c r="AF68" s="191"/>
      <x:c r="AG68" s="191"/>
      <x:c r="AH68" s="191"/>
      <x:c r="AI68" s="191"/>
      <x:c r="AJ68" s="191"/>
      <x:c r="AK68" s="191"/>
    </x:row>
    <x:row r="69">
      <x:c r="A69" s="191"/>
      <x:c r="B69" s="191"/>
      <x:c r="C69" s="191"/>
      <x:c r="D69" s="191"/>
      <x:c r="E69" s="191"/>
      <x:c r="F69" s="191"/>
      <x:c r="G69" s="191"/>
      <x:c r="H69" s="191"/>
      <x:c r="I69" s="191"/>
      <x:c r="J69" s="191"/>
      <x:c r="K69" s="191"/>
      <x:c r="L69" s="191"/>
      <x:c r="M69" s="191"/>
      <x:c r="N69" s="191"/>
      <x:c r="O69" s="191"/>
      <x:c r="P69" s="191"/>
      <x:c r="Q69" s="191"/>
      <x:c r="R69" s="191"/>
      <x:c r="S69" s="191"/>
      <x:c r="T69" s="191"/>
      <x:c r="U69" s="191"/>
      <x:c r="V69" s="191"/>
      <x:c r="W69" s="191"/>
      <x:c r="X69" s="191"/>
      <x:c r="Y69" s="191"/>
      <x:c r="Z69" s="191"/>
      <x:c r="AA69" s="191"/>
      <x:c r="AB69" s="191"/>
      <x:c r="AC69" s="191"/>
      <x:c r="AD69" s="191"/>
      <x:c r="AE69" s="191"/>
      <x:c r="AF69" s="191"/>
      <x:c r="AG69" s="191"/>
      <x:c r="AH69" s="191"/>
      <x:c r="AI69" s="191"/>
      <x:c r="AJ69" s="191"/>
      <x:c r="AK69" s="191"/>
    </x:row>
    <x:row r="70">
      <x:c r="A70" s="191"/>
      <x:c r="B70" s="191"/>
      <x:c r="C70" s="191"/>
      <x:c r="D70" s="191"/>
      <x:c r="E70" s="191"/>
      <x:c r="F70" s="191"/>
      <x:c r="G70" s="191"/>
      <x:c r="H70" s="191"/>
      <x:c r="I70" s="191"/>
      <x:c r="J70" s="191"/>
      <x:c r="K70" s="191"/>
      <x:c r="L70" s="191"/>
      <x:c r="M70" s="191"/>
      <x:c r="N70" s="191"/>
      <x:c r="O70" s="191"/>
      <x:c r="P70" s="191"/>
      <x:c r="Q70" s="191"/>
      <x:c r="R70" s="191"/>
      <x:c r="S70" s="191"/>
      <x:c r="T70" s="191"/>
      <x:c r="U70" s="191"/>
      <x:c r="V70" s="191"/>
      <x:c r="W70" s="191"/>
      <x:c r="X70" s="191"/>
      <x:c r="Y70" s="191"/>
      <x:c r="Z70" s="191"/>
      <x:c r="AA70" s="191"/>
      <x:c r="AB70" s="191"/>
      <x:c r="AC70" s="191"/>
      <x:c r="AD70" s="191"/>
      <x:c r="AE70" s="191"/>
      <x:c r="AF70" s="191"/>
      <x:c r="AG70" s="191"/>
      <x:c r="AH70" s="191"/>
      <x:c r="AI70" s="191"/>
      <x:c r="AJ70" s="191"/>
      <x:c r="AK70" s="191"/>
    </x:row>
    <x:row r="71">
      <x:c r="A71" s="191"/>
      <x:c r="B71" s="191"/>
      <x:c r="C71" s="191"/>
      <x:c r="D71" s="191"/>
      <x:c r="E71" s="191"/>
      <x:c r="F71" s="191"/>
      <x:c r="G71" s="191"/>
      <x:c r="H71" s="191"/>
      <x:c r="I71" s="191"/>
      <x:c r="J71" s="191"/>
      <x:c r="K71" s="191"/>
      <x:c r="L71" s="191"/>
      <x:c r="M71" s="191"/>
      <x:c r="N71" s="191"/>
      <x:c r="O71" s="191"/>
      <x:c r="P71" s="191"/>
      <x:c r="Q71" s="191"/>
      <x:c r="R71" s="191"/>
      <x:c r="S71" s="191"/>
      <x:c r="T71" s="191"/>
      <x:c r="U71" s="191"/>
      <x:c r="V71" s="191"/>
      <x:c r="W71" s="191"/>
      <x:c r="X71" s="191"/>
      <x:c r="Y71" s="191"/>
      <x:c r="Z71" s="191"/>
      <x:c r="AA71" s="191"/>
      <x:c r="AB71" s="191"/>
      <x:c r="AC71" s="191"/>
      <x:c r="AD71" s="191"/>
      <x:c r="AE71" s="191"/>
      <x:c r="AF71" s="191"/>
      <x:c r="AG71" s="191"/>
      <x:c r="AH71" s="191"/>
      <x:c r="AI71" s="191"/>
      <x:c r="AJ71" s="191"/>
      <x:c r="AK71" s="191"/>
    </x:row>
    <x:row r="72">
      <x:c r="A72" s="191"/>
      <x:c r="B72" s="191"/>
      <x:c r="C72" s="191"/>
      <x:c r="D72" s="191"/>
      <x:c r="E72" s="191"/>
      <x:c r="F72" s="191"/>
      <x:c r="G72" s="191"/>
      <x:c r="H72" s="191"/>
      <x:c r="I72" s="191"/>
      <x:c r="J72" s="191"/>
      <x:c r="K72" s="191"/>
      <x:c r="L72" s="191"/>
      <x:c r="M72" s="191"/>
      <x:c r="N72" s="191"/>
      <x:c r="O72" s="191"/>
      <x:c r="P72" s="191"/>
      <x:c r="Q72" s="191"/>
      <x:c r="R72" s="191"/>
      <x:c r="S72" s="191"/>
      <x:c r="T72" s="191"/>
      <x:c r="U72" s="191"/>
      <x:c r="V72" s="191"/>
      <x:c r="W72" s="191"/>
      <x:c r="X72" s="191"/>
      <x:c r="Y72" s="191"/>
      <x:c r="Z72" s="191"/>
      <x:c r="AA72" s="191"/>
      <x:c r="AB72" s="191"/>
      <x:c r="AC72" s="191"/>
      <x:c r="AD72" s="191"/>
      <x:c r="AE72" s="191"/>
      <x:c r="AF72" s="191"/>
      <x:c r="AG72" s="191"/>
      <x:c r="AH72" s="191"/>
      <x:c r="AI72" s="191"/>
      <x:c r="AJ72" s="191"/>
      <x:c r="AK72" s="191"/>
    </x:row>
    <x:row r="73">
      <x:c r="A73" s="191"/>
      <x:c r="B73" s="191"/>
      <x:c r="C73" s="191"/>
      <x:c r="D73" s="191"/>
      <x:c r="E73" s="191"/>
      <x:c r="F73" s="191"/>
      <x:c r="G73" s="191"/>
      <x:c r="H73" s="191"/>
      <x:c r="I73" s="191"/>
      <x:c r="J73" s="191"/>
      <x:c r="K73" s="191"/>
      <x:c r="L73" s="191"/>
      <x:c r="M73" s="191"/>
      <x:c r="N73" s="191"/>
      <x:c r="O73" s="191"/>
      <x:c r="P73" s="191"/>
      <x:c r="Q73" s="191"/>
      <x:c r="R73" s="191"/>
      <x:c r="S73" s="191"/>
      <x:c r="T73" s="191"/>
      <x:c r="U73" s="191"/>
      <x:c r="V73" s="191"/>
      <x:c r="W73" s="191"/>
      <x:c r="X73" s="191"/>
      <x:c r="Y73" s="191"/>
      <x:c r="Z73" s="191"/>
      <x:c r="AA73" s="191"/>
      <x:c r="AB73" s="191"/>
      <x:c r="AC73" s="191"/>
      <x:c r="AD73" s="191"/>
      <x:c r="AE73" s="191"/>
      <x:c r="AF73" s="191"/>
      <x:c r="AG73" s="191"/>
      <x:c r="AH73" s="191"/>
      <x:c r="AI73" s="191"/>
      <x:c r="AJ73" s="191"/>
      <x:c r="AK73" s="191"/>
    </x:row>
    <x:row r="74">
      <x:c r="A74" s="191"/>
      <x:c r="B74" s="191"/>
      <x:c r="C74" s="191"/>
      <x:c r="D74" s="191"/>
      <x:c r="E74" s="191"/>
      <x:c r="F74" s="191"/>
      <x:c r="G74" s="191"/>
      <x:c r="H74" s="191"/>
      <x:c r="I74" s="191"/>
      <x:c r="J74" s="191"/>
      <x:c r="K74" s="191"/>
      <x:c r="L74" s="191"/>
      <x:c r="M74" s="191"/>
      <x:c r="N74" s="191"/>
      <x:c r="O74" s="191"/>
      <x:c r="P74" s="191"/>
      <x:c r="Q74" s="191"/>
      <x:c r="R74" s="191"/>
      <x:c r="S74" s="191"/>
      <x:c r="T74" s="191"/>
      <x:c r="U74" s="191"/>
      <x:c r="V74" s="191"/>
      <x:c r="W74" s="191"/>
      <x:c r="X74" s="191"/>
      <x:c r="Y74" s="191"/>
      <x:c r="Z74" s="191"/>
      <x:c r="AA74" s="191"/>
      <x:c r="AB74" s="191"/>
      <x:c r="AC74" s="191"/>
      <x:c r="AD74" s="191"/>
      <x:c r="AE74" s="191"/>
      <x:c r="AF74" s="191"/>
      <x:c r="AG74" s="191"/>
      <x:c r="AH74" s="191"/>
      <x:c r="AI74" s="191"/>
      <x:c r="AJ74" s="191"/>
      <x:c r="AK74" s="191"/>
    </x:row>
    <x:row r="75">
      <x:c r="A75" s="191"/>
      <x:c r="B75" s="191"/>
      <x:c r="C75" s="191"/>
      <x:c r="D75" s="191"/>
      <x:c r="E75" s="191"/>
      <x:c r="F75" s="191"/>
      <x:c r="G75" s="191"/>
      <x:c r="H75" s="191"/>
      <x:c r="I75" s="191"/>
      <x:c r="J75" s="191"/>
      <x:c r="K75" s="191"/>
      <x:c r="L75" s="191"/>
      <x:c r="M75" s="191"/>
      <x:c r="N75" s="191"/>
      <x:c r="O75" s="191"/>
      <x:c r="P75" s="191"/>
      <x:c r="Q75" s="191"/>
      <x:c r="R75" s="191"/>
      <x:c r="S75" s="191"/>
      <x:c r="T75" s="191"/>
      <x:c r="U75" s="191"/>
      <x:c r="V75" s="191"/>
      <x:c r="W75" s="191"/>
      <x:c r="X75" s="191"/>
      <x:c r="Y75" s="191"/>
      <x:c r="Z75" s="191"/>
      <x:c r="AA75" s="191"/>
      <x:c r="AB75" s="191"/>
      <x:c r="AC75" s="191"/>
      <x:c r="AD75" s="191"/>
      <x:c r="AE75" s="191"/>
      <x:c r="AF75" s="191"/>
      <x:c r="AG75" s="191"/>
      <x:c r="AH75" s="191"/>
      <x:c r="AI75" s="191"/>
      <x:c r="AJ75" s="191"/>
      <x:c r="AK75" s="191"/>
    </x:row>
    <x:row r="76">
      <x:c r="A76" s="191"/>
      <x:c r="B76" s="191"/>
      <x:c r="C76" s="191"/>
      <x:c r="D76" s="191"/>
      <x:c r="E76" s="191"/>
      <x:c r="F76" s="191"/>
      <x:c r="G76" s="191"/>
      <x:c r="H76" s="191"/>
      <x:c r="I76" s="191"/>
      <x:c r="J76" s="191"/>
      <x:c r="K76" s="191"/>
      <x:c r="L76" s="191"/>
      <x:c r="M76" s="191"/>
      <x:c r="N76" s="191"/>
      <x:c r="O76" s="191"/>
      <x:c r="P76" s="191"/>
      <x:c r="Q76" s="191"/>
      <x:c r="R76" s="191"/>
      <x:c r="S76" s="191"/>
      <x:c r="T76" s="191"/>
      <x:c r="U76" s="191"/>
      <x:c r="V76" s="191"/>
      <x:c r="W76" s="191"/>
      <x:c r="X76" s="191"/>
      <x:c r="Y76" s="191"/>
      <x:c r="Z76" s="191"/>
      <x:c r="AA76" s="191"/>
      <x:c r="AB76" s="191"/>
      <x:c r="AC76" s="191"/>
      <x:c r="AD76" s="191"/>
      <x:c r="AE76" s="191"/>
      <x:c r="AF76" s="191"/>
      <x:c r="AG76" s="191"/>
      <x:c r="AH76" s="191"/>
      <x:c r="AI76" s="191"/>
      <x:c r="AJ76" s="191"/>
      <x:c r="AK76" s="191"/>
    </x:row>
    <x:row r="77">
      <x:c r="A77" s="191"/>
      <x:c r="B77" s="191"/>
      <x:c r="C77" s="191"/>
      <x:c r="D77" s="191"/>
      <x:c r="E77" s="191"/>
      <x:c r="F77" s="191"/>
      <x:c r="G77" s="191"/>
      <x:c r="H77" s="191"/>
      <x:c r="I77" s="191"/>
      <x:c r="J77" s="191"/>
      <x:c r="K77" s="191"/>
      <x:c r="L77" s="191"/>
      <x:c r="M77" s="191"/>
      <x:c r="N77" s="191"/>
      <x:c r="O77" s="191"/>
      <x:c r="P77" s="191"/>
      <x:c r="Q77" s="191"/>
      <x:c r="R77" s="191"/>
      <x:c r="S77" s="191"/>
      <x:c r="T77" s="191"/>
      <x:c r="U77" s="191"/>
      <x:c r="V77" s="191"/>
      <x:c r="W77" s="191"/>
      <x:c r="X77" s="191"/>
      <x:c r="Y77" s="191"/>
      <x:c r="Z77" s="191"/>
      <x:c r="AA77" s="191"/>
      <x:c r="AB77" s="191"/>
      <x:c r="AC77" s="191"/>
      <x:c r="AD77" s="191"/>
      <x:c r="AE77" s="191"/>
      <x:c r="AF77" s="191"/>
      <x:c r="AG77" s="191"/>
      <x:c r="AH77" s="191"/>
      <x:c r="AI77" s="191"/>
      <x:c r="AJ77" s="191"/>
      <x:c r="AK77" s="191"/>
    </x:row>
    <x:row r="78">
      <x:c r="A78" s="191"/>
      <x:c r="B78" s="191"/>
      <x:c r="C78" s="191"/>
      <x:c r="D78" s="191"/>
      <x:c r="E78" s="191"/>
      <x:c r="F78" s="191"/>
      <x:c r="G78" s="191"/>
      <x:c r="H78" s="191"/>
      <x:c r="I78" s="191"/>
      <x:c r="J78" s="191"/>
      <x:c r="K78" s="191"/>
      <x:c r="L78" s="191"/>
      <x:c r="M78" s="191"/>
      <x:c r="N78" s="191"/>
      <x:c r="O78" s="191"/>
      <x:c r="P78" s="191"/>
      <x:c r="Q78" s="191"/>
      <x:c r="R78" s="191"/>
      <x:c r="S78" s="191"/>
      <x:c r="T78" s="191"/>
      <x:c r="U78" s="191"/>
      <x:c r="V78" s="191"/>
      <x:c r="W78" s="191"/>
      <x:c r="X78" s="191"/>
      <x:c r="Y78" s="191"/>
      <x:c r="Z78" s="191"/>
      <x:c r="AA78" s="191"/>
      <x:c r="AB78" s="191"/>
      <x:c r="AC78" s="191"/>
      <x:c r="AD78" s="191"/>
      <x:c r="AE78" s="191"/>
      <x:c r="AF78" s="191"/>
      <x:c r="AG78" s="191"/>
      <x:c r="AH78" s="191"/>
      <x:c r="AI78" s="191"/>
      <x:c r="AJ78" s="191"/>
      <x:c r="AK78" s="191"/>
    </x:row>
    <x:row r="79">
      <x:c r="A79" s="191"/>
      <x:c r="B79" s="191"/>
      <x:c r="C79" s="191"/>
      <x:c r="D79" s="191"/>
      <x:c r="E79" s="191"/>
      <x:c r="F79" s="191"/>
      <x:c r="G79" s="191"/>
      <x:c r="H79" s="191"/>
      <x:c r="I79" s="191"/>
      <x:c r="J79" s="191"/>
      <x:c r="K79" s="191"/>
      <x:c r="L79" s="191"/>
      <x:c r="M79" s="191"/>
      <x:c r="N79" s="191"/>
      <x:c r="O79" s="191"/>
      <x:c r="P79" s="191"/>
      <x:c r="Q79" s="191"/>
      <x:c r="R79" s="191"/>
      <x:c r="S79" s="191"/>
      <x:c r="T79" s="191"/>
      <x:c r="U79" s="191"/>
      <x:c r="V79" s="191"/>
      <x:c r="W79" s="191"/>
      <x:c r="X79" s="191"/>
      <x:c r="Y79" s="191"/>
      <x:c r="Z79" s="191"/>
      <x:c r="AA79" s="191"/>
      <x:c r="AB79" s="191"/>
      <x:c r="AC79" s="191"/>
      <x:c r="AD79" s="191"/>
      <x:c r="AE79" s="191"/>
      <x:c r="AF79" s="191"/>
      <x:c r="AG79" s="191"/>
      <x:c r="AH79" s="191"/>
      <x:c r="AI79" s="191"/>
      <x:c r="AJ79" s="191"/>
      <x:c r="AK79" s="191"/>
    </x:row>
    <x:row r="80">
      <x:c r="A80" s="191"/>
      <x:c r="B80" s="191"/>
      <x:c r="C80" s="191"/>
      <x:c r="D80" s="191"/>
      <x:c r="E80" s="191"/>
      <x:c r="F80" s="191"/>
      <x:c r="G80" s="191"/>
      <x:c r="H80" s="191"/>
      <x:c r="I80" s="191"/>
      <x:c r="J80" s="191"/>
      <x:c r="K80" s="191"/>
      <x:c r="L80" s="191"/>
      <x:c r="M80" s="191"/>
      <x:c r="N80" s="191"/>
      <x:c r="O80" s="191"/>
      <x:c r="P80" s="191"/>
      <x:c r="Q80" s="191"/>
      <x:c r="R80" s="191"/>
      <x:c r="S80" s="191"/>
      <x:c r="T80" s="191"/>
      <x:c r="U80" s="191"/>
      <x:c r="V80" s="191"/>
      <x:c r="W80" s="191"/>
      <x:c r="X80" s="191"/>
      <x:c r="Y80" s="191"/>
      <x:c r="Z80" s="191"/>
      <x:c r="AA80" s="191"/>
      <x:c r="AB80" s="191"/>
      <x:c r="AC80" s="191"/>
      <x:c r="AD80" s="191"/>
      <x:c r="AE80" s="191"/>
      <x:c r="AF80" s="191"/>
      <x:c r="AG80" s="191"/>
      <x:c r="AH80" s="191"/>
      <x:c r="AI80" s="191"/>
      <x:c r="AJ80" s="191"/>
      <x:c r="AK80" s="191"/>
    </x:row>
    <x:row r="81">
      <x:c r="A81" s="191"/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  <x:c r="S81" s="191"/>
      <x:c r="T81" s="191"/>
      <x:c r="U81" s="191"/>
      <x:c r="V81" s="191"/>
      <x:c r="W81" s="191"/>
      <x:c r="X81" s="191"/>
      <x:c r="Y81" s="191"/>
      <x:c r="Z81" s="191"/>
      <x:c r="AA81" s="191"/>
      <x:c r="AB81" s="191"/>
      <x:c r="AC81" s="191"/>
      <x:c r="AD81" s="191"/>
      <x:c r="AE81" s="191"/>
      <x:c r="AF81" s="191"/>
      <x:c r="AG81" s="191"/>
      <x:c r="AH81" s="191"/>
      <x:c r="AI81" s="191"/>
      <x:c r="AJ81" s="191"/>
      <x:c r="AK81" s="191"/>
    </x:row>
    <x:row r="82">
      <x:c r="A82" s="191"/>
      <x:c r="B82" s="191"/>
      <x:c r="C82" s="191"/>
      <x:c r="D82" s="191"/>
      <x:c r="E82" s="191"/>
      <x:c r="F82" s="191"/>
      <x:c r="G82" s="191"/>
      <x:c r="H82" s="191"/>
      <x:c r="I82" s="191"/>
      <x:c r="J82" s="191"/>
      <x:c r="K82" s="191"/>
      <x:c r="L82" s="191"/>
      <x:c r="M82" s="191"/>
      <x:c r="N82" s="191"/>
      <x:c r="O82" s="191"/>
      <x:c r="P82" s="191"/>
      <x:c r="Q82" s="191"/>
      <x:c r="R82" s="191"/>
      <x:c r="S82" s="191"/>
      <x:c r="T82" s="191"/>
      <x:c r="U82" s="191"/>
      <x:c r="V82" s="191"/>
      <x:c r="W82" s="191"/>
      <x:c r="X82" s="191"/>
      <x:c r="Y82" s="191"/>
      <x:c r="Z82" s="191"/>
      <x:c r="AA82" s="191"/>
      <x:c r="AB82" s="191"/>
      <x:c r="AC82" s="191"/>
      <x:c r="AD82" s="191"/>
      <x:c r="AE82" s="191"/>
      <x:c r="AF82" s="191"/>
      <x:c r="AG82" s="191"/>
      <x:c r="AH82" s="191"/>
      <x:c r="AI82" s="191"/>
      <x:c r="AJ82" s="191"/>
      <x:c r="AK82" s="191"/>
    </x:row>
    <x:row r="83">
      <x:c r="A83" s="191"/>
      <x:c r="B83" s="191"/>
      <x:c r="C83" s="191"/>
      <x:c r="D83" s="191"/>
      <x:c r="E83" s="191"/>
      <x:c r="F83" s="191"/>
      <x:c r="G83" s="191"/>
      <x:c r="H83" s="191"/>
      <x:c r="I83" s="191"/>
      <x:c r="J83" s="191"/>
      <x:c r="K83" s="191"/>
      <x:c r="L83" s="191"/>
      <x:c r="M83" s="191"/>
      <x:c r="N83" s="191"/>
      <x:c r="O83" s="191"/>
      <x:c r="P83" s="191"/>
      <x:c r="Q83" s="191"/>
      <x:c r="R83" s="191"/>
      <x:c r="S83" s="191"/>
      <x:c r="T83" s="191"/>
      <x:c r="U83" s="191"/>
      <x:c r="V83" s="191"/>
      <x:c r="W83" s="191"/>
      <x:c r="X83" s="191"/>
      <x:c r="Y83" s="191"/>
      <x:c r="Z83" s="191"/>
      <x:c r="AA83" s="191"/>
      <x:c r="AB83" s="191"/>
      <x:c r="AC83" s="191"/>
      <x:c r="AD83" s="191"/>
      <x:c r="AE83" s="191"/>
      <x:c r="AF83" s="191"/>
      <x:c r="AG83" s="191"/>
      <x:c r="AH83" s="191"/>
      <x:c r="AI83" s="191"/>
      <x:c r="AJ83" s="191"/>
      <x:c r="AK83" s="191"/>
    </x:row>
    <x:row r="84">
      <x:c r="A84" s="191"/>
      <x:c r="B84" s="191"/>
      <x:c r="C84" s="191"/>
      <x:c r="D84" s="191"/>
      <x:c r="E84" s="191"/>
      <x:c r="F84" s="191"/>
      <x:c r="G84" s="191"/>
      <x:c r="H84" s="191"/>
      <x:c r="I84" s="191"/>
      <x:c r="J84" s="191"/>
      <x:c r="K84" s="191"/>
      <x:c r="L84" s="191"/>
      <x:c r="M84" s="191"/>
      <x:c r="N84" s="191"/>
      <x:c r="O84" s="191"/>
      <x:c r="P84" s="191"/>
      <x:c r="Q84" s="191"/>
      <x:c r="R84" s="191"/>
      <x:c r="S84" s="191"/>
      <x:c r="T84" s="191"/>
      <x:c r="U84" s="191"/>
      <x:c r="V84" s="191"/>
      <x:c r="W84" s="191"/>
      <x:c r="X84" s="191"/>
      <x:c r="Y84" s="191"/>
      <x:c r="Z84" s="191"/>
      <x:c r="AA84" s="191"/>
      <x:c r="AB84" s="191"/>
      <x:c r="AC84" s="191"/>
      <x:c r="AD84" s="191"/>
      <x:c r="AE84" s="191"/>
      <x:c r="AF84" s="191"/>
      <x:c r="AG84" s="191"/>
      <x:c r="AH84" s="191"/>
      <x:c r="AI84" s="191"/>
      <x:c r="AJ84" s="191"/>
      <x:c r="AK84" s="191"/>
    </x:row>
    <x:row r="85">
      <x:c r="A85" s="191"/>
      <x:c r="B85" s="191"/>
      <x:c r="C85" s="191"/>
      <x:c r="D85" s="191"/>
      <x:c r="E85" s="191"/>
      <x:c r="F85" s="191"/>
      <x:c r="G85" s="191"/>
      <x:c r="H85" s="191"/>
      <x:c r="I85" s="191"/>
      <x:c r="J85" s="191"/>
      <x:c r="K85" s="191"/>
      <x:c r="L85" s="191"/>
      <x:c r="M85" s="191"/>
      <x:c r="N85" s="191"/>
      <x:c r="O85" s="191"/>
      <x:c r="P85" s="191"/>
      <x:c r="Q85" s="191"/>
      <x:c r="R85" s="191"/>
      <x:c r="S85" s="191"/>
      <x:c r="T85" s="191"/>
      <x:c r="U85" s="191"/>
      <x:c r="V85" s="191"/>
      <x:c r="W85" s="191"/>
      <x:c r="X85" s="191"/>
      <x:c r="Y85" s="191"/>
      <x:c r="Z85" s="191"/>
      <x:c r="AA85" s="191"/>
      <x:c r="AB85" s="191"/>
      <x:c r="AC85" s="191"/>
      <x:c r="AD85" s="191"/>
      <x:c r="AE85" s="191"/>
      <x:c r="AF85" s="191"/>
      <x:c r="AG85" s="191"/>
      <x:c r="AH85" s="191"/>
      <x:c r="AI85" s="191"/>
      <x:c r="AJ85" s="191"/>
      <x:c r="AK85" s="191"/>
    </x:row>
    <x:row r="86">
      <x:c r="A86" s="191"/>
      <x:c r="B86" s="191"/>
      <x:c r="C86" s="191"/>
      <x:c r="D86" s="191"/>
      <x:c r="E86" s="191"/>
      <x:c r="F86" s="191"/>
      <x:c r="G86" s="191"/>
      <x:c r="H86" s="191"/>
      <x:c r="I86" s="191"/>
      <x:c r="J86" s="191"/>
      <x:c r="K86" s="191"/>
      <x:c r="L86" s="191"/>
      <x:c r="M86" s="191"/>
      <x:c r="N86" s="191"/>
      <x:c r="O86" s="191"/>
      <x:c r="P86" s="191"/>
      <x:c r="Q86" s="191"/>
      <x:c r="R86" s="191"/>
      <x:c r="S86" s="191"/>
      <x:c r="T86" s="191"/>
      <x:c r="U86" s="191"/>
      <x:c r="V86" s="191"/>
      <x:c r="W86" s="191"/>
      <x:c r="X86" s="191"/>
      <x:c r="Y86" s="191"/>
      <x:c r="Z86" s="191"/>
      <x:c r="AA86" s="191"/>
      <x:c r="AB86" s="191"/>
      <x:c r="AC86" s="191"/>
      <x:c r="AD86" s="191"/>
      <x:c r="AE86" s="191"/>
      <x:c r="AF86" s="191"/>
      <x:c r="AG86" s="191"/>
      <x:c r="AH86" s="191"/>
      <x:c r="AI86" s="191"/>
      <x:c r="AJ86" s="191"/>
      <x:c r="AK86" s="191"/>
    </x:row>
    <x:row r="87">
      <x:c r="A87" s="191"/>
      <x:c r="B87" s="191"/>
      <x:c r="C87" s="191"/>
      <x:c r="D87" s="191"/>
      <x:c r="E87" s="191"/>
      <x:c r="F87" s="191"/>
      <x:c r="G87" s="191"/>
      <x:c r="H87" s="191"/>
      <x:c r="I87" s="191"/>
      <x:c r="J87" s="191"/>
      <x:c r="K87" s="191"/>
      <x:c r="L87" s="191"/>
      <x:c r="M87" s="191"/>
      <x:c r="N87" s="191"/>
      <x:c r="O87" s="191"/>
      <x:c r="P87" s="191"/>
      <x:c r="Q87" s="191"/>
      <x:c r="R87" s="191"/>
      <x:c r="S87" s="191"/>
      <x:c r="T87" s="191"/>
      <x:c r="U87" s="191"/>
      <x:c r="V87" s="191"/>
      <x:c r="W87" s="191"/>
      <x:c r="X87" s="191"/>
      <x:c r="Y87" s="191"/>
      <x:c r="Z87" s="191"/>
      <x:c r="AA87" s="191"/>
      <x:c r="AB87" s="191"/>
      <x:c r="AC87" s="191"/>
      <x:c r="AD87" s="191"/>
      <x:c r="AE87" s="191"/>
      <x:c r="AF87" s="191"/>
      <x:c r="AG87" s="191"/>
      <x:c r="AH87" s="191"/>
      <x:c r="AI87" s="191"/>
      <x:c r="AJ87" s="191"/>
      <x:c r="AK87" s="191"/>
    </x:row>
    <x:row r="88">
      <x:c r="A88" s="191"/>
      <x:c r="B88" s="191"/>
      <x:c r="C88" s="191"/>
      <x:c r="D88" s="191"/>
      <x:c r="E88" s="191"/>
      <x:c r="F88" s="191"/>
      <x:c r="G88" s="191"/>
      <x:c r="H88" s="191"/>
      <x:c r="I88" s="191"/>
      <x:c r="J88" s="191"/>
      <x:c r="K88" s="191"/>
      <x:c r="L88" s="191"/>
      <x:c r="M88" s="191"/>
      <x:c r="N88" s="191"/>
      <x:c r="O88" s="191"/>
      <x:c r="P88" s="191"/>
      <x:c r="Q88" s="191"/>
      <x:c r="R88" s="191"/>
      <x:c r="S88" s="191"/>
      <x:c r="T88" s="191"/>
      <x:c r="U88" s="191"/>
      <x:c r="V88" s="191"/>
      <x:c r="W88" s="191"/>
      <x:c r="X88" s="191"/>
      <x:c r="Y88" s="191"/>
      <x:c r="Z88" s="191"/>
      <x:c r="AA88" s="191"/>
      <x:c r="AB88" s="191"/>
      <x:c r="AC88" s="191"/>
      <x:c r="AD88" s="191"/>
      <x:c r="AE88" s="191"/>
      <x:c r="AF88" s="191"/>
      <x:c r="AG88" s="191"/>
      <x:c r="AH88" s="191"/>
      <x:c r="AI88" s="191"/>
      <x:c r="AJ88" s="191"/>
      <x:c r="AK88" s="191"/>
    </x:row>
    <x:row r="89">
      <x:c r="A89" s="191"/>
      <x:c r="B89" s="191"/>
      <x:c r="C89" s="191"/>
      <x:c r="D89" s="191"/>
      <x:c r="E89" s="191"/>
      <x:c r="F89" s="191"/>
      <x:c r="G89" s="191"/>
      <x:c r="H89" s="191"/>
      <x:c r="I89" s="191"/>
      <x:c r="J89" s="191"/>
      <x:c r="K89" s="191"/>
      <x:c r="L89" s="191"/>
      <x:c r="M89" s="191"/>
      <x:c r="N89" s="191"/>
      <x:c r="O89" s="191"/>
      <x:c r="P89" s="191"/>
      <x:c r="Q89" s="191"/>
      <x:c r="R89" s="191"/>
      <x:c r="S89" s="191"/>
      <x:c r="T89" s="191"/>
      <x:c r="U89" s="191"/>
      <x:c r="V89" s="191"/>
      <x:c r="W89" s="191"/>
      <x:c r="X89" s="191"/>
      <x:c r="Y89" s="191"/>
      <x:c r="Z89" s="191"/>
      <x:c r="AA89" s="191"/>
      <x:c r="AB89" s="191"/>
      <x:c r="AC89" s="191"/>
      <x:c r="AD89" s="191"/>
      <x:c r="AE89" s="191"/>
      <x:c r="AF89" s="191"/>
      <x:c r="AG89" s="191"/>
      <x:c r="AH89" s="191"/>
      <x:c r="AI89" s="191"/>
      <x:c r="AJ89" s="191"/>
      <x:c r="AK89" s="191"/>
    </x:row>
    <x:row r="90">
      <x:c r="A90" s="191"/>
      <x:c r="B90" s="191"/>
      <x:c r="C90" s="191"/>
      <x:c r="D90" s="191"/>
      <x:c r="E90" s="191"/>
      <x:c r="F90" s="191"/>
      <x:c r="G90" s="191"/>
      <x:c r="H90" s="191"/>
      <x:c r="I90" s="191"/>
      <x:c r="J90" s="191"/>
      <x:c r="K90" s="191"/>
      <x:c r="L90" s="191"/>
      <x:c r="M90" s="191"/>
      <x:c r="N90" s="191"/>
      <x:c r="O90" s="191"/>
      <x:c r="P90" s="191"/>
      <x:c r="Q90" s="191"/>
      <x:c r="R90" s="191"/>
      <x:c r="S90" s="191"/>
      <x:c r="T90" s="191"/>
      <x:c r="U90" s="191"/>
      <x:c r="V90" s="191"/>
      <x:c r="W90" s="191"/>
      <x:c r="X90" s="191"/>
      <x:c r="Y90" s="191"/>
      <x:c r="Z90" s="191"/>
      <x:c r="AA90" s="191"/>
      <x:c r="AB90" s="191"/>
      <x:c r="AC90" s="191"/>
      <x:c r="AD90" s="191"/>
      <x:c r="AE90" s="191"/>
      <x:c r="AF90" s="191"/>
      <x:c r="AG90" s="191"/>
      <x:c r="AH90" s="191"/>
      <x:c r="AI90" s="191"/>
      <x:c r="AJ90" s="191"/>
      <x:c r="AK90" s="191"/>
    </x:row>
    <x:row r="91">
      <x:c r="A91" s="191"/>
      <x:c r="B91" s="191"/>
      <x:c r="C91" s="191"/>
      <x:c r="D91" s="191"/>
      <x:c r="E91" s="191"/>
      <x:c r="F91" s="191"/>
      <x:c r="G91" s="191"/>
      <x:c r="H91" s="191"/>
      <x:c r="I91" s="191"/>
      <x:c r="J91" s="191"/>
      <x:c r="K91" s="191"/>
      <x:c r="L91" s="191"/>
      <x:c r="M91" s="191"/>
      <x:c r="N91" s="191"/>
      <x:c r="O91" s="191"/>
      <x:c r="P91" s="191"/>
      <x:c r="Q91" s="191"/>
      <x:c r="R91" s="191"/>
      <x:c r="S91" s="191"/>
      <x:c r="T91" s="191"/>
      <x:c r="U91" s="191"/>
      <x:c r="V91" s="191"/>
      <x:c r="W91" s="191"/>
      <x:c r="X91" s="191"/>
      <x:c r="Y91" s="191"/>
      <x:c r="Z91" s="191"/>
      <x:c r="AA91" s="191"/>
      <x:c r="AB91" s="191"/>
      <x:c r="AC91" s="191"/>
      <x:c r="AD91" s="191"/>
      <x:c r="AE91" s="191"/>
      <x:c r="AF91" s="191"/>
      <x:c r="AG91" s="191"/>
      <x:c r="AH91" s="191"/>
      <x:c r="AI91" s="191"/>
      <x:c r="AJ91" s="191"/>
      <x:c r="AK91" s="191"/>
    </x:row>
    <x:row r="92">
      <x:c r="A92" s="191"/>
      <x:c r="B92" s="191"/>
      <x:c r="C92" s="191"/>
      <x:c r="D92" s="191"/>
      <x:c r="E92" s="191"/>
      <x:c r="F92" s="191"/>
      <x:c r="G92" s="191"/>
      <x:c r="H92" s="191"/>
      <x:c r="I92" s="191"/>
      <x:c r="J92" s="191"/>
      <x:c r="K92" s="191"/>
      <x:c r="L92" s="191"/>
      <x:c r="M92" s="191"/>
      <x:c r="N92" s="191"/>
      <x:c r="O92" s="191"/>
      <x:c r="P92" s="191"/>
      <x:c r="Q92" s="191"/>
      <x:c r="R92" s="191"/>
      <x:c r="S92" s="191"/>
      <x:c r="T92" s="191"/>
      <x:c r="U92" s="191"/>
      <x:c r="V92" s="191"/>
      <x:c r="W92" s="191"/>
      <x:c r="X92" s="191"/>
      <x:c r="Y92" s="191"/>
      <x:c r="Z92" s="191"/>
      <x:c r="AA92" s="191"/>
      <x:c r="AB92" s="191"/>
      <x:c r="AC92" s="191"/>
      <x:c r="AD92" s="191"/>
      <x:c r="AE92" s="191"/>
      <x:c r="AF92" s="191"/>
      <x:c r="AG92" s="191"/>
      <x:c r="AH92" s="191"/>
      <x:c r="AI92" s="191"/>
      <x:c r="AJ92" s="191"/>
      <x:c r="AK92" s="191"/>
    </x:row>
    <x:row r="93">
      <x:c r="A93" s="191"/>
      <x:c r="B93" s="191"/>
      <x:c r="C93" s="191"/>
      <x:c r="D93" s="191"/>
      <x:c r="E93" s="191"/>
      <x:c r="F93" s="191"/>
      <x:c r="G93" s="191"/>
      <x:c r="H93" s="191"/>
      <x:c r="I93" s="191"/>
      <x:c r="J93" s="191"/>
      <x:c r="K93" s="191"/>
      <x:c r="L93" s="191"/>
      <x:c r="M93" s="191"/>
      <x:c r="N93" s="191"/>
      <x:c r="O93" s="191"/>
      <x:c r="P93" s="191"/>
      <x:c r="Q93" s="191"/>
      <x:c r="R93" s="191"/>
      <x:c r="S93" s="191"/>
      <x:c r="T93" s="191"/>
      <x:c r="U93" s="191"/>
      <x:c r="V93" s="191"/>
      <x:c r="W93" s="191"/>
      <x:c r="X93" s="191"/>
      <x:c r="Y93" s="191"/>
      <x:c r="Z93" s="191"/>
      <x:c r="AA93" s="191"/>
      <x:c r="AB93" s="191"/>
      <x:c r="AC93" s="191"/>
      <x:c r="AD93" s="191"/>
      <x:c r="AE93" s="191"/>
      <x:c r="AF93" s="191"/>
      <x:c r="AG93" s="191"/>
      <x:c r="AH93" s="191"/>
      <x:c r="AI93" s="191"/>
      <x:c r="AJ93" s="191"/>
      <x:c r="AK93" s="191"/>
    </x:row>
    <x:row r="94">
      <x:c r="A94" s="191"/>
      <x:c r="B94" s="191"/>
      <x:c r="C94" s="191"/>
      <x:c r="D94" s="191"/>
      <x:c r="E94" s="191"/>
      <x:c r="F94" s="191"/>
      <x:c r="G94" s="191"/>
      <x:c r="H94" s="191"/>
      <x:c r="I94" s="191"/>
      <x:c r="J94" s="191"/>
      <x:c r="K94" s="191"/>
      <x:c r="L94" s="191"/>
      <x:c r="M94" s="191"/>
      <x:c r="N94" s="191"/>
      <x:c r="O94" s="191"/>
      <x:c r="P94" s="191"/>
      <x:c r="Q94" s="191"/>
      <x:c r="R94" s="191"/>
      <x:c r="S94" s="191"/>
      <x:c r="T94" s="191"/>
      <x:c r="U94" s="191"/>
      <x:c r="V94" s="191"/>
      <x:c r="W94" s="191"/>
      <x:c r="X94" s="191"/>
      <x:c r="Y94" s="191"/>
      <x:c r="Z94" s="191"/>
      <x:c r="AA94" s="191"/>
      <x:c r="AB94" s="191"/>
      <x:c r="AC94" s="191"/>
      <x:c r="AD94" s="191"/>
      <x:c r="AE94" s="191"/>
      <x:c r="AF94" s="191"/>
      <x:c r="AG94" s="191"/>
      <x:c r="AH94" s="191"/>
      <x:c r="AI94" s="191"/>
      <x:c r="AJ94" s="191"/>
      <x:c r="AK94" s="191"/>
    </x:row>
    <x:row r="95">
      <x:c r="A95" s="191"/>
      <x:c r="B95" s="191"/>
      <x:c r="C95" s="191"/>
      <x:c r="D95" s="191"/>
      <x:c r="E95" s="191"/>
      <x:c r="F95" s="191"/>
      <x:c r="G95" s="191"/>
      <x:c r="H95" s="191"/>
      <x:c r="I95" s="191"/>
      <x:c r="J95" s="191"/>
      <x:c r="K95" s="191"/>
      <x:c r="L95" s="191"/>
      <x:c r="M95" s="191"/>
      <x:c r="N95" s="191"/>
      <x:c r="O95" s="191"/>
      <x:c r="P95" s="191"/>
      <x:c r="Q95" s="191"/>
      <x:c r="R95" s="191"/>
      <x:c r="S95" s="191"/>
      <x:c r="T95" s="191"/>
      <x:c r="U95" s="191"/>
      <x:c r="V95" s="191"/>
      <x:c r="W95" s="191"/>
      <x:c r="X95" s="191"/>
      <x:c r="Y95" s="191"/>
      <x:c r="Z95" s="191"/>
      <x:c r="AA95" s="191"/>
      <x:c r="AB95" s="191"/>
      <x:c r="AC95" s="191"/>
      <x:c r="AD95" s="191"/>
      <x:c r="AE95" s="191"/>
      <x:c r="AF95" s="191"/>
      <x:c r="AG95" s="191"/>
      <x:c r="AH95" s="191"/>
      <x:c r="AI95" s="191"/>
      <x:c r="AJ95" s="191"/>
      <x:c r="AK95" s="191"/>
    </x:row>
    <x:row r="96">
      <x:c r="A96" s="191"/>
      <x:c r="B96" s="191"/>
      <x:c r="C96" s="191"/>
      <x:c r="D96" s="191"/>
      <x:c r="E96" s="191"/>
      <x:c r="F96" s="191"/>
      <x:c r="G96" s="191"/>
      <x:c r="H96" s="191"/>
      <x:c r="I96" s="191"/>
      <x:c r="J96" s="191"/>
      <x:c r="K96" s="191"/>
      <x:c r="L96" s="191"/>
      <x:c r="M96" s="191"/>
      <x:c r="N96" s="191"/>
      <x:c r="O96" s="191"/>
      <x:c r="P96" s="191"/>
      <x:c r="Q96" s="191"/>
      <x:c r="R96" s="191"/>
      <x:c r="S96" s="191"/>
      <x:c r="T96" s="191"/>
      <x:c r="U96" s="191"/>
      <x:c r="V96" s="191"/>
      <x:c r="W96" s="191"/>
      <x:c r="X96" s="191"/>
      <x:c r="Y96" s="191"/>
      <x:c r="Z96" s="191"/>
      <x:c r="AA96" s="191"/>
      <x:c r="AB96" s="191"/>
      <x:c r="AC96" s="191"/>
      <x:c r="AD96" s="191"/>
      <x:c r="AE96" s="191"/>
      <x:c r="AF96" s="191"/>
      <x:c r="AG96" s="191"/>
      <x:c r="AH96" s="191"/>
      <x:c r="AI96" s="191"/>
      <x:c r="AJ96" s="191"/>
      <x:c r="AK96" s="191"/>
    </x:row>
    <x:row r="97">
      <x:c r="A97" s="191"/>
      <x:c r="B97" s="191"/>
      <x:c r="C97" s="191"/>
      <x:c r="D97" s="191"/>
      <x:c r="E97" s="191"/>
      <x:c r="F97" s="191"/>
      <x:c r="G97" s="191"/>
      <x:c r="H97" s="191"/>
      <x:c r="I97" s="191"/>
      <x:c r="J97" s="191"/>
      <x:c r="K97" s="191"/>
      <x:c r="L97" s="191"/>
      <x:c r="M97" s="191"/>
      <x:c r="N97" s="191"/>
      <x:c r="O97" s="191"/>
      <x:c r="P97" s="191"/>
      <x:c r="Q97" s="191"/>
      <x:c r="R97" s="191"/>
      <x:c r="S97" s="191"/>
      <x:c r="T97" s="191"/>
      <x:c r="U97" s="191"/>
      <x:c r="V97" s="191"/>
      <x:c r="W97" s="191"/>
      <x:c r="X97" s="191"/>
      <x:c r="Y97" s="191"/>
      <x:c r="Z97" s="191"/>
      <x:c r="AA97" s="191"/>
      <x:c r="AB97" s="191"/>
      <x:c r="AC97" s="191"/>
      <x:c r="AD97" s="191"/>
      <x:c r="AE97" s="191"/>
      <x:c r="AF97" s="191"/>
      <x:c r="AG97" s="191"/>
      <x:c r="AH97" s="191"/>
      <x:c r="AI97" s="191"/>
      <x:c r="AJ97" s="191"/>
      <x:c r="AK97" s="191"/>
    </x:row>
    <x:row r="98">
      <x:c r="A98" s="191"/>
      <x:c r="B98" s="191"/>
      <x:c r="C98" s="191"/>
      <x:c r="D98" s="191"/>
      <x:c r="E98" s="191"/>
      <x:c r="F98" s="191"/>
      <x:c r="G98" s="191"/>
      <x:c r="H98" s="191"/>
      <x:c r="I98" s="191"/>
      <x:c r="J98" s="191"/>
      <x:c r="K98" s="191"/>
      <x:c r="L98" s="191"/>
      <x:c r="M98" s="191"/>
      <x:c r="N98" s="191"/>
      <x:c r="O98" s="191"/>
      <x:c r="P98" s="191"/>
      <x:c r="Q98" s="191"/>
      <x:c r="R98" s="191"/>
      <x:c r="S98" s="191"/>
      <x:c r="T98" s="191"/>
      <x:c r="U98" s="191"/>
      <x:c r="V98" s="191"/>
      <x:c r="W98" s="191"/>
      <x:c r="X98" s="191"/>
      <x:c r="Y98" s="191"/>
      <x:c r="Z98" s="191"/>
      <x:c r="AA98" s="191"/>
      <x:c r="AB98" s="191"/>
      <x:c r="AC98" s="191"/>
      <x:c r="AD98" s="191"/>
      <x:c r="AE98" s="191"/>
      <x:c r="AF98" s="191"/>
      <x:c r="AG98" s="191"/>
      <x:c r="AH98" s="191"/>
      <x:c r="AI98" s="191"/>
      <x:c r="AJ98" s="191"/>
      <x:c r="AK98" s="191"/>
    </x:row>
    <x:row r="99">
      <x:c r="A99" s="191"/>
      <x:c r="B99" s="191"/>
      <x:c r="C99" s="191"/>
      <x:c r="D99" s="191"/>
      <x:c r="E99" s="191"/>
      <x:c r="F99" s="191"/>
      <x:c r="G99" s="191"/>
      <x:c r="H99" s="191"/>
      <x:c r="I99" s="191"/>
      <x:c r="J99" s="191"/>
      <x:c r="K99" s="191"/>
      <x:c r="L99" s="191"/>
      <x:c r="M99" s="191"/>
      <x:c r="N99" s="191"/>
      <x:c r="O99" s="191"/>
      <x:c r="P99" s="191"/>
      <x:c r="Q99" s="191"/>
      <x:c r="R99" s="191"/>
      <x:c r="S99" s="191"/>
      <x:c r="T99" s="191"/>
      <x:c r="U99" s="191"/>
      <x:c r="V99" s="191"/>
      <x:c r="W99" s="191"/>
      <x:c r="X99" s="191"/>
      <x:c r="Y99" s="191"/>
      <x:c r="Z99" s="191"/>
      <x:c r="AA99" s="191"/>
      <x:c r="AB99" s="191"/>
      <x:c r="AC99" s="191"/>
      <x:c r="AD99" s="191"/>
      <x:c r="AE99" s="191"/>
      <x:c r="AF99" s="191"/>
      <x:c r="AG99" s="191"/>
      <x:c r="AH99" s="191"/>
      <x:c r="AI99" s="191"/>
      <x:c r="AJ99" s="191"/>
      <x:c r="AK99" s="191"/>
    </x:row>
    <x:row r="100">
      <x:c r="A100" s="191"/>
      <x:c r="B100" s="191"/>
      <x:c r="C100" s="191"/>
      <x:c r="D100" s="191"/>
      <x:c r="E100" s="191"/>
      <x:c r="F100" s="191"/>
      <x:c r="G100" s="191"/>
      <x:c r="H100" s="191"/>
      <x:c r="I100" s="191"/>
      <x:c r="J100" s="191"/>
      <x:c r="K100" s="191"/>
      <x:c r="L100" s="191"/>
      <x:c r="M100" s="191"/>
      <x:c r="N100" s="191"/>
      <x:c r="O100" s="191"/>
      <x:c r="P100" s="191"/>
      <x:c r="Q100" s="191"/>
      <x:c r="R100" s="191"/>
      <x:c r="S100" s="191"/>
      <x:c r="T100" s="191"/>
      <x:c r="U100" s="191"/>
      <x:c r="V100" s="191"/>
      <x:c r="W100" s="191"/>
      <x:c r="X100" s="191"/>
      <x:c r="Y100" s="191"/>
      <x:c r="Z100" s="191"/>
      <x:c r="AA100" s="191"/>
      <x:c r="AB100" s="191"/>
      <x:c r="AC100" s="191"/>
      <x:c r="AD100" s="191"/>
      <x:c r="AE100" s="191"/>
      <x:c r="AF100" s="191"/>
      <x:c r="AG100" s="191"/>
      <x:c r="AH100" s="191"/>
      <x:c r="AI100" s="191"/>
      <x:c r="AJ100" s="191"/>
      <x:c r="AK100" s="191"/>
    </x:row>
    <x:row r="101">
      <x:c r="A101" s="191"/>
      <x:c r="B101" s="191"/>
      <x:c r="C101" s="191"/>
      <x:c r="D101" s="191"/>
      <x:c r="E101" s="191"/>
      <x:c r="F101" s="191"/>
      <x:c r="G101" s="191"/>
      <x:c r="H101" s="191"/>
      <x:c r="I101" s="191"/>
      <x:c r="J101" s="191"/>
      <x:c r="K101" s="191"/>
      <x:c r="L101" s="191"/>
      <x:c r="M101" s="191"/>
      <x:c r="N101" s="191"/>
      <x:c r="O101" s="191"/>
      <x:c r="P101" s="191"/>
      <x:c r="Q101" s="191"/>
      <x:c r="R101" s="191"/>
      <x:c r="S101" s="191"/>
      <x:c r="T101" s="191"/>
      <x:c r="U101" s="191"/>
      <x:c r="V101" s="191"/>
      <x:c r="W101" s="191"/>
      <x:c r="X101" s="191"/>
      <x:c r="Y101" s="191"/>
      <x:c r="Z101" s="191"/>
      <x:c r="AA101" s="191"/>
      <x:c r="AB101" s="191"/>
      <x:c r="AC101" s="191"/>
      <x:c r="AD101" s="191"/>
      <x:c r="AE101" s="191"/>
      <x:c r="AF101" s="191"/>
      <x:c r="AG101" s="191"/>
      <x:c r="AH101" s="191"/>
      <x:c r="AI101" s="191"/>
      <x:c r="AJ101" s="191"/>
      <x:c r="AK101" s="191"/>
    </x:row>
    <x:row r="102">
      <x:c r="A102" s="191"/>
      <x:c r="B102" s="191"/>
      <x:c r="C102" s="191"/>
      <x:c r="D102" s="191"/>
      <x:c r="E102" s="191"/>
      <x:c r="F102" s="191"/>
      <x:c r="G102" s="191"/>
      <x:c r="H102" s="191"/>
      <x:c r="I102" s="191"/>
      <x:c r="J102" s="191"/>
      <x:c r="K102" s="191"/>
      <x:c r="L102" s="191"/>
      <x:c r="M102" s="191"/>
      <x:c r="N102" s="191"/>
      <x:c r="O102" s="191"/>
      <x:c r="P102" s="191"/>
      <x:c r="Q102" s="191"/>
      <x:c r="R102" s="191"/>
      <x:c r="S102" s="191"/>
      <x:c r="T102" s="191"/>
      <x:c r="U102" s="191"/>
      <x:c r="V102" s="191"/>
      <x:c r="W102" s="191"/>
      <x:c r="X102" s="191"/>
      <x:c r="Y102" s="191"/>
      <x:c r="Z102" s="191"/>
      <x:c r="AA102" s="191"/>
      <x:c r="AB102" s="191"/>
      <x:c r="AC102" s="191"/>
      <x:c r="AD102" s="191"/>
      <x:c r="AE102" s="191"/>
      <x:c r="AF102" s="191"/>
      <x:c r="AG102" s="191"/>
      <x:c r="AH102" s="191"/>
      <x:c r="AI102" s="191"/>
      <x:c r="AJ102" s="191"/>
      <x:c r="AK102" s="191"/>
    </x:row>
    <x:row r="103">
      <x:c r="A103" s="191"/>
      <x:c r="B103" s="191"/>
      <x:c r="C103" s="191"/>
      <x:c r="D103" s="191"/>
      <x:c r="E103" s="191"/>
      <x:c r="F103" s="191"/>
      <x:c r="G103" s="191"/>
      <x:c r="H103" s="191"/>
      <x:c r="I103" s="191"/>
      <x:c r="J103" s="191"/>
      <x:c r="K103" s="191"/>
      <x:c r="L103" s="191"/>
      <x:c r="M103" s="191"/>
      <x:c r="N103" s="191"/>
      <x:c r="O103" s="191"/>
      <x:c r="P103" s="191"/>
      <x:c r="Q103" s="191"/>
      <x:c r="R103" s="191"/>
      <x:c r="S103" s="191"/>
      <x:c r="T103" s="191"/>
      <x:c r="U103" s="191"/>
      <x:c r="V103" s="191"/>
      <x:c r="W103" s="191"/>
      <x:c r="X103" s="191"/>
      <x:c r="Y103" s="191"/>
      <x:c r="Z103" s="191"/>
      <x:c r="AA103" s="191"/>
      <x:c r="AB103" s="191"/>
      <x:c r="AC103" s="191"/>
      <x:c r="AD103" s="191"/>
      <x:c r="AE103" s="191"/>
      <x:c r="AF103" s="191"/>
      <x:c r="AG103" s="191"/>
      <x:c r="AH103" s="191"/>
      <x:c r="AI103" s="191"/>
      <x:c r="AJ103" s="191"/>
      <x:c r="AK103" s="191"/>
    </x:row>
    <x:row r="104">
      <x:c r="A104" s="191"/>
      <x:c r="B104" s="191"/>
      <x:c r="C104" s="191"/>
      <x:c r="D104" s="191"/>
      <x:c r="E104" s="191"/>
      <x:c r="F104" s="191"/>
      <x:c r="G104" s="191"/>
      <x:c r="H104" s="191"/>
      <x:c r="I104" s="191"/>
      <x:c r="J104" s="191"/>
      <x:c r="K104" s="191"/>
      <x:c r="L104" s="191"/>
      <x:c r="M104" s="191"/>
      <x:c r="N104" s="191"/>
      <x:c r="O104" s="191"/>
      <x:c r="P104" s="191"/>
      <x:c r="Q104" s="191"/>
      <x:c r="R104" s="191"/>
      <x:c r="S104" s="191"/>
      <x:c r="T104" s="191"/>
      <x:c r="U104" s="191"/>
      <x:c r="V104" s="191"/>
      <x:c r="W104" s="191"/>
      <x:c r="X104" s="191"/>
      <x:c r="Y104" s="191"/>
      <x:c r="Z104" s="191"/>
      <x:c r="AA104" s="191"/>
      <x:c r="AB104" s="191"/>
      <x:c r="AC104" s="191"/>
      <x:c r="AD104" s="191"/>
      <x:c r="AE104" s="191"/>
      <x:c r="AF104" s="191"/>
      <x:c r="AG104" s="191"/>
      <x:c r="AH104" s="191"/>
      <x:c r="AI104" s="191"/>
      <x:c r="AJ104" s="191"/>
      <x:c r="AK104" s="191"/>
    </x:row>
    <x:row r="105">
      <x:c r="A105" s="191"/>
      <x:c r="B105" s="191"/>
      <x:c r="C105" s="191"/>
      <x:c r="D105" s="191"/>
      <x:c r="E105" s="191"/>
      <x:c r="F105" s="191"/>
      <x:c r="G105" s="191"/>
      <x:c r="H105" s="191"/>
      <x:c r="I105" s="191"/>
      <x:c r="J105" s="191"/>
      <x:c r="K105" s="191"/>
      <x:c r="L105" s="191"/>
      <x:c r="M105" s="191"/>
      <x:c r="N105" s="191"/>
      <x:c r="O105" s="191"/>
      <x:c r="P105" s="191"/>
      <x:c r="Q105" s="191"/>
      <x:c r="R105" s="191"/>
      <x:c r="S105" s="191"/>
      <x:c r="T105" s="191"/>
      <x:c r="U105" s="191"/>
      <x:c r="V105" s="191"/>
      <x:c r="W105" s="191"/>
      <x:c r="X105" s="191"/>
      <x:c r="Y105" s="191"/>
      <x:c r="Z105" s="191"/>
      <x:c r="AA105" s="191"/>
      <x:c r="AB105" s="191"/>
      <x:c r="AC105" s="191"/>
      <x:c r="AD105" s="191"/>
      <x:c r="AE105" s="191"/>
      <x:c r="AF105" s="191"/>
      <x:c r="AG105" s="191"/>
      <x:c r="AH105" s="191"/>
      <x:c r="AI105" s="191"/>
      <x:c r="AJ105" s="191"/>
      <x:c r="AK105" s="191"/>
    </x:row>
    <x:row r="106">
      <x:c r="A106" s="191"/>
      <x:c r="B106" s="191"/>
      <x:c r="C106" s="191"/>
      <x:c r="D106" s="191"/>
      <x:c r="E106" s="191"/>
      <x:c r="F106" s="191"/>
      <x:c r="G106" s="191"/>
      <x:c r="H106" s="191"/>
      <x:c r="I106" s="191"/>
      <x:c r="J106" s="191"/>
      <x:c r="K106" s="191"/>
      <x:c r="L106" s="191"/>
      <x:c r="M106" s="191"/>
      <x:c r="N106" s="191"/>
      <x:c r="O106" s="191"/>
      <x:c r="P106" s="191"/>
      <x:c r="Q106" s="191"/>
      <x:c r="R106" s="191"/>
      <x:c r="S106" s="191"/>
      <x:c r="T106" s="191"/>
      <x:c r="U106" s="191"/>
      <x:c r="V106" s="191"/>
      <x:c r="W106" s="191"/>
      <x:c r="X106" s="191"/>
      <x:c r="Y106" s="191"/>
      <x:c r="Z106" s="191"/>
      <x:c r="AA106" s="191"/>
      <x:c r="AB106" s="191"/>
      <x:c r="AC106" s="191"/>
      <x:c r="AD106" s="191"/>
      <x:c r="AE106" s="191"/>
      <x:c r="AF106" s="191"/>
      <x:c r="AG106" s="191"/>
      <x:c r="AH106" s="191"/>
      <x:c r="AI106" s="191"/>
      <x:c r="AJ106" s="191"/>
      <x:c r="AK106" s="191"/>
    </x:row>
    <x:row r="107">
      <x:c r="A107" s="191"/>
      <x:c r="B107" s="191"/>
      <x:c r="C107" s="191"/>
      <x:c r="D107" s="191"/>
      <x:c r="E107" s="191"/>
      <x:c r="F107" s="191"/>
      <x:c r="G107" s="191"/>
      <x:c r="H107" s="191"/>
      <x:c r="I107" s="191"/>
      <x:c r="J107" s="191"/>
      <x:c r="K107" s="191"/>
      <x:c r="L107" s="191"/>
      <x:c r="M107" s="191"/>
      <x:c r="N107" s="191"/>
      <x:c r="O107" s="191"/>
      <x:c r="P107" s="191"/>
      <x:c r="Q107" s="191"/>
      <x:c r="R107" s="191"/>
      <x:c r="S107" s="191"/>
      <x:c r="T107" s="191"/>
      <x:c r="U107" s="191"/>
      <x:c r="V107" s="191"/>
      <x:c r="W107" s="191"/>
      <x:c r="X107" s="191"/>
      <x:c r="Y107" s="191"/>
      <x:c r="Z107" s="191"/>
      <x:c r="AA107" s="191"/>
      <x:c r="AB107" s="191"/>
      <x:c r="AC107" s="191"/>
      <x:c r="AD107" s="191"/>
      <x:c r="AE107" s="191"/>
      <x:c r="AF107" s="191"/>
      <x:c r="AG107" s="191"/>
      <x:c r="AH107" s="191"/>
      <x:c r="AI107" s="191"/>
      <x:c r="AJ107" s="191"/>
      <x:c r="AK107" s="191"/>
    </x:row>
    <x:row r="108">
      <x:c r="A108" s="191"/>
      <x:c r="B108" s="191"/>
      <x:c r="C108" s="191"/>
      <x:c r="D108" s="191"/>
      <x:c r="E108" s="191"/>
      <x:c r="F108" s="191"/>
      <x:c r="G108" s="191"/>
      <x:c r="H108" s="191"/>
      <x:c r="I108" s="191"/>
      <x:c r="J108" s="191"/>
      <x:c r="K108" s="191"/>
      <x:c r="L108" s="191"/>
      <x:c r="M108" s="191"/>
      <x:c r="N108" s="191"/>
      <x:c r="O108" s="191"/>
      <x:c r="P108" s="191"/>
      <x:c r="Q108" s="191"/>
      <x:c r="R108" s="191"/>
      <x:c r="S108" s="191"/>
      <x:c r="T108" s="191"/>
      <x:c r="U108" s="191"/>
      <x:c r="V108" s="191"/>
      <x:c r="W108" s="191"/>
      <x:c r="X108" s="191"/>
      <x:c r="Y108" s="191"/>
      <x:c r="Z108" s="191"/>
      <x:c r="AA108" s="191"/>
      <x:c r="AB108" s="191"/>
      <x:c r="AC108" s="191"/>
      <x:c r="AD108" s="191"/>
      <x:c r="AE108" s="191"/>
      <x:c r="AF108" s="191"/>
      <x:c r="AG108" s="191"/>
      <x:c r="AH108" s="191"/>
      <x:c r="AI108" s="191"/>
      <x:c r="AJ108" s="191"/>
      <x:c r="AK108" s="191"/>
    </x:row>
    <x:row r="109">
      <x:c r="A109" s="191"/>
      <x:c r="B109" s="191"/>
      <x:c r="C109" s="191"/>
      <x:c r="D109" s="191"/>
      <x:c r="E109" s="191"/>
      <x:c r="F109" s="191"/>
      <x:c r="G109" s="191"/>
      <x:c r="H109" s="191"/>
      <x:c r="I109" s="191"/>
      <x:c r="J109" s="191"/>
      <x:c r="K109" s="191"/>
      <x:c r="L109" s="191"/>
      <x:c r="M109" s="191"/>
      <x:c r="N109" s="191"/>
      <x:c r="O109" s="191"/>
      <x:c r="P109" s="191"/>
      <x:c r="Q109" s="191"/>
      <x:c r="R109" s="191"/>
      <x:c r="S109" s="191"/>
      <x:c r="T109" s="191"/>
      <x:c r="U109" s="191"/>
      <x:c r="V109" s="191"/>
      <x:c r="W109" s="191"/>
      <x:c r="X109" s="191"/>
      <x:c r="Y109" s="191"/>
      <x:c r="Z109" s="191"/>
      <x:c r="AA109" s="191"/>
      <x:c r="AB109" s="191"/>
      <x:c r="AC109" s="191"/>
      <x:c r="AD109" s="191"/>
      <x:c r="AE109" s="191"/>
      <x:c r="AF109" s="191"/>
      <x:c r="AG109" s="191"/>
      <x:c r="AH109" s="191"/>
      <x:c r="AI109" s="191"/>
      <x:c r="AJ109" s="191"/>
      <x:c r="AK109" s="191"/>
    </x:row>
    <x:row r="110">
      <x:c r="A110" s="191"/>
      <x:c r="B110" s="191"/>
      <x:c r="C110" s="191"/>
      <x:c r="D110" s="191"/>
      <x:c r="E110" s="191"/>
      <x:c r="F110" s="191"/>
      <x:c r="G110" s="191"/>
      <x:c r="H110" s="191"/>
      <x:c r="I110" s="191"/>
      <x:c r="J110" s="191"/>
      <x:c r="K110" s="191"/>
      <x:c r="L110" s="191"/>
      <x:c r="M110" s="191"/>
      <x:c r="N110" s="191"/>
      <x:c r="O110" s="191"/>
      <x:c r="P110" s="191"/>
      <x:c r="Q110" s="191"/>
      <x:c r="R110" s="191"/>
      <x:c r="S110" s="191"/>
      <x:c r="T110" s="191"/>
      <x:c r="U110" s="191"/>
      <x:c r="V110" s="191"/>
      <x:c r="W110" s="191"/>
      <x:c r="X110" s="191"/>
      <x:c r="Y110" s="191"/>
      <x:c r="Z110" s="191"/>
      <x:c r="AA110" s="191"/>
      <x:c r="AB110" s="191"/>
      <x:c r="AC110" s="191"/>
      <x:c r="AD110" s="191"/>
      <x:c r="AE110" s="191"/>
      <x:c r="AF110" s="191"/>
      <x:c r="AG110" s="191"/>
      <x:c r="AH110" s="191"/>
      <x:c r="AI110" s="191"/>
      <x:c r="AJ110" s="191"/>
      <x:c r="AK110" s="191"/>
    </x:row>
    <x:row r="111">
      <x:c r="A111" s="191"/>
      <x:c r="B111" s="191"/>
      <x:c r="C111" s="191"/>
      <x:c r="D111" s="191"/>
      <x:c r="E111" s="191"/>
      <x:c r="F111" s="191"/>
      <x:c r="G111" s="191"/>
      <x:c r="H111" s="191"/>
      <x:c r="I111" s="191"/>
      <x:c r="J111" s="191"/>
      <x:c r="K111" s="191"/>
      <x:c r="L111" s="191"/>
      <x:c r="M111" s="191"/>
      <x:c r="N111" s="191"/>
      <x:c r="O111" s="191"/>
      <x:c r="P111" s="191"/>
      <x:c r="Q111" s="191"/>
      <x:c r="R111" s="191"/>
      <x:c r="S111" s="191"/>
      <x:c r="T111" s="191"/>
      <x:c r="U111" s="191"/>
      <x:c r="V111" s="191"/>
      <x:c r="W111" s="191"/>
      <x:c r="X111" s="191"/>
      <x:c r="Y111" s="191"/>
      <x:c r="Z111" s="191"/>
      <x:c r="AA111" s="191"/>
      <x:c r="AB111" s="191"/>
      <x:c r="AC111" s="191"/>
      <x:c r="AD111" s="191"/>
      <x:c r="AE111" s="191"/>
      <x:c r="AF111" s="191"/>
      <x:c r="AG111" s="191"/>
      <x:c r="AH111" s="191"/>
      <x:c r="AI111" s="191"/>
      <x:c r="AJ111" s="191"/>
      <x:c r="AK111" s="191"/>
    </x:row>
    <x:row r="112">
      <x:c r="A112" s="191"/>
      <x:c r="B112" s="191"/>
      <x:c r="C112" s="191"/>
      <x:c r="D112" s="191"/>
      <x:c r="E112" s="191"/>
      <x:c r="F112" s="191"/>
      <x:c r="G112" s="191"/>
      <x:c r="H112" s="191"/>
      <x:c r="I112" s="191"/>
      <x:c r="J112" s="191"/>
      <x:c r="K112" s="191"/>
      <x:c r="L112" s="191"/>
      <x:c r="M112" s="191"/>
      <x:c r="N112" s="191"/>
      <x:c r="O112" s="191"/>
      <x:c r="P112" s="191"/>
      <x:c r="Q112" s="191"/>
      <x:c r="R112" s="191"/>
      <x:c r="S112" s="191"/>
      <x:c r="T112" s="191"/>
      <x:c r="U112" s="191"/>
      <x:c r="V112" s="191"/>
      <x:c r="W112" s="191"/>
      <x:c r="X112" s="191"/>
      <x:c r="Y112" s="191"/>
      <x:c r="Z112" s="191"/>
      <x:c r="AA112" s="191"/>
      <x:c r="AB112" s="191"/>
      <x:c r="AC112" s="191"/>
      <x:c r="AD112" s="191"/>
      <x:c r="AE112" s="191"/>
      <x:c r="AF112" s="191"/>
      <x:c r="AG112" s="191"/>
      <x:c r="AH112" s="191"/>
      <x:c r="AI112" s="191"/>
      <x:c r="AJ112" s="191"/>
      <x:c r="AK112" s="191"/>
    </x:row>
    <x:row r="113">
      <x:c r="A113" s="191"/>
      <x:c r="B113" s="191"/>
      <x:c r="C113" s="191"/>
      <x:c r="D113" s="191"/>
      <x:c r="E113" s="191"/>
      <x:c r="F113" s="191"/>
      <x:c r="G113" s="191"/>
      <x:c r="H113" s="191"/>
      <x:c r="I113" s="191"/>
      <x:c r="J113" s="191"/>
      <x:c r="K113" s="191"/>
      <x:c r="L113" s="191"/>
      <x:c r="M113" s="191"/>
      <x:c r="N113" s="191"/>
      <x:c r="O113" s="191"/>
      <x:c r="P113" s="191"/>
      <x:c r="Q113" s="191"/>
      <x:c r="R113" s="191"/>
      <x:c r="S113" s="191"/>
      <x:c r="T113" s="191"/>
      <x:c r="U113" s="191"/>
      <x:c r="V113" s="191"/>
      <x:c r="W113" s="191"/>
      <x:c r="X113" s="191"/>
      <x:c r="Y113" s="191"/>
      <x:c r="Z113" s="191"/>
      <x:c r="AA113" s="191"/>
      <x:c r="AB113" s="191"/>
      <x:c r="AC113" s="191"/>
      <x:c r="AD113" s="191"/>
      <x:c r="AE113" s="191"/>
      <x:c r="AF113" s="191"/>
      <x:c r="AG113" s="191"/>
      <x:c r="AH113" s="191"/>
      <x:c r="AI113" s="191"/>
      <x:c r="AJ113" s="191"/>
      <x:c r="AK113" s="191"/>
    </x:row>
    <x:row r="114">
      <x:c r="A114" s="191"/>
      <x:c r="B114" s="191"/>
      <x:c r="C114" s="191"/>
      <x:c r="D114" s="191"/>
      <x:c r="E114" s="191"/>
      <x:c r="F114" s="191"/>
      <x:c r="G114" s="191"/>
      <x:c r="H114" s="191"/>
      <x:c r="I114" s="191"/>
      <x:c r="J114" s="191"/>
      <x:c r="K114" s="191"/>
      <x:c r="L114" s="191"/>
      <x:c r="M114" s="191"/>
      <x:c r="N114" s="191"/>
      <x:c r="O114" s="191"/>
      <x:c r="P114" s="191"/>
      <x:c r="Q114" s="191"/>
      <x:c r="R114" s="191"/>
      <x:c r="S114" s="191"/>
      <x:c r="T114" s="191"/>
      <x:c r="U114" s="191"/>
      <x:c r="V114" s="191"/>
      <x:c r="W114" s="191"/>
      <x:c r="X114" s="191"/>
      <x:c r="Y114" s="191"/>
      <x:c r="Z114" s="191"/>
      <x:c r="AA114" s="191"/>
      <x:c r="AB114" s="191"/>
      <x:c r="AC114" s="191"/>
      <x:c r="AD114" s="191"/>
      <x:c r="AE114" s="191"/>
      <x:c r="AF114" s="191"/>
      <x:c r="AG114" s="191"/>
      <x:c r="AH114" s="191"/>
      <x:c r="AI114" s="191"/>
      <x:c r="AJ114" s="191"/>
      <x:c r="AK114" s="191"/>
    </x:row>
    <x:row r="115">
      <x:c r="A115" s="191"/>
      <x:c r="B115" s="191"/>
      <x:c r="C115" s="191"/>
      <x:c r="D115" s="191"/>
      <x:c r="E115" s="191"/>
      <x:c r="F115" s="191"/>
      <x:c r="G115" s="191"/>
      <x:c r="H115" s="191"/>
      <x:c r="I115" s="191"/>
      <x:c r="J115" s="191"/>
      <x:c r="K115" s="191"/>
      <x:c r="L115" s="191"/>
      <x:c r="M115" s="191"/>
      <x:c r="N115" s="191"/>
      <x:c r="O115" s="191"/>
      <x:c r="P115" s="191"/>
      <x:c r="Q115" s="191"/>
      <x:c r="R115" s="191"/>
      <x:c r="S115" s="191"/>
      <x:c r="T115" s="191"/>
      <x:c r="U115" s="191"/>
      <x:c r="V115" s="191"/>
      <x:c r="W115" s="191"/>
      <x:c r="X115" s="191"/>
      <x:c r="Y115" s="191"/>
      <x:c r="Z115" s="191"/>
      <x:c r="AA115" s="191"/>
      <x:c r="AB115" s="191"/>
      <x:c r="AC115" s="191"/>
      <x:c r="AD115" s="191"/>
      <x:c r="AE115" s="191"/>
      <x:c r="AF115" s="191"/>
      <x:c r="AG115" s="191"/>
      <x:c r="AH115" s="191"/>
      <x:c r="AI115" s="191"/>
      <x:c r="AJ115" s="191"/>
      <x:c r="AK115" s="191"/>
    </x:row>
    <x:row r="116">
      <x:c r="A116" s="191"/>
      <x:c r="B116" s="191"/>
      <x:c r="C116" s="191"/>
      <x:c r="D116" s="191"/>
      <x:c r="E116" s="191"/>
      <x:c r="F116" s="191"/>
      <x:c r="G116" s="191"/>
      <x:c r="H116" s="191"/>
      <x:c r="I116" s="191"/>
      <x:c r="J116" s="191"/>
      <x:c r="K116" s="191"/>
      <x:c r="L116" s="191"/>
      <x:c r="M116" s="191"/>
      <x:c r="N116" s="191"/>
      <x:c r="O116" s="191"/>
      <x:c r="P116" s="191"/>
      <x:c r="Q116" s="191"/>
      <x:c r="R116" s="191"/>
      <x:c r="S116" s="191"/>
      <x:c r="T116" s="191"/>
      <x:c r="U116" s="191"/>
      <x:c r="V116" s="191"/>
      <x:c r="W116" s="191"/>
      <x:c r="X116" s="191"/>
      <x:c r="Y116" s="191"/>
      <x:c r="Z116" s="191"/>
      <x:c r="AA116" s="191"/>
      <x:c r="AB116" s="191"/>
      <x:c r="AC116" s="191"/>
      <x:c r="AD116" s="191"/>
      <x:c r="AE116" s="191"/>
      <x:c r="AF116" s="191"/>
      <x:c r="AG116" s="191"/>
      <x:c r="AH116" s="191"/>
      <x:c r="AI116" s="191"/>
      <x:c r="AJ116" s="191"/>
      <x:c r="AK116" s="191"/>
    </x:row>
    <x:row r="117">
      <x:c r="A117" s="191"/>
      <x:c r="B117" s="191"/>
      <x:c r="C117" s="191"/>
      <x:c r="D117" s="191"/>
      <x:c r="E117" s="191"/>
      <x:c r="F117" s="191"/>
      <x:c r="G117" s="191"/>
      <x:c r="H117" s="191"/>
      <x:c r="I117" s="191"/>
      <x:c r="J117" s="191"/>
      <x:c r="K117" s="191"/>
      <x:c r="L117" s="191"/>
      <x:c r="M117" s="191"/>
      <x:c r="N117" s="191"/>
      <x:c r="O117" s="191"/>
      <x:c r="P117" s="191"/>
      <x:c r="Q117" s="191"/>
      <x:c r="R117" s="191"/>
      <x:c r="S117" s="191"/>
      <x:c r="T117" s="191"/>
      <x:c r="U117" s="191"/>
      <x:c r="V117" s="191"/>
      <x:c r="W117" s="191"/>
      <x:c r="X117" s="191"/>
      <x:c r="Y117" s="191"/>
      <x:c r="Z117" s="191"/>
      <x:c r="AA117" s="191"/>
      <x:c r="AB117" s="191"/>
      <x:c r="AC117" s="191"/>
      <x:c r="AD117" s="191"/>
      <x:c r="AE117" s="191"/>
      <x:c r="AF117" s="191"/>
      <x:c r="AG117" s="191"/>
      <x:c r="AH117" s="191"/>
      <x:c r="AI117" s="191"/>
      <x:c r="AJ117" s="191"/>
      <x:c r="AK117" s="191"/>
    </x:row>
    <x:row r="118">
      <x:c r="A118" s="191"/>
      <x:c r="B118" s="191"/>
      <x:c r="C118" s="191"/>
      <x:c r="D118" s="191"/>
      <x:c r="E118" s="191"/>
      <x:c r="F118" s="191"/>
      <x:c r="G118" s="191"/>
      <x:c r="H118" s="191"/>
      <x:c r="I118" s="191"/>
      <x:c r="J118" s="191"/>
      <x:c r="K118" s="191"/>
      <x:c r="L118" s="191"/>
      <x:c r="M118" s="191"/>
      <x:c r="N118" s="191"/>
      <x:c r="O118" s="191"/>
      <x:c r="P118" s="191"/>
      <x:c r="Q118" s="191"/>
      <x:c r="R118" s="191"/>
      <x:c r="S118" s="191"/>
      <x:c r="T118" s="191"/>
      <x:c r="U118" s="191"/>
      <x:c r="V118" s="191"/>
      <x:c r="W118" s="191"/>
      <x:c r="X118" s="191"/>
      <x:c r="Y118" s="191"/>
      <x:c r="Z118" s="191"/>
      <x:c r="AA118" s="191"/>
      <x:c r="AB118" s="191"/>
      <x:c r="AC118" s="191"/>
      <x:c r="AD118" s="191"/>
      <x:c r="AE118" s="191"/>
      <x:c r="AF118" s="191"/>
      <x:c r="AG118" s="191"/>
      <x:c r="AH118" s="191"/>
      <x:c r="AI118" s="191"/>
      <x:c r="AJ118" s="191"/>
      <x:c r="AK118" s="191"/>
    </x:row>
    <x:row r="119">
      <x:c r="A119" s="191"/>
      <x:c r="B119" s="191"/>
      <x:c r="C119" s="191"/>
      <x:c r="D119" s="191"/>
      <x:c r="E119" s="191"/>
      <x:c r="F119" s="191"/>
      <x:c r="G119" s="191"/>
      <x:c r="H119" s="191"/>
      <x:c r="I119" s="191"/>
      <x:c r="J119" s="191"/>
      <x:c r="K119" s="191"/>
      <x:c r="L119" s="191"/>
      <x:c r="M119" s="191"/>
      <x:c r="N119" s="191"/>
      <x:c r="O119" s="191"/>
      <x:c r="P119" s="191"/>
      <x:c r="Q119" s="191"/>
      <x:c r="R119" s="191"/>
      <x:c r="S119" s="191"/>
      <x:c r="T119" s="191"/>
      <x:c r="U119" s="191"/>
      <x:c r="V119" s="191"/>
      <x:c r="W119" s="191"/>
      <x:c r="X119" s="191"/>
      <x:c r="Y119" s="191"/>
      <x:c r="Z119" s="191"/>
      <x:c r="AA119" s="191"/>
      <x:c r="AB119" s="191"/>
      <x:c r="AC119" s="191"/>
      <x:c r="AD119" s="191"/>
      <x:c r="AE119" s="191"/>
      <x:c r="AF119" s="191"/>
      <x:c r="AG119" s="191"/>
      <x:c r="AH119" s="191"/>
      <x:c r="AI119" s="191"/>
      <x:c r="AJ119" s="191"/>
      <x:c r="AK119" s="191"/>
    </x:row>
    <x:row r="120">
      <x:c r="A120" s="191"/>
      <x:c r="B120" s="191"/>
      <x:c r="C120" s="191"/>
      <x:c r="D120" s="191"/>
      <x:c r="E120" s="191"/>
      <x:c r="F120" s="191"/>
      <x:c r="G120" s="191"/>
      <x:c r="H120" s="191"/>
      <x:c r="I120" s="191"/>
      <x:c r="J120" s="191"/>
      <x:c r="K120" s="191"/>
      <x:c r="L120" s="191"/>
      <x:c r="M120" s="191"/>
      <x:c r="N120" s="191"/>
      <x:c r="O120" s="191"/>
      <x:c r="P120" s="191"/>
      <x:c r="Q120" s="191"/>
      <x:c r="R120" s="191"/>
      <x:c r="S120" s="191"/>
      <x:c r="T120" s="191"/>
      <x:c r="U120" s="191"/>
      <x:c r="V120" s="191"/>
      <x:c r="W120" s="191"/>
      <x:c r="X120" s="191"/>
      <x:c r="Y120" s="191"/>
      <x:c r="Z120" s="191"/>
      <x:c r="AA120" s="191"/>
      <x:c r="AB120" s="191"/>
      <x:c r="AC120" s="191"/>
      <x:c r="AD120" s="191"/>
      <x:c r="AE120" s="191"/>
      <x:c r="AF120" s="191"/>
      <x:c r="AG120" s="191"/>
      <x:c r="AH120" s="191"/>
      <x:c r="AI120" s="191"/>
      <x:c r="AJ120" s="191"/>
      <x:c r="AK120" s="191"/>
    </x:row>
    <x:row r="121">
      <x:c r="A121" s="191"/>
      <x:c r="B121" s="191"/>
      <x:c r="C121" s="191"/>
      <x:c r="D121" s="191"/>
      <x:c r="E121" s="191"/>
      <x:c r="F121" s="191"/>
      <x:c r="G121" s="191"/>
      <x:c r="H121" s="191"/>
      <x:c r="I121" s="191"/>
      <x:c r="J121" s="191"/>
      <x:c r="K121" s="191"/>
      <x:c r="L121" s="191"/>
      <x:c r="M121" s="191"/>
      <x:c r="N121" s="191"/>
      <x:c r="O121" s="191"/>
      <x:c r="P121" s="191"/>
      <x:c r="Q121" s="191"/>
      <x:c r="R121" s="191"/>
      <x:c r="S121" s="191"/>
      <x:c r="T121" s="191"/>
      <x:c r="U121" s="191"/>
      <x:c r="V121" s="191"/>
      <x:c r="W121" s="191"/>
      <x:c r="X121" s="191"/>
      <x:c r="Y121" s="191"/>
      <x:c r="Z121" s="191"/>
      <x:c r="AA121" s="191"/>
      <x:c r="AB121" s="191"/>
      <x:c r="AC121" s="191"/>
      <x:c r="AD121" s="191"/>
      <x:c r="AE121" s="191"/>
      <x:c r="AF121" s="191"/>
      <x:c r="AG121" s="191"/>
      <x:c r="AH121" s="191"/>
      <x:c r="AI121" s="191"/>
      <x:c r="AJ121" s="191"/>
      <x:c r="AK121" s="191"/>
    </x:row>
    <x:row r="122">
      <x:c r="A122" s="191"/>
      <x:c r="B122" s="191"/>
      <x:c r="C122" s="191"/>
      <x:c r="D122" s="191"/>
      <x:c r="E122" s="191"/>
      <x:c r="F122" s="191"/>
      <x:c r="G122" s="191"/>
      <x:c r="H122" s="191"/>
      <x:c r="I122" s="191"/>
      <x:c r="J122" s="191"/>
      <x:c r="K122" s="191"/>
      <x:c r="L122" s="191"/>
      <x:c r="M122" s="191"/>
      <x:c r="N122" s="191"/>
      <x:c r="O122" s="191"/>
      <x:c r="P122" s="191"/>
      <x:c r="Q122" s="191"/>
      <x:c r="R122" s="191"/>
      <x:c r="S122" s="191"/>
      <x:c r="T122" s="191"/>
      <x:c r="U122" s="191"/>
      <x:c r="V122" s="191"/>
      <x:c r="W122" s="191"/>
      <x:c r="X122" s="191"/>
      <x:c r="Y122" s="191"/>
      <x:c r="Z122" s="191"/>
      <x:c r="AA122" s="191"/>
      <x:c r="AB122" s="191"/>
      <x:c r="AC122" s="191"/>
      <x:c r="AD122" s="191"/>
      <x:c r="AE122" s="191"/>
      <x:c r="AF122" s="191"/>
      <x:c r="AG122" s="191"/>
      <x:c r="AH122" s="191"/>
      <x:c r="AI122" s="191"/>
      <x:c r="AJ122" s="191"/>
      <x:c r="AK122" s="191"/>
    </x:row>
    <x:row r="123">
      <x:c r="A123" s="191"/>
      <x:c r="B123" s="191"/>
      <x:c r="C123" s="191"/>
      <x:c r="D123" s="191"/>
      <x:c r="E123" s="191"/>
      <x:c r="F123" s="191"/>
      <x:c r="G123" s="191"/>
      <x:c r="H123" s="191"/>
      <x:c r="I123" s="191"/>
      <x:c r="J123" s="191"/>
      <x:c r="K123" s="191"/>
      <x:c r="L123" s="191"/>
      <x:c r="M123" s="191"/>
      <x:c r="N123" s="191"/>
      <x:c r="O123" s="191"/>
      <x:c r="P123" s="191"/>
      <x:c r="Q123" s="191"/>
      <x:c r="R123" s="191"/>
      <x:c r="S123" s="191"/>
      <x:c r="T123" s="191"/>
      <x:c r="U123" s="191"/>
      <x:c r="V123" s="191"/>
      <x:c r="W123" s="191"/>
      <x:c r="X123" s="191"/>
      <x:c r="Y123" s="191"/>
      <x:c r="Z123" s="191"/>
      <x:c r="AA123" s="191"/>
      <x:c r="AB123" s="191"/>
      <x:c r="AC123" s="191"/>
      <x:c r="AD123" s="191"/>
      <x:c r="AE123" s="191"/>
      <x:c r="AF123" s="191"/>
      <x:c r="AG123" s="191"/>
      <x:c r="AH123" s="191"/>
      <x:c r="AI123" s="191"/>
      <x:c r="AJ123" s="191"/>
      <x:c r="AK123" s="191"/>
    </x:row>
    <x:row r="124">
      <x:c r="A124" s="191"/>
      <x:c r="B124" s="191"/>
      <x:c r="C124" s="191"/>
      <x:c r="D124" s="191"/>
      <x:c r="E124" s="191"/>
      <x:c r="F124" s="191"/>
      <x:c r="G124" s="191"/>
      <x:c r="H124" s="191"/>
      <x:c r="I124" s="191"/>
      <x:c r="J124" s="191"/>
      <x:c r="K124" s="191"/>
      <x:c r="L124" s="191"/>
      <x:c r="M124" s="191"/>
      <x:c r="N124" s="191"/>
      <x:c r="O124" s="191"/>
      <x:c r="P124" s="191"/>
      <x:c r="Q124" s="191"/>
      <x:c r="R124" s="191"/>
      <x:c r="S124" s="191"/>
      <x:c r="T124" s="191"/>
      <x:c r="U124" s="191"/>
      <x:c r="V124" s="191"/>
      <x:c r="W124" s="191"/>
      <x:c r="X124" s="191"/>
      <x:c r="Y124" s="191"/>
      <x:c r="Z124" s="191"/>
      <x:c r="AA124" s="191"/>
      <x:c r="AB124" s="191"/>
      <x:c r="AC124" s="191"/>
      <x:c r="AD124" s="191"/>
      <x:c r="AE124" s="191"/>
      <x:c r="AF124" s="191"/>
      <x:c r="AG124" s="191"/>
      <x:c r="AH124" s="191"/>
      <x:c r="AI124" s="191"/>
      <x:c r="AJ124" s="191"/>
      <x:c r="AK124" s="191"/>
    </x:row>
    <x:row r="125">
      <x:c r="A125" s="191"/>
      <x:c r="B125" s="191"/>
      <x:c r="C125" s="191"/>
      <x:c r="D125" s="191"/>
      <x:c r="E125" s="191"/>
      <x:c r="F125" s="191"/>
      <x:c r="G125" s="191"/>
      <x:c r="H125" s="191"/>
      <x:c r="I125" s="191"/>
      <x:c r="J125" s="191"/>
      <x:c r="K125" s="191"/>
      <x:c r="L125" s="191"/>
      <x:c r="M125" s="191"/>
      <x:c r="N125" s="191"/>
      <x:c r="O125" s="191"/>
      <x:c r="P125" s="191"/>
      <x:c r="Q125" s="191"/>
      <x:c r="R125" s="191"/>
      <x:c r="S125" s="191"/>
      <x:c r="T125" s="191"/>
      <x:c r="U125" s="191"/>
      <x:c r="V125" s="191"/>
      <x:c r="W125" s="191"/>
      <x:c r="X125" s="191"/>
      <x:c r="Y125" s="191"/>
      <x:c r="Z125" s="191"/>
      <x:c r="AA125" s="191"/>
      <x:c r="AB125" s="191"/>
      <x:c r="AC125" s="191"/>
      <x:c r="AD125" s="191"/>
      <x:c r="AE125" s="191"/>
      <x:c r="AF125" s="191"/>
      <x:c r="AG125" s="191"/>
      <x:c r="AH125" s="191"/>
      <x:c r="AI125" s="191"/>
      <x:c r="AJ125" s="191"/>
      <x:c r="AK125" s="191"/>
    </x:row>
    <x:row r="126">
      <x:c r="A126" s="191"/>
      <x:c r="B126" s="191"/>
      <x:c r="C126" s="191"/>
      <x:c r="D126" s="191"/>
      <x:c r="E126" s="191"/>
      <x:c r="F126" s="191"/>
      <x:c r="G126" s="191"/>
      <x:c r="H126" s="191"/>
      <x:c r="I126" s="191"/>
      <x:c r="J126" s="191"/>
      <x:c r="K126" s="191"/>
      <x:c r="L126" s="191"/>
      <x:c r="M126" s="191"/>
      <x:c r="N126" s="191"/>
      <x:c r="O126" s="191"/>
      <x:c r="P126" s="191"/>
      <x:c r="Q126" s="191"/>
      <x:c r="R126" s="191"/>
      <x:c r="S126" s="191"/>
      <x:c r="T126" s="191"/>
      <x:c r="U126" s="191"/>
      <x:c r="V126" s="191"/>
      <x:c r="W126" s="191"/>
      <x:c r="X126" s="191"/>
      <x:c r="Y126" s="191"/>
      <x:c r="Z126" s="191"/>
      <x:c r="AA126" s="191"/>
      <x:c r="AB126" s="191"/>
      <x:c r="AC126" s="191"/>
      <x:c r="AD126" s="191"/>
      <x:c r="AE126" s="191"/>
      <x:c r="AF126" s="191"/>
      <x:c r="AG126" s="191"/>
      <x:c r="AH126" s="191"/>
      <x:c r="AI126" s="191"/>
      <x:c r="AJ126" s="191"/>
      <x:c r="AK126" s="191"/>
    </x:row>
    <x:row r="127">
      <x:c r="A127" s="191"/>
      <x:c r="B127" s="191"/>
      <x:c r="C127" s="191"/>
      <x:c r="D127" s="191"/>
      <x:c r="E127" s="191"/>
      <x:c r="F127" s="191"/>
      <x:c r="G127" s="191"/>
      <x:c r="H127" s="191"/>
      <x:c r="I127" s="191"/>
      <x:c r="J127" s="191"/>
      <x:c r="K127" s="191"/>
      <x:c r="L127" s="191"/>
      <x:c r="M127" s="191"/>
      <x:c r="N127" s="191"/>
      <x:c r="O127" s="191"/>
      <x:c r="P127" s="191"/>
      <x:c r="Q127" s="191"/>
      <x:c r="R127" s="191"/>
      <x:c r="S127" s="191"/>
      <x:c r="T127" s="191"/>
      <x:c r="U127" s="191"/>
      <x:c r="V127" s="191"/>
      <x:c r="W127" s="191"/>
      <x:c r="X127" s="191"/>
      <x:c r="Y127" s="191"/>
      <x:c r="Z127" s="191"/>
      <x:c r="AA127" s="191"/>
      <x:c r="AB127" s="191"/>
      <x:c r="AC127" s="191"/>
      <x:c r="AD127" s="191"/>
      <x:c r="AE127" s="191"/>
      <x:c r="AF127" s="191"/>
      <x:c r="AG127" s="191"/>
      <x:c r="AH127" s="191"/>
      <x:c r="AI127" s="191"/>
      <x:c r="AJ127" s="191"/>
      <x:c r="AK127" s="191"/>
    </x:row>
    <x:row r="128">
      <x:c r="A128" s="191"/>
      <x:c r="B128" s="191"/>
      <x:c r="C128" s="191"/>
      <x:c r="D128" s="191"/>
      <x:c r="E128" s="191"/>
      <x:c r="F128" s="191"/>
      <x:c r="G128" s="191"/>
      <x:c r="H128" s="191"/>
      <x:c r="I128" s="191"/>
      <x:c r="J128" s="191"/>
      <x:c r="K128" s="191"/>
      <x:c r="L128" s="191"/>
      <x:c r="M128" s="191"/>
      <x:c r="N128" s="191"/>
      <x:c r="O128" s="191"/>
      <x:c r="P128" s="191"/>
      <x:c r="Q128" s="191"/>
      <x:c r="R128" s="191"/>
      <x:c r="S128" s="191"/>
      <x:c r="T128" s="191"/>
      <x:c r="U128" s="191"/>
      <x:c r="V128" s="191"/>
      <x:c r="W128" s="191"/>
      <x:c r="X128" s="191"/>
      <x:c r="Y128" s="191"/>
      <x:c r="Z128" s="191"/>
      <x:c r="AA128" s="191"/>
      <x:c r="AB128" s="191"/>
      <x:c r="AC128" s="191"/>
      <x:c r="AD128" s="191"/>
      <x:c r="AE128" s="191"/>
      <x:c r="AF128" s="191"/>
      <x:c r="AG128" s="191"/>
      <x:c r="AH128" s="191"/>
      <x:c r="AI128" s="191"/>
      <x:c r="AJ128" s="191"/>
      <x:c r="AK128" s="191"/>
    </x:row>
    <x:row r="129">
      <x:c r="A129" s="191"/>
      <x:c r="B129" s="191"/>
      <x:c r="C129" s="191"/>
      <x:c r="D129" s="191"/>
      <x:c r="E129" s="191"/>
      <x:c r="F129" s="191"/>
      <x:c r="G129" s="191"/>
      <x:c r="H129" s="191"/>
      <x:c r="I129" s="191"/>
      <x:c r="J129" s="191"/>
      <x:c r="K129" s="191"/>
      <x:c r="L129" s="191"/>
      <x:c r="M129" s="191"/>
      <x:c r="N129" s="191"/>
      <x:c r="O129" s="191"/>
      <x:c r="P129" s="191"/>
      <x:c r="Q129" s="191"/>
      <x:c r="R129" s="191"/>
      <x:c r="S129" s="191"/>
      <x:c r="T129" s="191"/>
      <x:c r="U129" s="191"/>
      <x:c r="V129" s="191"/>
      <x:c r="W129" s="191"/>
      <x:c r="X129" s="191"/>
      <x:c r="Y129" s="191"/>
      <x:c r="Z129" s="191"/>
      <x:c r="AA129" s="191"/>
      <x:c r="AB129" s="191"/>
      <x:c r="AC129" s="191"/>
      <x:c r="AD129" s="191"/>
      <x:c r="AE129" s="191"/>
      <x:c r="AF129" s="191"/>
      <x:c r="AG129" s="191"/>
      <x:c r="AH129" s="191"/>
      <x:c r="AI129" s="191"/>
      <x:c r="AJ129" s="191"/>
      <x:c r="AK129" s="191"/>
    </x:row>
    <x:row r="130">
      <x:c r="A130" s="191"/>
      <x:c r="B130" s="191"/>
      <x:c r="C130" s="191"/>
      <x:c r="D130" s="191"/>
      <x:c r="E130" s="191"/>
      <x:c r="F130" s="191"/>
      <x:c r="G130" s="191"/>
      <x:c r="H130" s="191"/>
      <x:c r="I130" s="191"/>
      <x:c r="J130" s="191"/>
      <x:c r="K130" s="191"/>
      <x:c r="L130" s="191"/>
      <x:c r="M130" s="191"/>
      <x:c r="N130" s="191"/>
      <x:c r="O130" s="191"/>
      <x:c r="P130" s="191"/>
      <x:c r="Q130" s="191"/>
      <x:c r="R130" s="191"/>
      <x:c r="S130" s="191"/>
      <x:c r="T130" s="191"/>
      <x:c r="U130" s="191"/>
      <x:c r="V130" s="191"/>
      <x:c r="W130" s="191"/>
      <x:c r="X130" s="191"/>
      <x:c r="Y130" s="191"/>
      <x:c r="Z130" s="191"/>
      <x:c r="AA130" s="191"/>
      <x:c r="AB130" s="191"/>
      <x:c r="AC130" s="191"/>
      <x:c r="AD130" s="191"/>
      <x:c r="AE130" s="191"/>
      <x:c r="AF130" s="191"/>
      <x:c r="AG130" s="191"/>
      <x:c r="AH130" s="191"/>
      <x:c r="AI130" s="191"/>
      <x:c r="AJ130" s="191"/>
      <x:c r="AK130" s="191"/>
    </x:row>
    <x:row r="131">
      <x:c r="A131" s="191"/>
      <x:c r="B131" s="191"/>
      <x:c r="C131" s="191"/>
      <x:c r="D131" s="191"/>
      <x:c r="E131" s="191"/>
      <x:c r="F131" s="191"/>
      <x:c r="G131" s="191"/>
      <x:c r="H131" s="191"/>
      <x:c r="I131" s="191"/>
      <x:c r="J131" s="191"/>
      <x:c r="K131" s="191"/>
      <x:c r="L131" s="191"/>
      <x:c r="M131" s="191"/>
      <x:c r="N131" s="191"/>
      <x:c r="O131" s="191"/>
      <x:c r="P131" s="191"/>
      <x:c r="Q131" s="191"/>
      <x:c r="R131" s="191"/>
      <x:c r="S131" s="191"/>
      <x:c r="T131" s="191"/>
      <x:c r="U131" s="191"/>
      <x:c r="V131" s="191"/>
      <x:c r="W131" s="191"/>
      <x:c r="X131" s="191"/>
      <x:c r="Y131" s="191"/>
      <x:c r="Z131" s="191"/>
      <x:c r="AA131" s="191"/>
      <x:c r="AB131" s="191"/>
      <x:c r="AC131" s="191"/>
      <x:c r="AD131" s="191"/>
      <x:c r="AE131" s="191"/>
      <x:c r="AF131" s="191"/>
      <x:c r="AG131" s="191"/>
      <x:c r="AH131" s="191"/>
      <x:c r="AI131" s="191"/>
      <x:c r="AJ131" s="191"/>
      <x:c r="AK131" s="191"/>
    </x:row>
    <x:row r="132">
      <x:c r="A132" s="191"/>
      <x:c r="B132" s="191"/>
      <x:c r="C132" s="191"/>
      <x:c r="D132" s="191"/>
      <x:c r="E132" s="191"/>
      <x:c r="F132" s="191"/>
      <x:c r="G132" s="191"/>
      <x:c r="H132" s="191"/>
      <x:c r="I132" s="191"/>
      <x:c r="J132" s="191"/>
      <x:c r="K132" s="191"/>
      <x:c r="L132" s="191"/>
      <x:c r="M132" s="191"/>
      <x:c r="N132" s="191"/>
      <x:c r="O132" s="191"/>
      <x:c r="P132" s="191"/>
      <x:c r="Q132" s="191"/>
      <x:c r="R132" s="191"/>
      <x:c r="S132" s="191"/>
      <x:c r="T132" s="191"/>
      <x:c r="U132" s="191"/>
      <x:c r="V132" s="191"/>
      <x:c r="W132" s="191"/>
      <x:c r="X132" s="191"/>
      <x:c r="Y132" s="191"/>
      <x:c r="Z132" s="191"/>
      <x:c r="AA132" s="191"/>
      <x:c r="AB132" s="191"/>
      <x:c r="AC132" s="191"/>
      <x:c r="AD132" s="191"/>
      <x:c r="AE132" s="191"/>
      <x:c r="AF132" s="191"/>
      <x:c r="AG132" s="191"/>
      <x:c r="AH132" s="191"/>
      <x:c r="AI132" s="191"/>
      <x:c r="AJ132" s="191"/>
      <x:c r="AK132" s="191"/>
    </x:row>
    <x:row r="133">
      <x:c r="A133" s="191"/>
      <x:c r="B133" s="191"/>
      <x:c r="C133" s="191"/>
      <x:c r="D133" s="191"/>
      <x:c r="E133" s="191"/>
      <x:c r="F133" s="191"/>
      <x:c r="G133" s="191"/>
      <x:c r="H133" s="191"/>
      <x:c r="I133" s="191"/>
      <x:c r="J133" s="191"/>
      <x:c r="K133" s="191"/>
      <x:c r="L133" s="191"/>
      <x:c r="M133" s="191"/>
      <x:c r="N133" s="191"/>
      <x:c r="O133" s="191"/>
      <x:c r="P133" s="191"/>
      <x:c r="Q133" s="191"/>
      <x:c r="R133" s="191"/>
      <x:c r="S133" s="191"/>
      <x:c r="T133" s="191"/>
      <x:c r="U133" s="191"/>
      <x:c r="V133" s="191"/>
      <x:c r="W133" s="191"/>
      <x:c r="X133" s="191"/>
      <x:c r="Y133" s="191"/>
      <x:c r="Z133" s="191"/>
      <x:c r="AA133" s="191"/>
      <x:c r="AB133" s="191"/>
      <x:c r="AC133" s="191"/>
      <x:c r="AD133" s="191"/>
      <x:c r="AE133" s="191"/>
      <x:c r="AF133" s="191"/>
      <x:c r="AG133" s="191"/>
      <x:c r="AH133" s="191"/>
      <x:c r="AI133" s="191"/>
      <x:c r="AJ133" s="191"/>
      <x:c r="AK133" s="191"/>
    </x:row>
    <x:row r="134">
      <x:c r="A134" s="191"/>
      <x:c r="B134" s="191"/>
      <x:c r="C134" s="191"/>
      <x:c r="D134" s="191"/>
      <x:c r="E134" s="191"/>
      <x:c r="F134" s="191"/>
      <x:c r="G134" s="191"/>
      <x:c r="H134" s="191"/>
      <x:c r="I134" s="191"/>
      <x:c r="J134" s="191"/>
      <x:c r="K134" s="191"/>
      <x:c r="L134" s="191"/>
      <x:c r="M134" s="191"/>
      <x:c r="N134" s="191"/>
      <x:c r="O134" s="191"/>
      <x:c r="P134" s="191"/>
      <x:c r="Q134" s="191"/>
      <x:c r="R134" s="191"/>
      <x:c r="S134" s="191"/>
      <x:c r="T134" s="191"/>
      <x:c r="U134" s="191"/>
      <x:c r="V134" s="191"/>
      <x:c r="W134" s="191"/>
      <x:c r="X134" s="191"/>
      <x:c r="Y134" s="191"/>
      <x:c r="Z134" s="191"/>
      <x:c r="AA134" s="191"/>
      <x:c r="AB134" s="191"/>
      <x:c r="AC134" s="191"/>
      <x:c r="AD134" s="191"/>
      <x:c r="AE134" s="191"/>
      <x:c r="AF134" s="191"/>
      <x:c r="AG134" s="191"/>
      <x:c r="AH134" s="191"/>
      <x:c r="AI134" s="191"/>
      <x:c r="AJ134" s="191"/>
      <x:c r="AK134" s="191"/>
    </x:row>
    <x:row r="135">
      <x:c r="A135" s="191"/>
      <x:c r="B135" s="191"/>
      <x:c r="C135" s="191"/>
      <x:c r="D135" s="191"/>
      <x:c r="E135" s="191"/>
      <x:c r="F135" s="191"/>
      <x:c r="G135" s="191"/>
      <x:c r="H135" s="191"/>
      <x:c r="I135" s="191"/>
      <x:c r="J135" s="191"/>
      <x:c r="K135" s="191"/>
      <x:c r="L135" s="191"/>
      <x:c r="M135" s="191"/>
      <x:c r="N135" s="191"/>
      <x:c r="O135" s="191"/>
      <x:c r="P135" s="191"/>
      <x:c r="Q135" s="191"/>
      <x:c r="R135" s="191"/>
      <x:c r="S135" s="191"/>
      <x:c r="T135" s="191"/>
      <x:c r="U135" s="191"/>
      <x:c r="V135" s="191"/>
      <x:c r="W135" s="191"/>
      <x:c r="X135" s="191"/>
      <x:c r="Y135" s="191"/>
      <x:c r="Z135" s="191"/>
      <x:c r="AA135" s="191"/>
      <x:c r="AB135" s="191"/>
      <x:c r="AC135" s="191"/>
      <x:c r="AD135" s="191"/>
      <x:c r="AE135" s="191"/>
      <x:c r="AF135" s="191"/>
      <x:c r="AG135" s="191"/>
      <x:c r="AH135" s="191"/>
      <x:c r="AI135" s="191"/>
      <x:c r="AJ135" s="191"/>
      <x:c r="AK135" s="191"/>
    </x:row>
    <x:row r="136">
      <x:c r="A136" s="191"/>
      <x:c r="B136" s="191"/>
      <x:c r="C136" s="191"/>
      <x:c r="D136" s="191"/>
      <x:c r="E136" s="191"/>
      <x:c r="F136" s="191"/>
      <x:c r="G136" s="191"/>
      <x:c r="H136" s="191"/>
      <x:c r="I136" s="191"/>
      <x:c r="J136" s="191"/>
      <x:c r="K136" s="191"/>
      <x:c r="L136" s="191"/>
      <x:c r="M136" s="191"/>
      <x:c r="N136" s="191"/>
      <x:c r="O136" s="191"/>
      <x:c r="P136" s="191"/>
      <x:c r="Q136" s="191"/>
      <x:c r="R136" s="191"/>
      <x:c r="S136" s="191"/>
      <x:c r="T136" s="191"/>
      <x:c r="U136" s="191"/>
      <x:c r="V136" s="191"/>
      <x:c r="W136" s="191"/>
      <x:c r="X136" s="191"/>
      <x:c r="Y136" s="191"/>
      <x:c r="Z136" s="191"/>
      <x:c r="AA136" s="191"/>
      <x:c r="AB136" s="191"/>
      <x:c r="AC136" s="191"/>
      <x:c r="AD136" s="191"/>
      <x:c r="AE136" s="191"/>
      <x:c r="AF136" s="191"/>
      <x:c r="AG136" s="191"/>
      <x:c r="AH136" s="191"/>
      <x:c r="AI136" s="191"/>
      <x:c r="AJ136" s="191"/>
      <x:c r="AK136" s="191"/>
    </x:row>
    <x:row r="137">
      <x:c r="A137" s="191"/>
      <x:c r="B137" s="191"/>
      <x:c r="C137" s="191"/>
      <x:c r="D137" s="191"/>
      <x:c r="E137" s="191"/>
      <x:c r="F137" s="191"/>
      <x:c r="G137" s="191"/>
      <x:c r="H137" s="191"/>
      <x:c r="I137" s="191"/>
      <x:c r="J137" s="191"/>
      <x:c r="K137" s="191"/>
      <x:c r="L137" s="191"/>
      <x:c r="M137" s="191"/>
      <x:c r="N137" s="191"/>
      <x:c r="O137" s="191"/>
      <x:c r="P137" s="191"/>
      <x:c r="Q137" s="191"/>
      <x:c r="R137" s="191"/>
      <x:c r="S137" s="191"/>
      <x:c r="T137" s="191"/>
      <x:c r="U137" s="191"/>
      <x:c r="V137" s="191"/>
      <x:c r="W137" s="191"/>
      <x:c r="X137" s="191"/>
      <x:c r="Y137" s="191"/>
      <x:c r="Z137" s="191"/>
      <x:c r="AA137" s="191"/>
      <x:c r="AB137" s="191"/>
      <x:c r="AC137" s="191"/>
      <x:c r="AD137" s="191"/>
      <x:c r="AE137" s="191"/>
      <x:c r="AF137" s="191"/>
      <x:c r="AG137" s="191"/>
      <x:c r="AH137" s="191"/>
      <x:c r="AI137" s="191"/>
      <x:c r="AJ137" s="191"/>
      <x:c r="AK137" s="191"/>
    </x:row>
    <x:row r="138">
      <x:c r="A138" s="191"/>
      <x:c r="B138" s="191"/>
      <x:c r="C138" s="191"/>
      <x:c r="D138" s="191"/>
      <x:c r="E138" s="191"/>
      <x:c r="F138" s="191"/>
      <x:c r="G138" s="191"/>
      <x:c r="H138" s="191"/>
      <x:c r="I138" s="191"/>
      <x:c r="J138" s="191"/>
      <x:c r="K138" s="191"/>
      <x:c r="L138" s="191"/>
      <x:c r="M138" s="191"/>
      <x:c r="N138" s="191"/>
      <x:c r="O138" s="191"/>
      <x:c r="P138" s="191"/>
      <x:c r="Q138" s="191"/>
      <x:c r="R138" s="191"/>
      <x:c r="S138" s="191"/>
      <x:c r="T138" s="191"/>
      <x:c r="U138" s="191"/>
      <x:c r="V138" s="191"/>
      <x:c r="W138" s="191"/>
      <x:c r="X138" s="191"/>
      <x:c r="Y138" s="191"/>
      <x:c r="Z138" s="191"/>
      <x:c r="AA138" s="191"/>
      <x:c r="AB138" s="191"/>
      <x:c r="AC138" s="191"/>
      <x:c r="AD138" s="191"/>
      <x:c r="AE138" s="191"/>
      <x:c r="AF138" s="191"/>
      <x:c r="AG138" s="191"/>
      <x:c r="AH138" s="191"/>
      <x:c r="AI138" s="191"/>
      <x:c r="AJ138" s="191"/>
      <x:c r="AK138" s="191"/>
    </x:row>
    <x:row r="139">
      <x:c r="A139" s="191"/>
      <x:c r="B139" s="191"/>
      <x:c r="C139" s="191"/>
      <x:c r="D139" s="191"/>
      <x:c r="E139" s="191"/>
      <x:c r="F139" s="191"/>
      <x:c r="G139" s="191"/>
      <x:c r="H139" s="191"/>
      <x:c r="I139" s="191"/>
      <x:c r="J139" s="191"/>
      <x:c r="K139" s="191"/>
      <x:c r="L139" s="191"/>
      <x:c r="M139" s="191"/>
      <x:c r="N139" s="191"/>
      <x:c r="O139" s="191"/>
      <x:c r="P139" s="191"/>
      <x:c r="Q139" s="191"/>
      <x:c r="R139" s="191"/>
      <x:c r="S139" s="191"/>
      <x:c r="T139" s="191"/>
      <x:c r="U139" s="191"/>
      <x:c r="V139" s="191"/>
      <x:c r="W139" s="191"/>
      <x:c r="X139" s="191"/>
      <x:c r="Y139" s="191"/>
      <x:c r="Z139" s="191"/>
      <x:c r="AA139" s="191"/>
      <x:c r="AB139" s="191"/>
      <x:c r="AC139" s="191"/>
      <x:c r="AD139" s="191"/>
      <x:c r="AE139" s="191"/>
      <x:c r="AF139" s="191"/>
      <x:c r="AG139" s="191"/>
      <x:c r="AH139" s="191"/>
      <x:c r="AI139" s="191"/>
      <x:c r="AJ139" s="191"/>
      <x:c r="AK139" s="191"/>
    </x:row>
    <x:row r="140">
      <x:c r="A140" s="191"/>
      <x:c r="B140" s="191"/>
      <x:c r="C140" s="191"/>
      <x:c r="D140" s="191"/>
      <x:c r="E140" s="191"/>
      <x:c r="F140" s="191"/>
      <x:c r="G140" s="191"/>
      <x:c r="H140" s="191"/>
      <x:c r="I140" s="191"/>
      <x:c r="J140" s="191"/>
      <x:c r="K140" s="191"/>
      <x:c r="L140" s="191"/>
      <x:c r="M140" s="191"/>
      <x:c r="N140" s="191"/>
      <x:c r="O140" s="191"/>
      <x:c r="P140" s="191"/>
      <x:c r="Q140" s="191"/>
      <x:c r="R140" s="191"/>
      <x:c r="S140" s="191"/>
      <x:c r="T140" s="191"/>
      <x:c r="U140" s="191"/>
      <x:c r="V140" s="191"/>
      <x:c r="W140" s="191"/>
      <x:c r="X140" s="191"/>
      <x:c r="Y140" s="191"/>
      <x:c r="Z140" s="191"/>
      <x:c r="AA140" s="191"/>
      <x:c r="AB140" s="191"/>
      <x:c r="AC140" s="191"/>
      <x:c r="AD140" s="191"/>
      <x:c r="AE140" s="191"/>
      <x:c r="AF140" s="191"/>
      <x:c r="AG140" s="191"/>
      <x:c r="AH140" s="191"/>
      <x:c r="AI140" s="191"/>
      <x:c r="AJ140" s="191"/>
      <x:c r="AK140" s="191"/>
    </x:row>
    <x:row r="141">
      <x:c r="A141" s="191"/>
      <x:c r="B141" s="191"/>
      <x:c r="C141" s="191"/>
      <x:c r="D141" s="191"/>
      <x:c r="E141" s="191"/>
      <x:c r="F141" s="191"/>
      <x:c r="G141" s="191"/>
      <x:c r="H141" s="191"/>
      <x:c r="I141" s="191"/>
      <x:c r="J141" s="191"/>
      <x:c r="K141" s="191"/>
      <x:c r="L141" s="191"/>
      <x:c r="M141" s="191"/>
      <x:c r="N141" s="191"/>
      <x:c r="O141" s="191"/>
      <x:c r="P141" s="191"/>
      <x:c r="Q141" s="191"/>
      <x:c r="R141" s="191"/>
      <x:c r="S141" s="191"/>
      <x:c r="T141" s="191"/>
      <x:c r="U141" s="191"/>
      <x:c r="V141" s="191"/>
      <x:c r="W141" s="191"/>
      <x:c r="X141" s="191"/>
      <x:c r="Y141" s="191"/>
      <x:c r="Z141" s="191"/>
      <x:c r="AA141" s="191"/>
      <x:c r="AB141" s="191"/>
      <x:c r="AC141" s="191"/>
      <x:c r="AD141" s="191"/>
      <x:c r="AE141" s="191"/>
      <x:c r="AF141" s="191"/>
      <x:c r="AG141" s="191"/>
      <x:c r="AH141" s="191"/>
      <x:c r="AI141" s="191"/>
      <x:c r="AJ141" s="191"/>
      <x:c r="AK141" s="191"/>
    </x:row>
    <x:row r="142">
      <x:c r="A142" s="191"/>
      <x:c r="B142" s="191"/>
      <x:c r="C142" s="191"/>
      <x:c r="D142" s="191"/>
      <x:c r="E142" s="191"/>
      <x:c r="F142" s="191"/>
      <x:c r="G142" s="191"/>
      <x:c r="H142" s="191"/>
      <x:c r="I142" s="191"/>
      <x:c r="J142" s="191"/>
      <x:c r="K142" s="191"/>
      <x:c r="L142" s="191"/>
      <x:c r="M142" s="191"/>
      <x:c r="N142" s="191"/>
      <x:c r="O142" s="191"/>
      <x:c r="P142" s="191"/>
      <x:c r="Q142" s="191"/>
      <x:c r="R142" s="191"/>
      <x:c r="S142" s="191"/>
      <x:c r="T142" s="191"/>
      <x:c r="U142" s="191"/>
      <x:c r="V142" s="191"/>
      <x:c r="W142" s="191"/>
      <x:c r="X142" s="191"/>
      <x:c r="Y142" s="191"/>
      <x:c r="Z142" s="191"/>
      <x:c r="AA142" s="191"/>
      <x:c r="AB142" s="191"/>
      <x:c r="AC142" s="191"/>
      <x:c r="AD142" s="191"/>
      <x:c r="AE142" s="191"/>
      <x:c r="AF142" s="191"/>
      <x:c r="AG142" s="191"/>
      <x:c r="AH142" s="191"/>
      <x:c r="AI142" s="191"/>
      <x:c r="AJ142" s="191"/>
      <x:c r="AK142" s="191"/>
    </x:row>
    <x:row r="143">
      <x:c r="A143" s="191"/>
      <x:c r="B143" s="191"/>
      <x:c r="C143" s="191"/>
      <x:c r="D143" s="191"/>
      <x:c r="E143" s="191"/>
      <x:c r="F143" s="191"/>
      <x:c r="G143" s="191"/>
      <x:c r="H143" s="191"/>
      <x:c r="I143" s="191"/>
      <x:c r="J143" s="191"/>
      <x:c r="K143" s="191"/>
      <x:c r="L143" s="191"/>
      <x:c r="M143" s="191"/>
      <x:c r="N143" s="191"/>
      <x:c r="O143" s="191"/>
      <x:c r="P143" s="191"/>
      <x:c r="Q143" s="191"/>
      <x:c r="R143" s="191"/>
      <x:c r="S143" s="191"/>
      <x:c r="T143" s="191"/>
      <x:c r="U143" s="191"/>
      <x:c r="V143" s="191"/>
      <x:c r="W143" s="191"/>
      <x:c r="X143" s="191"/>
      <x:c r="Y143" s="191"/>
      <x:c r="Z143" s="191"/>
      <x:c r="AA143" s="191"/>
      <x:c r="AB143" s="191"/>
      <x:c r="AC143" s="191"/>
      <x:c r="AD143" s="191"/>
      <x:c r="AE143" s="191"/>
      <x:c r="AF143" s="191"/>
      <x:c r="AG143" s="191"/>
      <x:c r="AH143" s="191"/>
      <x:c r="AI143" s="191"/>
      <x:c r="AJ143" s="191"/>
      <x:c r="AK143" s="191"/>
    </x:row>
    <x:row r="144">
      <x:c r="A144" s="191"/>
      <x:c r="B144" s="191"/>
      <x:c r="C144" s="191"/>
      <x:c r="D144" s="191"/>
      <x:c r="E144" s="191"/>
      <x:c r="F144" s="191"/>
      <x:c r="G144" s="191"/>
      <x:c r="H144" s="191"/>
      <x:c r="I144" s="191"/>
      <x:c r="J144" s="191"/>
      <x:c r="K144" s="191"/>
      <x:c r="L144" s="191"/>
      <x:c r="M144" s="191"/>
      <x:c r="N144" s="191"/>
      <x:c r="O144" s="191"/>
      <x:c r="P144" s="191"/>
      <x:c r="Q144" s="191"/>
      <x:c r="R144" s="191"/>
      <x:c r="S144" s="191"/>
      <x:c r="T144" s="191"/>
      <x:c r="U144" s="191"/>
      <x:c r="V144" s="191"/>
      <x:c r="W144" s="191"/>
      <x:c r="X144" s="191"/>
      <x:c r="Y144" s="191"/>
      <x:c r="Z144" s="191"/>
      <x:c r="AA144" s="191"/>
      <x:c r="AB144" s="191"/>
      <x:c r="AC144" s="191"/>
      <x:c r="AD144" s="191"/>
      <x:c r="AE144" s="191"/>
      <x:c r="AF144" s="191"/>
      <x:c r="AG144" s="191"/>
      <x:c r="AH144" s="191"/>
      <x:c r="AI144" s="191"/>
      <x:c r="AJ144" s="191"/>
      <x:c r="AK144" s="191"/>
    </x:row>
    <x:row r="145">
      <x:c r="A145" s="191"/>
      <x:c r="B145" s="191"/>
      <x:c r="C145" s="191"/>
      <x:c r="D145" s="191"/>
      <x:c r="E145" s="191"/>
      <x:c r="F145" s="191"/>
      <x:c r="G145" s="191"/>
      <x:c r="H145" s="191"/>
      <x:c r="I145" s="191"/>
      <x:c r="J145" s="191"/>
      <x:c r="K145" s="191"/>
      <x:c r="L145" s="191"/>
      <x:c r="M145" s="191"/>
      <x:c r="N145" s="191"/>
      <x:c r="O145" s="191"/>
      <x:c r="P145" s="191"/>
      <x:c r="Q145" s="191"/>
      <x:c r="R145" s="191"/>
      <x:c r="S145" s="191"/>
      <x:c r="T145" s="191"/>
      <x:c r="U145" s="191"/>
      <x:c r="V145" s="191"/>
      <x:c r="W145" s="191"/>
      <x:c r="X145" s="191"/>
      <x:c r="Y145" s="191"/>
      <x:c r="Z145" s="191"/>
      <x:c r="AA145" s="191"/>
      <x:c r="AB145" s="191"/>
      <x:c r="AC145" s="191"/>
      <x:c r="AD145" s="191"/>
      <x:c r="AE145" s="191"/>
      <x:c r="AF145" s="191"/>
      <x:c r="AG145" s="191"/>
      <x:c r="AH145" s="191"/>
      <x:c r="AI145" s="191"/>
      <x:c r="AJ145" s="191"/>
      <x:c r="AK145" s="191"/>
    </x:row>
    <x:row r="146">
      <x:c r="A146" s="191"/>
      <x:c r="B146" s="191"/>
      <x:c r="C146" s="191"/>
      <x:c r="D146" s="191"/>
      <x:c r="E146" s="191"/>
      <x:c r="F146" s="191"/>
      <x:c r="G146" s="191"/>
      <x:c r="H146" s="191"/>
      <x:c r="I146" s="191"/>
      <x:c r="J146" s="191"/>
      <x:c r="K146" s="191"/>
      <x:c r="L146" s="191"/>
      <x:c r="M146" s="191"/>
      <x:c r="N146" s="191"/>
      <x:c r="O146" s="191"/>
      <x:c r="P146" s="191"/>
      <x:c r="Q146" s="191"/>
      <x:c r="R146" s="191"/>
      <x:c r="S146" s="191"/>
      <x:c r="T146" s="191"/>
      <x:c r="U146" s="191"/>
      <x:c r="V146" s="191"/>
      <x:c r="W146" s="191"/>
      <x:c r="X146" s="191"/>
      <x:c r="Y146" s="191"/>
      <x:c r="Z146" s="191"/>
      <x:c r="AA146" s="191"/>
      <x:c r="AB146" s="191"/>
      <x:c r="AC146" s="191"/>
      <x:c r="AD146" s="191"/>
      <x:c r="AE146" s="191"/>
      <x:c r="AF146" s="191"/>
      <x:c r="AG146" s="191"/>
      <x:c r="AH146" s="191"/>
      <x:c r="AI146" s="191"/>
      <x:c r="AJ146" s="191"/>
      <x:c r="AK146" s="191"/>
    </x:row>
    <x:row r="147">
      <x:c r="A147" s="191"/>
      <x:c r="B147" s="191"/>
      <x:c r="C147" s="191"/>
      <x:c r="D147" s="191"/>
      <x:c r="E147" s="191"/>
      <x:c r="F147" s="191"/>
      <x:c r="G147" s="191"/>
      <x:c r="H147" s="191"/>
      <x:c r="I147" s="191"/>
      <x:c r="J147" s="191"/>
      <x:c r="K147" s="191"/>
      <x:c r="L147" s="191"/>
      <x:c r="M147" s="191"/>
      <x:c r="N147" s="191"/>
      <x:c r="O147" s="191"/>
      <x:c r="P147" s="191"/>
      <x:c r="Q147" s="191"/>
      <x:c r="R147" s="191"/>
      <x:c r="S147" s="191"/>
      <x:c r="T147" s="191"/>
      <x:c r="U147" s="191"/>
      <x:c r="V147" s="191"/>
      <x:c r="W147" s="191"/>
      <x:c r="X147" s="191"/>
      <x:c r="Y147" s="191"/>
      <x:c r="Z147" s="191"/>
      <x:c r="AA147" s="191"/>
      <x:c r="AB147" s="191"/>
      <x:c r="AC147" s="191"/>
      <x:c r="AD147" s="191"/>
      <x:c r="AE147" s="191"/>
      <x:c r="AF147" s="191"/>
      <x:c r="AG147" s="191"/>
      <x:c r="AH147" s="191"/>
      <x:c r="AI147" s="191"/>
      <x:c r="AJ147" s="191"/>
      <x:c r="AK147" s="191"/>
    </x:row>
    <x:row r="148">
      <x:c r="A148" s="191"/>
      <x:c r="B148" s="191"/>
      <x:c r="C148" s="191"/>
      <x:c r="D148" s="191"/>
      <x:c r="E148" s="191"/>
      <x:c r="F148" s="191"/>
      <x:c r="G148" s="191"/>
      <x:c r="H148" s="191"/>
      <x:c r="I148" s="191"/>
      <x:c r="J148" s="191"/>
      <x:c r="K148" s="191"/>
      <x:c r="L148" s="191"/>
      <x:c r="M148" s="191"/>
      <x:c r="N148" s="191"/>
      <x:c r="O148" s="191"/>
      <x:c r="P148" s="191"/>
      <x:c r="Q148" s="191"/>
      <x:c r="R148" s="191"/>
      <x:c r="S148" s="191"/>
      <x:c r="T148" s="191"/>
      <x:c r="U148" s="191"/>
      <x:c r="V148" s="191"/>
      <x:c r="W148" s="191"/>
      <x:c r="X148" s="191"/>
      <x:c r="Y148" s="191"/>
      <x:c r="Z148" s="191"/>
      <x:c r="AA148" s="191"/>
      <x:c r="AB148" s="191"/>
      <x:c r="AC148" s="191"/>
      <x:c r="AD148" s="191"/>
      <x:c r="AE148" s="191"/>
      <x:c r="AF148" s="191"/>
      <x:c r="AG148" s="191"/>
      <x:c r="AH148" s="191"/>
      <x:c r="AI148" s="191"/>
      <x:c r="AJ148" s="191"/>
      <x:c r="AK148" s="191"/>
    </x:row>
    <x:row r="149">
      <x:c r="A149" s="191"/>
      <x:c r="B149" s="191"/>
      <x:c r="C149" s="191"/>
      <x:c r="D149" s="191"/>
      <x:c r="E149" s="191"/>
      <x:c r="F149" s="191"/>
      <x:c r="G149" s="191"/>
      <x:c r="H149" s="191"/>
      <x:c r="I149" s="191"/>
      <x:c r="J149" s="191"/>
      <x:c r="K149" s="191"/>
      <x:c r="L149" s="191"/>
      <x:c r="M149" s="191"/>
      <x:c r="N149" s="191"/>
      <x:c r="O149" s="191"/>
      <x:c r="P149" s="191"/>
      <x:c r="Q149" s="191"/>
      <x:c r="R149" s="191"/>
      <x:c r="S149" s="191"/>
      <x:c r="T149" s="191"/>
      <x:c r="U149" s="191"/>
      <x:c r="V149" s="191"/>
      <x:c r="W149" s="191"/>
      <x:c r="X149" s="191"/>
      <x:c r="Y149" s="191"/>
      <x:c r="Z149" s="191"/>
      <x:c r="AA149" s="191"/>
      <x:c r="AB149" s="191"/>
      <x:c r="AC149" s="191"/>
      <x:c r="AD149" s="191"/>
      <x:c r="AE149" s="191"/>
      <x:c r="AF149" s="191"/>
      <x:c r="AG149" s="191"/>
      <x:c r="AH149" s="191"/>
      <x:c r="AI149" s="191"/>
      <x:c r="AJ149" s="191"/>
      <x:c r="AK149" s="191"/>
    </x:row>
    <x:row r="150">
      <x:c r="A150" s="191"/>
      <x:c r="B150" s="191"/>
      <x:c r="C150" s="191"/>
      <x:c r="D150" s="191"/>
      <x:c r="E150" s="191"/>
      <x:c r="F150" s="191"/>
      <x:c r="G150" s="191"/>
      <x:c r="H150" s="191"/>
      <x:c r="I150" s="191"/>
      <x:c r="J150" s="191"/>
      <x:c r="K150" s="191"/>
      <x:c r="L150" s="191"/>
      <x:c r="M150" s="191"/>
      <x:c r="N150" s="191"/>
      <x:c r="O150" s="191"/>
      <x:c r="P150" s="191"/>
      <x:c r="Q150" s="191"/>
      <x:c r="R150" s="191"/>
      <x:c r="S150" s="191"/>
      <x:c r="T150" s="191"/>
      <x:c r="U150" s="191"/>
      <x:c r="V150" s="191"/>
      <x:c r="W150" s="191"/>
      <x:c r="X150" s="191"/>
      <x:c r="Y150" s="191"/>
      <x:c r="Z150" s="191"/>
      <x:c r="AA150" s="191"/>
      <x:c r="AB150" s="191"/>
      <x:c r="AC150" s="191"/>
      <x:c r="AD150" s="191"/>
      <x:c r="AE150" s="191"/>
      <x:c r="AF150" s="191"/>
      <x:c r="AG150" s="191"/>
      <x:c r="AH150" s="191"/>
      <x:c r="AI150" s="191"/>
      <x:c r="AJ150" s="191"/>
      <x:c r="AK150" s="191"/>
    </x:row>
    <x:row r="151">
      <x:c r="A151" s="191"/>
      <x:c r="B151" s="191"/>
      <x:c r="C151" s="191"/>
      <x:c r="D151" s="191"/>
      <x:c r="E151" s="191"/>
      <x:c r="F151" s="191"/>
      <x:c r="G151" s="191"/>
      <x:c r="H151" s="191"/>
      <x:c r="I151" s="191"/>
      <x:c r="J151" s="191"/>
      <x:c r="K151" s="191"/>
      <x:c r="L151" s="191"/>
      <x:c r="M151" s="191"/>
      <x:c r="N151" s="191"/>
      <x:c r="O151" s="191"/>
      <x:c r="P151" s="191"/>
      <x:c r="Q151" s="191"/>
      <x:c r="R151" s="191"/>
      <x:c r="S151" s="191"/>
      <x:c r="T151" s="191"/>
      <x:c r="U151" s="191"/>
      <x:c r="V151" s="191"/>
      <x:c r="W151" s="191"/>
      <x:c r="X151" s="191"/>
      <x:c r="Y151" s="191"/>
      <x:c r="Z151" s="191"/>
      <x:c r="AA151" s="191"/>
      <x:c r="AB151" s="191"/>
      <x:c r="AC151" s="191"/>
      <x:c r="AD151" s="191"/>
      <x:c r="AE151" s="191"/>
      <x:c r="AF151" s="191"/>
      <x:c r="AG151" s="191"/>
      <x:c r="AH151" s="191"/>
      <x:c r="AI151" s="191"/>
      <x:c r="AJ151" s="191"/>
      <x:c r="AK151" s="191"/>
    </x:row>
    <x:row r="152">
      <x:c r="A152" s="191"/>
      <x:c r="B152" s="191"/>
      <x:c r="C152" s="191"/>
      <x:c r="D152" s="191"/>
      <x:c r="E152" s="191"/>
      <x:c r="F152" s="191"/>
      <x:c r="G152" s="191"/>
      <x:c r="H152" s="191"/>
      <x:c r="I152" s="191"/>
      <x:c r="J152" s="191"/>
      <x:c r="K152" s="191"/>
      <x:c r="L152" s="191"/>
      <x:c r="M152" s="191"/>
      <x:c r="N152" s="191"/>
      <x:c r="O152" s="191"/>
      <x:c r="P152" s="191"/>
      <x:c r="Q152" s="191"/>
      <x:c r="R152" s="191"/>
      <x:c r="S152" s="191"/>
      <x:c r="T152" s="191"/>
      <x:c r="U152" s="191"/>
      <x:c r="V152" s="191"/>
      <x:c r="W152" s="191"/>
      <x:c r="X152" s="191"/>
      <x:c r="Y152" s="191"/>
      <x:c r="Z152" s="191"/>
      <x:c r="AA152" s="191"/>
      <x:c r="AB152" s="191"/>
      <x:c r="AC152" s="191"/>
      <x:c r="AD152" s="191"/>
      <x:c r="AE152" s="191"/>
      <x:c r="AF152" s="191"/>
      <x:c r="AG152" s="191"/>
      <x:c r="AH152" s="191"/>
      <x:c r="AI152" s="191"/>
      <x:c r="AJ152" s="191"/>
      <x:c r="AK152" s="191"/>
    </x:row>
    <x:row r="153">
      <x:c r="A153" s="191"/>
      <x:c r="B153" s="191"/>
      <x:c r="C153" s="191"/>
      <x:c r="D153" s="191"/>
      <x:c r="E153" s="191"/>
      <x:c r="F153" s="191"/>
      <x:c r="G153" s="191"/>
      <x:c r="H153" s="191"/>
      <x:c r="I153" s="191"/>
      <x:c r="J153" s="191"/>
      <x:c r="K153" s="191"/>
      <x:c r="L153" s="191"/>
      <x:c r="M153" s="191"/>
      <x:c r="N153" s="191"/>
      <x:c r="O153" s="191"/>
      <x:c r="P153" s="191"/>
      <x:c r="Q153" s="191"/>
      <x:c r="R153" s="191"/>
      <x:c r="S153" s="191"/>
      <x:c r="T153" s="191"/>
      <x:c r="U153" s="191"/>
      <x:c r="V153" s="191"/>
      <x:c r="W153" s="191"/>
      <x:c r="X153" s="191"/>
      <x:c r="Y153" s="191"/>
      <x:c r="Z153" s="191"/>
      <x:c r="AA153" s="191"/>
      <x:c r="AB153" s="191"/>
      <x:c r="AC153" s="191"/>
      <x:c r="AD153" s="191"/>
      <x:c r="AE153" s="191"/>
      <x:c r="AF153" s="191"/>
      <x:c r="AG153" s="191"/>
      <x:c r="AH153" s="191"/>
      <x:c r="AI153" s="191"/>
      <x:c r="AJ153" s="191"/>
      <x:c r="AK153" s="191"/>
    </x:row>
    <x:row r="154">
      <x:c r="A154" s="191"/>
      <x:c r="B154" s="191"/>
      <x:c r="C154" s="191"/>
      <x:c r="D154" s="191"/>
      <x:c r="E154" s="191"/>
      <x:c r="F154" s="191"/>
      <x:c r="G154" s="191"/>
      <x:c r="H154" s="191"/>
      <x:c r="I154" s="191"/>
      <x:c r="J154" s="191"/>
      <x:c r="K154" s="191"/>
      <x:c r="L154" s="191"/>
      <x:c r="M154" s="191"/>
      <x:c r="N154" s="191"/>
      <x:c r="O154" s="191"/>
      <x:c r="P154" s="191"/>
      <x:c r="Q154" s="191"/>
      <x:c r="R154" s="191"/>
      <x:c r="S154" s="191"/>
      <x:c r="T154" s="191"/>
      <x:c r="U154" s="191"/>
      <x:c r="V154" s="191"/>
      <x:c r="W154" s="191"/>
      <x:c r="X154" s="191"/>
      <x:c r="Y154" s="191"/>
      <x:c r="Z154" s="191"/>
      <x:c r="AA154" s="191"/>
      <x:c r="AB154" s="191"/>
      <x:c r="AC154" s="191"/>
      <x:c r="AD154" s="191"/>
      <x:c r="AE154" s="191"/>
      <x:c r="AF154" s="191"/>
      <x:c r="AG154" s="191"/>
      <x:c r="AH154" s="191"/>
      <x:c r="AI154" s="191"/>
      <x:c r="AJ154" s="191"/>
      <x:c r="AK154" s="191"/>
    </x:row>
    <x:row r="155">
      <x:c r="A155" s="191"/>
      <x:c r="B155" s="191"/>
      <x:c r="C155" s="191"/>
      <x:c r="D155" s="191"/>
      <x:c r="E155" s="191"/>
      <x:c r="F155" s="191"/>
      <x:c r="G155" s="191"/>
      <x:c r="H155" s="191"/>
      <x:c r="I155" s="191"/>
      <x:c r="J155" s="191"/>
      <x:c r="K155" s="191"/>
      <x:c r="L155" s="191"/>
      <x:c r="M155" s="191"/>
      <x:c r="N155" s="191"/>
      <x:c r="O155" s="191"/>
      <x:c r="P155" s="191"/>
      <x:c r="Q155" s="191"/>
      <x:c r="R155" s="191"/>
      <x:c r="S155" s="191"/>
      <x:c r="T155" s="191"/>
      <x:c r="U155" s="191"/>
      <x:c r="V155" s="191"/>
      <x:c r="W155" s="191"/>
      <x:c r="X155" s="191"/>
      <x:c r="Y155" s="191"/>
      <x:c r="Z155" s="191"/>
      <x:c r="AA155" s="191"/>
      <x:c r="AB155" s="191"/>
      <x:c r="AC155" s="191"/>
      <x:c r="AD155" s="191"/>
      <x:c r="AE155" s="191"/>
      <x:c r="AF155" s="191"/>
      <x:c r="AG155" s="191"/>
      <x:c r="AH155" s="191"/>
      <x:c r="AI155" s="191"/>
      <x:c r="AJ155" s="191"/>
      <x:c r="AK155" s="191"/>
    </x:row>
    <x:row r="156">
      <x:c r="A156" s="191"/>
      <x:c r="B156" s="191"/>
      <x:c r="C156" s="191"/>
      <x:c r="D156" s="191"/>
      <x:c r="E156" s="191"/>
      <x:c r="F156" s="191"/>
      <x:c r="G156" s="191"/>
      <x:c r="H156" s="191"/>
      <x:c r="I156" s="191"/>
      <x:c r="J156" s="191"/>
      <x:c r="K156" s="191"/>
      <x:c r="L156" s="191"/>
      <x:c r="M156" s="191"/>
      <x:c r="N156" s="191"/>
      <x:c r="O156" s="191"/>
      <x:c r="P156" s="191"/>
      <x:c r="Q156" s="191"/>
      <x:c r="R156" s="191"/>
      <x:c r="S156" s="191"/>
      <x:c r="T156" s="191"/>
      <x:c r="U156" s="191"/>
      <x:c r="V156" s="191"/>
      <x:c r="W156" s="191"/>
      <x:c r="X156" s="191"/>
      <x:c r="Y156" s="191"/>
      <x:c r="Z156" s="191"/>
      <x:c r="AA156" s="191"/>
      <x:c r="AB156" s="191"/>
      <x:c r="AC156" s="191"/>
      <x:c r="AD156" s="191"/>
      <x:c r="AE156" s="191"/>
      <x:c r="AF156" s="191"/>
      <x:c r="AG156" s="191"/>
      <x:c r="AH156" s="191"/>
      <x:c r="AI156" s="191"/>
      <x:c r="AJ156" s="191"/>
      <x:c r="AK156" s="191"/>
    </x:row>
    <x:row r="157">
      <x:c r="A157" s="191"/>
      <x:c r="B157" s="191"/>
      <x:c r="C157" s="191"/>
      <x:c r="D157" s="191"/>
      <x:c r="E157" s="191"/>
      <x:c r="F157" s="191"/>
      <x:c r="G157" s="191"/>
      <x:c r="H157" s="191"/>
      <x:c r="I157" s="191"/>
      <x:c r="J157" s="191"/>
      <x:c r="K157" s="191"/>
      <x:c r="L157" s="191"/>
      <x:c r="M157" s="191"/>
      <x:c r="N157" s="191"/>
      <x:c r="O157" s="191"/>
      <x:c r="P157" s="191"/>
      <x:c r="Q157" s="191"/>
      <x:c r="R157" s="191"/>
      <x:c r="S157" s="191"/>
      <x:c r="T157" s="191"/>
      <x:c r="U157" s="191"/>
      <x:c r="V157" s="191"/>
      <x:c r="W157" s="191"/>
      <x:c r="X157" s="191"/>
      <x:c r="Y157" s="191"/>
      <x:c r="Z157" s="191"/>
      <x:c r="AA157" s="191"/>
      <x:c r="AB157" s="191"/>
      <x:c r="AC157" s="191"/>
      <x:c r="AD157" s="191"/>
      <x:c r="AE157" s="191"/>
      <x:c r="AF157" s="191"/>
      <x:c r="AG157" s="191"/>
      <x:c r="AH157" s="191"/>
      <x:c r="AI157" s="191"/>
      <x:c r="AJ157" s="191"/>
      <x:c r="AK157" s="191"/>
    </x:row>
    <x:row r="158">
      <x:c r="A158" s="191"/>
      <x:c r="B158" s="191"/>
      <x:c r="C158" s="191"/>
      <x:c r="D158" s="191"/>
      <x:c r="E158" s="191"/>
      <x:c r="F158" s="191"/>
      <x:c r="G158" s="191"/>
      <x:c r="H158" s="191"/>
      <x:c r="I158" s="191"/>
      <x:c r="J158" s="191"/>
      <x:c r="K158" s="191"/>
      <x:c r="L158" s="191"/>
      <x:c r="M158" s="191"/>
      <x:c r="N158" s="191"/>
      <x:c r="O158" s="191"/>
      <x:c r="P158" s="191"/>
      <x:c r="Q158" s="191"/>
      <x:c r="R158" s="191"/>
      <x:c r="S158" s="191"/>
      <x:c r="T158" s="191"/>
      <x:c r="U158" s="191"/>
      <x:c r="V158" s="191"/>
      <x:c r="W158" s="191"/>
      <x:c r="X158" s="191"/>
      <x:c r="Y158" s="191"/>
      <x:c r="Z158" s="191"/>
      <x:c r="AA158" s="191"/>
      <x:c r="AB158" s="191"/>
      <x:c r="AC158" s="191"/>
      <x:c r="AD158" s="191"/>
      <x:c r="AE158" s="191"/>
      <x:c r="AF158" s="191"/>
      <x:c r="AG158" s="191"/>
      <x:c r="AH158" s="191"/>
      <x:c r="AI158" s="191"/>
      <x:c r="AJ158" s="191"/>
      <x:c r="AK158" s="191"/>
    </x:row>
    <x:row r="159">
      <x:c r="A159" s="191"/>
      <x:c r="B159" s="191"/>
      <x:c r="C159" s="191"/>
      <x:c r="D159" s="191"/>
      <x:c r="E159" s="191"/>
      <x:c r="F159" s="191"/>
      <x:c r="G159" s="191"/>
      <x:c r="H159" s="191"/>
      <x:c r="I159" s="191"/>
      <x:c r="J159" s="191"/>
      <x:c r="K159" s="191"/>
      <x:c r="L159" s="191"/>
      <x:c r="M159" s="191"/>
      <x:c r="N159" s="191"/>
      <x:c r="O159" s="191"/>
      <x:c r="P159" s="191"/>
      <x:c r="Q159" s="191"/>
      <x:c r="R159" s="191"/>
      <x:c r="S159" s="191"/>
      <x:c r="T159" s="191"/>
      <x:c r="U159" s="191"/>
      <x:c r="V159" s="191"/>
      <x:c r="W159" s="191"/>
      <x:c r="X159" s="191"/>
      <x:c r="Y159" s="191"/>
      <x:c r="Z159" s="191"/>
      <x:c r="AA159" s="191"/>
      <x:c r="AB159" s="191"/>
      <x:c r="AC159" s="191"/>
      <x:c r="AD159" s="191"/>
      <x:c r="AE159" s="191"/>
      <x:c r="AF159" s="191"/>
      <x:c r="AG159" s="191"/>
      <x:c r="AH159" s="191"/>
      <x:c r="AI159" s="191"/>
      <x:c r="AJ159" s="191"/>
      <x:c r="AK159" s="191"/>
    </x:row>
    <x:row r="160">
      <x:c r="A160" s="191"/>
      <x:c r="B160" s="191"/>
      <x:c r="C160" s="191"/>
      <x:c r="D160" s="191"/>
      <x:c r="E160" s="191"/>
      <x:c r="F160" s="191"/>
      <x:c r="G160" s="191"/>
      <x:c r="H160" s="191"/>
      <x:c r="I160" s="191"/>
      <x:c r="J160" s="191"/>
      <x:c r="K160" s="191"/>
      <x:c r="L160" s="191"/>
      <x:c r="M160" s="191"/>
      <x:c r="N160" s="191"/>
      <x:c r="O160" s="191"/>
      <x:c r="P160" s="191"/>
      <x:c r="Q160" s="191"/>
      <x:c r="R160" s="191"/>
      <x:c r="S160" s="191"/>
      <x:c r="T160" s="191"/>
      <x:c r="U160" s="191"/>
      <x:c r="V160" s="191"/>
      <x:c r="W160" s="191"/>
      <x:c r="X160" s="191"/>
      <x:c r="Y160" s="191"/>
      <x:c r="Z160" s="191"/>
      <x:c r="AA160" s="191"/>
      <x:c r="AB160" s="191"/>
      <x:c r="AC160" s="191"/>
      <x:c r="AD160" s="191"/>
      <x:c r="AE160" s="191"/>
      <x:c r="AF160" s="191"/>
      <x:c r="AG160" s="191"/>
      <x:c r="AH160" s="191"/>
      <x:c r="AI160" s="191"/>
      <x:c r="AJ160" s="191"/>
      <x:c r="AK160" s="191"/>
    </x:row>
    <x:row r="161">
      <x:c r="A161" s="191"/>
      <x:c r="B161" s="191"/>
      <x:c r="C161" s="191"/>
      <x:c r="D161" s="191"/>
      <x:c r="E161" s="191"/>
      <x:c r="F161" s="191"/>
      <x:c r="G161" s="191"/>
      <x:c r="H161" s="191"/>
      <x:c r="I161" s="191"/>
      <x:c r="J161" s="191"/>
      <x:c r="K161" s="191"/>
      <x:c r="L161" s="191"/>
      <x:c r="M161" s="191"/>
      <x:c r="N161" s="191"/>
      <x:c r="O161" s="191"/>
      <x:c r="P161" s="191"/>
      <x:c r="Q161" s="191"/>
      <x:c r="R161" s="191"/>
      <x:c r="S161" s="191"/>
      <x:c r="T161" s="191"/>
      <x:c r="U161" s="191"/>
      <x:c r="V161" s="191"/>
      <x:c r="W161" s="191"/>
      <x:c r="X161" s="191"/>
      <x:c r="Y161" s="191"/>
      <x:c r="Z161" s="191"/>
      <x:c r="AA161" s="191"/>
      <x:c r="AB161" s="191"/>
      <x:c r="AC161" s="191"/>
      <x:c r="AD161" s="191"/>
      <x:c r="AE161" s="191"/>
      <x:c r="AF161" s="191"/>
      <x:c r="AG161" s="191"/>
      <x:c r="AH161" s="191"/>
      <x:c r="AI161" s="191"/>
      <x:c r="AJ161" s="191"/>
      <x:c r="AK161" s="191"/>
    </x:row>
    <x:row r="162">
      <x:c r="A162" s="191"/>
      <x:c r="B162" s="191"/>
      <x:c r="C162" s="191"/>
      <x:c r="D162" s="191"/>
      <x:c r="E162" s="191"/>
      <x:c r="F162" s="191"/>
      <x:c r="G162" s="191"/>
      <x:c r="H162" s="191"/>
      <x:c r="I162" s="191"/>
      <x:c r="J162" s="191"/>
      <x:c r="K162" s="191"/>
      <x:c r="L162" s="191"/>
      <x:c r="M162" s="191"/>
      <x:c r="N162" s="191"/>
      <x:c r="O162" s="191"/>
      <x:c r="P162" s="191"/>
      <x:c r="Q162" s="191"/>
      <x:c r="R162" s="191"/>
      <x:c r="S162" s="191"/>
      <x:c r="T162" s="191"/>
      <x:c r="U162" s="191"/>
      <x:c r="V162" s="191"/>
      <x:c r="W162" s="191"/>
      <x:c r="X162" s="191"/>
      <x:c r="Y162" s="191"/>
      <x:c r="Z162" s="191"/>
      <x:c r="AA162" s="191"/>
      <x:c r="AB162" s="191"/>
      <x:c r="AC162" s="191"/>
      <x:c r="AD162" s="191"/>
      <x:c r="AE162" s="191"/>
      <x:c r="AF162" s="191"/>
      <x:c r="AG162" s="191"/>
      <x:c r="AH162" s="191"/>
      <x:c r="AI162" s="191"/>
      <x:c r="AJ162" s="191"/>
      <x:c r="AK162" s="191"/>
    </x:row>
    <x:row r="163">
      <x:c r="A163" s="191"/>
      <x:c r="B163" s="191"/>
      <x:c r="C163" s="191"/>
      <x:c r="D163" s="191"/>
      <x:c r="E163" s="191"/>
      <x:c r="F163" s="191"/>
      <x:c r="G163" s="191"/>
      <x:c r="H163" s="191"/>
      <x:c r="I163" s="191"/>
      <x:c r="J163" s="191"/>
      <x:c r="K163" s="191"/>
      <x:c r="L163" s="191"/>
      <x:c r="M163" s="191"/>
      <x:c r="N163" s="191"/>
      <x:c r="O163" s="191"/>
      <x:c r="P163" s="191"/>
      <x:c r="Q163" s="191"/>
      <x:c r="R163" s="191"/>
      <x:c r="S163" s="191"/>
      <x:c r="T163" s="191"/>
      <x:c r="U163" s="191"/>
      <x:c r="V163" s="191"/>
      <x:c r="W163" s="191"/>
      <x:c r="X163" s="191"/>
      <x:c r="Y163" s="191"/>
      <x:c r="Z163" s="191"/>
      <x:c r="AA163" s="191"/>
      <x:c r="AB163" s="191"/>
      <x:c r="AC163" s="191"/>
      <x:c r="AD163" s="191"/>
      <x:c r="AE163" s="191"/>
      <x:c r="AF163" s="191"/>
      <x:c r="AG163" s="191"/>
      <x:c r="AH163" s="191"/>
      <x:c r="AI163" s="191"/>
      <x:c r="AJ163" s="191"/>
      <x:c r="AK163" s="191"/>
    </x:row>
    <x:row r="164">
      <x:c r="A164" s="191"/>
      <x:c r="B164" s="191"/>
      <x:c r="C164" s="191"/>
      <x:c r="D164" s="191"/>
      <x:c r="E164" s="191"/>
      <x:c r="F164" s="191"/>
      <x:c r="G164" s="191"/>
      <x:c r="H164" s="191"/>
      <x:c r="I164" s="191"/>
      <x:c r="J164" s="191"/>
      <x:c r="K164" s="191"/>
      <x:c r="L164" s="191"/>
      <x:c r="M164" s="191"/>
      <x:c r="N164" s="191"/>
      <x:c r="O164" s="191"/>
      <x:c r="P164" s="191"/>
      <x:c r="Q164" s="191"/>
      <x:c r="R164" s="191"/>
      <x:c r="S164" s="191"/>
      <x:c r="T164" s="191"/>
      <x:c r="U164" s="191"/>
      <x:c r="V164" s="191"/>
      <x:c r="W164" s="191"/>
      <x:c r="X164" s="191"/>
      <x:c r="Y164" s="191"/>
      <x:c r="Z164" s="191"/>
      <x:c r="AA164" s="191"/>
      <x:c r="AB164" s="191"/>
      <x:c r="AC164" s="191"/>
      <x:c r="AD164" s="191"/>
      <x:c r="AE164" s="191"/>
      <x:c r="AF164" s="191"/>
      <x:c r="AG164" s="191"/>
      <x:c r="AH164" s="191"/>
      <x:c r="AI164" s="191"/>
      <x:c r="AJ164" s="191"/>
      <x:c r="AK164" s="191"/>
    </x:row>
    <x:row r="165">
      <x:c r="A165" s="191"/>
      <x:c r="B165" s="191"/>
      <x:c r="C165" s="191"/>
      <x:c r="D165" s="191"/>
      <x:c r="E165" s="191"/>
      <x:c r="F165" s="191"/>
      <x:c r="G165" s="191"/>
      <x:c r="H165" s="191"/>
      <x:c r="I165" s="191"/>
      <x:c r="J165" s="191"/>
      <x:c r="K165" s="191"/>
      <x:c r="L165" s="191"/>
      <x:c r="M165" s="191"/>
      <x:c r="N165" s="191"/>
      <x:c r="O165" s="191"/>
      <x:c r="P165" s="191"/>
      <x:c r="Q165" s="191"/>
      <x:c r="R165" s="191"/>
      <x:c r="S165" s="191"/>
      <x:c r="T165" s="191"/>
      <x:c r="U165" s="191"/>
      <x:c r="V165" s="191"/>
      <x:c r="W165" s="191"/>
      <x:c r="X165" s="191"/>
      <x:c r="Y165" s="191"/>
      <x:c r="Z165" s="191"/>
      <x:c r="AA165" s="191"/>
      <x:c r="AB165" s="191"/>
      <x:c r="AC165" s="191"/>
      <x:c r="AD165" s="191"/>
      <x:c r="AE165" s="191"/>
      <x:c r="AF165" s="191"/>
      <x:c r="AG165" s="191"/>
      <x:c r="AH165" s="191"/>
      <x:c r="AI165" s="191"/>
      <x:c r="AJ165" s="191"/>
      <x:c r="AK165" s="191"/>
    </x:row>
    <x:row r="166">
      <x:c r="A166" s="191"/>
      <x:c r="B166" s="191"/>
      <x:c r="C166" s="191"/>
      <x:c r="D166" s="191"/>
      <x:c r="E166" s="191"/>
      <x:c r="F166" s="191"/>
      <x:c r="G166" s="191"/>
      <x:c r="H166" s="191"/>
      <x:c r="I166" s="191"/>
      <x:c r="J166" s="191"/>
      <x:c r="K166" s="191"/>
      <x:c r="L166" s="191"/>
      <x:c r="M166" s="191"/>
      <x:c r="N166" s="191"/>
      <x:c r="O166" s="191"/>
      <x:c r="P166" s="191"/>
      <x:c r="Q166" s="191"/>
      <x:c r="R166" s="191"/>
      <x:c r="S166" s="191"/>
      <x:c r="T166" s="191"/>
      <x:c r="U166" s="191"/>
      <x:c r="V166" s="191"/>
      <x:c r="W166" s="191"/>
      <x:c r="X166" s="191"/>
      <x:c r="Y166" s="191"/>
      <x:c r="Z166" s="191"/>
      <x:c r="AA166" s="191"/>
      <x:c r="AB166" s="191"/>
      <x:c r="AC166" s="191"/>
      <x:c r="AD166" s="191"/>
      <x:c r="AE166" s="191"/>
      <x:c r="AF166" s="191"/>
      <x:c r="AG166" s="191"/>
      <x:c r="AH166" s="191"/>
      <x:c r="AI166" s="191"/>
      <x:c r="AJ166" s="191"/>
      <x:c r="AK166" s="191"/>
    </x:row>
    <x:row r="167">
      <x:c r="A167" s="191"/>
      <x:c r="B167" s="191"/>
      <x:c r="C167" s="191"/>
      <x:c r="D167" s="191"/>
      <x:c r="E167" s="191"/>
      <x:c r="F167" s="191"/>
      <x:c r="G167" s="191"/>
      <x:c r="H167" s="191"/>
      <x:c r="I167" s="191"/>
      <x:c r="J167" s="191"/>
      <x:c r="K167" s="191"/>
      <x:c r="L167" s="191"/>
      <x:c r="M167" s="191"/>
      <x:c r="N167" s="191"/>
      <x:c r="O167" s="191"/>
      <x:c r="P167" s="191"/>
      <x:c r="Q167" s="191"/>
      <x:c r="R167" s="191"/>
      <x:c r="S167" s="191"/>
      <x:c r="T167" s="191"/>
      <x:c r="U167" s="191"/>
      <x:c r="V167" s="191"/>
      <x:c r="W167" s="191"/>
      <x:c r="X167" s="191"/>
      <x:c r="Y167" s="191"/>
      <x:c r="Z167" s="191"/>
      <x:c r="AA167" s="191"/>
      <x:c r="AB167" s="191"/>
      <x:c r="AC167" s="191"/>
      <x:c r="AD167" s="191"/>
      <x:c r="AE167" s="191"/>
      <x:c r="AF167" s="191"/>
      <x:c r="AG167" s="191"/>
      <x:c r="AH167" s="191"/>
      <x:c r="AI167" s="191"/>
      <x:c r="AJ167" s="191"/>
      <x:c r="AK167" s="191"/>
    </x:row>
    <x:row r="168">
      <x:c r="A168" s="191"/>
      <x:c r="B168" s="191"/>
      <x:c r="C168" s="191"/>
      <x:c r="D168" s="191"/>
      <x:c r="E168" s="191"/>
      <x:c r="F168" s="191"/>
      <x:c r="G168" s="191"/>
      <x:c r="H168" s="191"/>
      <x:c r="I168" s="191"/>
      <x:c r="J168" s="191"/>
      <x:c r="K168" s="191"/>
      <x:c r="L168" s="191"/>
      <x:c r="M168" s="191"/>
      <x:c r="N168" s="191"/>
      <x:c r="O168" s="191"/>
      <x:c r="P168" s="191"/>
      <x:c r="Q168" s="191"/>
      <x:c r="R168" s="191"/>
      <x:c r="S168" s="191"/>
      <x:c r="T168" s="191"/>
      <x:c r="U168" s="191"/>
      <x:c r="V168" s="191"/>
      <x:c r="W168" s="191"/>
      <x:c r="X168" s="191"/>
      <x:c r="Y168" s="191"/>
      <x:c r="Z168" s="191"/>
      <x:c r="AA168" s="191"/>
      <x:c r="AB168" s="191"/>
      <x:c r="AC168" s="191"/>
      <x:c r="AD168" s="191"/>
      <x:c r="AE168" s="191"/>
      <x:c r="AF168" s="191"/>
      <x:c r="AG168" s="191"/>
      <x:c r="AH168" s="191"/>
      <x:c r="AI168" s="191"/>
      <x:c r="AJ168" s="191"/>
      <x:c r="AK168" s="191"/>
    </x:row>
    <x:row r="169">
      <x:c r="A169" s="191"/>
      <x:c r="B169" s="191"/>
      <x:c r="C169" s="191"/>
      <x:c r="D169" s="191"/>
      <x:c r="E169" s="191"/>
      <x:c r="F169" s="191"/>
      <x:c r="G169" s="191"/>
      <x:c r="H169" s="191"/>
      <x:c r="I169" s="191"/>
      <x:c r="J169" s="191"/>
      <x:c r="K169" s="191"/>
      <x:c r="L169" s="191"/>
      <x:c r="M169" s="191"/>
      <x:c r="N169" s="191"/>
      <x:c r="O169" s="191"/>
      <x:c r="P169" s="191"/>
      <x:c r="Q169" s="191"/>
      <x:c r="R169" s="191"/>
      <x:c r="S169" s="191"/>
      <x:c r="T169" s="191"/>
      <x:c r="U169" s="191"/>
      <x:c r="V169" s="191"/>
      <x:c r="W169" s="191"/>
      <x:c r="X169" s="191"/>
      <x:c r="Y169" s="191"/>
      <x:c r="Z169" s="191"/>
      <x:c r="AA169" s="191"/>
      <x:c r="AB169" s="191"/>
      <x:c r="AC169" s="191"/>
      <x:c r="AD169" s="191"/>
      <x:c r="AE169" s="191"/>
      <x:c r="AF169" s="191"/>
      <x:c r="AG169" s="191"/>
      <x:c r="AH169" s="191"/>
      <x:c r="AI169" s="191"/>
      <x:c r="AJ169" s="191"/>
      <x:c r="AK169" s="191"/>
    </x:row>
    <x:row r="170">
      <x:c r="A170" s="191"/>
      <x:c r="B170" s="191"/>
      <x:c r="C170" s="191"/>
      <x:c r="D170" s="191"/>
      <x:c r="E170" s="191"/>
      <x:c r="F170" s="191"/>
      <x:c r="G170" s="191"/>
      <x:c r="H170" s="191"/>
      <x:c r="I170" s="191"/>
      <x:c r="J170" s="191"/>
      <x:c r="K170" s="191"/>
      <x:c r="L170" s="191"/>
      <x:c r="M170" s="191"/>
      <x:c r="N170" s="191"/>
      <x:c r="O170" s="191"/>
      <x:c r="P170" s="191"/>
      <x:c r="Q170" s="191"/>
      <x:c r="R170" s="191"/>
      <x:c r="S170" s="191"/>
      <x:c r="T170" s="191"/>
      <x:c r="U170" s="191"/>
      <x:c r="V170" s="191"/>
      <x:c r="W170" s="191"/>
      <x:c r="X170" s="191"/>
      <x:c r="Y170" s="191"/>
      <x:c r="Z170" s="191"/>
      <x:c r="AA170" s="191"/>
      <x:c r="AB170" s="191"/>
      <x:c r="AC170" s="191"/>
      <x:c r="AD170" s="191"/>
      <x:c r="AE170" s="191"/>
      <x:c r="AF170" s="191"/>
      <x:c r="AG170" s="191"/>
      <x:c r="AH170" s="191"/>
      <x:c r="AI170" s="191"/>
      <x:c r="AJ170" s="191"/>
      <x:c r="AK170" s="191"/>
    </x:row>
    <x:row r="171">
      <x:c r="A171" s="191"/>
      <x:c r="B171" s="191"/>
      <x:c r="C171" s="191"/>
      <x:c r="D171" s="191"/>
      <x:c r="E171" s="191"/>
      <x:c r="F171" s="191"/>
      <x:c r="G171" s="191"/>
      <x:c r="H171" s="191"/>
      <x:c r="I171" s="191"/>
      <x:c r="J171" s="191"/>
      <x:c r="K171" s="191"/>
      <x:c r="L171" s="191"/>
      <x:c r="M171" s="191"/>
      <x:c r="N171" s="191"/>
      <x:c r="O171" s="191"/>
      <x:c r="P171" s="191"/>
      <x:c r="Q171" s="191"/>
      <x:c r="R171" s="191"/>
      <x:c r="S171" s="191"/>
      <x:c r="T171" s="191"/>
      <x:c r="U171" s="191"/>
      <x:c r="V171" s="191"/>
      <x:c r="W171" s="191"/>
      <x:c r="X171" s="191"/>
      <x:c r="Y171" s="191"/>
      <x:c r="Z171" s="191"/>
      <x:c r="AA171" s="191"/>
      <x:c r="AB171" s="191"/>
      <x:c r="AC171" s="191"/>
      <x:c r="AD171" s="191"/>
      <x:c r="AE171" s="191"/>
      <x:c r="AF171" s="191"/>
      <x:c r="AG171" s="191"/>
      <x:c r="AH171" s="191"/>
      <x:c r="AI171" s="191"/>
      <x:c r="AJ171" s="191"/>
      <x:c r="AK171" s="191"/>
    </x:row>
    <x:row r="172">
      <x:c r="A172" s="191"/>
      <x:c r="B172" s="191"/>
      <x:c r="C172" s="191"/>
      <x:c r="D172" s="191"/>
      <x:c r="E172" s="191"/>
      <x:c r="F172" s="191"/>
      <x:c r="G172" s="191"/>
      <x:c r="H172" s="191"/>
      <x:c r="I172" s="191"/>
      <x:c r="J172" s="191"/>
      <x:c r="K172" s="191"/>
      <x:c r="L172" s="191"/>
      <x:c r="M172" s="191"/>
      <x:c r="N172" s="191"/>
      <x:c r="O172" s="191"/>
      <x:c r="P172" s="191"/>
      <x:c r="Q172" s="191"/>
      <x:c r="R172" s="191"/>
      <x:c r="S172" s="191"/>
      <x:c r="T172" s="191"/>
      <x:c r="U172" s="191"/>
      <x:c r="V172" s="191"/>
      <x:c r="W172" s="191"/>
      <x:c r="X172" s="191"/>
      <x:c r="Y172" s="191"/>
      <x:c r="Z172" s="191"/>
      <x:c r="AA172" s="191"/>
      <x:c r="AB172" s="191"/>
      <x:c r="AC172" s="191"/>
      <x:c r="AD172" s="191"/>
      <x:c r="AE172" s="191"/>
      <x:c r="AF172" s="191"/>
      <x:c r="AG172" s="191"/>
      <x:c r="AH172" s="191"/>
      <x:c r="AI172" s="191"/>
      <x:c r="AJ172" s="191"/>
      <x:c r="AK172" s="191"/>
    </x:row>
    <x:row r="173">
      <x:c r="A173" s="191"/>
      <x:c r="B173" s="191"/>
      <x:c r="C173" s="191"/>
      <x:c r="D173" s="191"/>
      <x:c r="E173" s="191"/>
      <x:c r="F173" s="191"/>
      <x:c r="G173" s="191"/>
      <x:c r="H173" s="191"/>
      <x:c r="I173" s="191"/>
      <x:c r="J173" s="191"/>
      <x:c r="K173" s="191"/>
      <x:c r="L173" s="191"/>
      <x:c r="M173" s="191"/>
      <x:c r="N173" s="191"/>
      <x:c r="O173" s="191"/>
      <x:c r="P173" s="191"/>
      <x:c r="Q173" s="191"/>
      <x:c r="R173" s="191"/>
      <x:c r="S173" s="191"/>
      <x:c r="T173" s="191"/>
      <x:c r="U173" s="191"/>
      <x:c r="V173" s="191"/>
      <x:c r="W173" s="191"/>
      <x:c r="X173" s="191"/>
      <x:c r="Y173" s="191"/>
      <x:c r="Z173" s="191"/>
      <x:c r="AA173" s="191"/>
      <x:c r="AB173" s="191"/>
      <x:c r="AC173" s="191"/>
      <x:c r="AD173" s="191"/>
      <x:c r="AE173" s="191"/>
      <x:c r="AF173" s="191"/>
      <x:c r="AG173" s="191"/>
      <x:c r="AH173" s="191"/>
      <x:c r="AI173" s="191"/>
      <x:c r="AJ173" s="191"/>
      <x:c r="AK173" s="191"/>
    </x:row>
    <x:row r="174">
      <x:c r="A174" s="191"/>
      <x:c r="B174" s="191"/>
      <x:c r="C174" s="191"/>
      <x:c r="D174" s="191"/>
      <x:c r="E174" s="191"/>
      <x:c r="F174" s="191"/>
      <x:c r="G174" s="191"/>
      <x:c r="H174" s="191"/>
      <x:c r="I174" s="191"/>
      <x:c r="J174" s="191"/>
      <x:c r="K174" s="191"/>
      <x:c r="L174" s="191"/>
      <x:c r="M174" s="191"/>
      <x:c r="N174" s="191"/>
      <x:c r="O174" s="191"/>
      <x:c r="P174" s="191"/>
      <x:c r="Q174" s="191"/>
      <x:c r="R174" s="191"/>
      <x:c r="S174" s="191"/>
      <x:c r="T174" s="191"/>
      <x:c r="U174" s="191"/>
      <x:c r="V174" s="191"/>
      <x:c r="W174" s="191"/>
      <x:c r="X174" s="191"/>
      <x:c r="Y174" s="191"/>
      <x:c r="Z174" s="191"/>
      <x:c r="AA174" s="191"/>
      <x:c r="AB174" s="191"/>
      <x:c r="AC174" s="191"/>
      <x:c r="AD174" s="191"/>
      <x:c r="AE174" s="191"/>
      <x:c r="AF174" s="191"/>
      <x:c r="AG174" s="191"/>
      <x:c r="AH174" s="191"/>
      <x:c r="AI174" s="191"/>
      <x:c r="AJ174" s="191"/>
      <x:c r="AK174" s="191"/>
    </x:row>
    <x:row r="175">
      <x:c r="A175" s="191"/>
      <x:c r="B175" s="191"/>
      <x:c r="C175" s="191"/>
      <x:c r="D175" s="191"/>
      <x:c r="E175" s="191"/>
      <x:c r="F175" s="191"/>
      <x:c r="G175" s="191"/>
      <x:c r="H175" s="191"/>
      <x:c r="I175" s="191"/>
      <x:c r="J175" s="191"/>
      <x:c r="K175" s="191"/>
      <x:c r="L175" s="191"/>
      <x:c r="M175" s="191"/>
      <x:c r="N175" s="191"/>
      <x:c r="O175" s="191"/>
      <x:c r="P175" s="191"/>
      <x:c r="Q175" s="191"/>
      <x:c r="R175" s="191"/>
      <x:c r="S175" s="191"/>
      <x:c r="T175" s="191"/>
      <x:c r="U175" s="191"/>
      <x:c r="V175" s="191"/>
      <x:c r="W175" s="191"/>
      <x:c r="X175" s="191"/>
      <x:c r="Y175" s="191"/>
      <x:c r="Z175" s="191"/>
      <x:c r="AA175" s="191"/>
      <x:c r="AB175" s="191"/>
      <x:c r="AC175" s="191"/>
      <x:c r="AD175" s="191"/>
      <x:c r="AE175" s="191"/>
      <x:c r="AF175" s="191"/>
      <x:c r="AG175" s="191"/>
      <x:c r="AH175" s="191"/>
      <x:c r="AI175" s="191"/>
      <x:c r="AJ175" s="191"/>
      <x:c r="AK175" s="191"/>
    </x:row>
    <x:row r="176">
      <x:c r="A176" s="191"/>
      <x:c r="B176" s="191"/>
      <x:c r="C176" s="191"/>
      <x:c r="D176" s="191"/>
      <x:c r="E176" s="191"/>
      <x:c r="F176" s="191"/>
      <x:c r="G176" s="191"/>
      <x:c r="H176" s="191"/>
      <x:c r="I176" s="191"/>
      <x:c r="J176" s="191"/>
      <x:c r="K176" s="191"/>
      <x:c r="L176" s="191"/>
      <x:c r="M176" s="191"/>
      <x:c r="N176" s="191"/>
      <x:c r="O176" s="191"/>
      <x:c r="P176" s="191"/>
      <x:c r="Q176" s="191"/>
      <x:c r="R176" s="191"/>
      <x:c r="S176" s="191"/>
      <x:c r="T176" s="191"/>
      <x:c r="U176" s="191"/>
      <x:c r="V176" s="191"/>
      <x:c r="W176" s="191"/>
      <x:c r="X176" s="191"/>
      <x:c r="Y176" s="191"/>
      <x:c r="Z176" s="191"/>
      <x:c r="AA176" s="191"/>
      <x:c r="AB176" s="191"/>
      <x:c r="AC176" s="191"/>
      <x:c r="AD176" s="191"/>
      <x:c r="AE176" s="191"/>
      <x:c r="AF176" s="191"/>
      <x:c r="AG176" s="191"/>
      <x:c r="AH176" s="191"/>
      <x:c r="AI176" s="191"/>
      <x:c r="AJ176" s="191"/>
      <x:c r="AK176" s="191"/>
    </x:row>
    <x:row r="177">
      <x:c r="A177" s="191"/>
      <x:c r="B177" s="191"/>
      <x:c r="C177" s="191"/>
      <x:c r="D177" s="191"/>
      <x:c r="E177" s="191"/>
      <x:c r="F177" s="191"/>
      <x:c r="G177" s="191"/>
      <x:c r="H177" s="191"/>
      <x:c r="I177" s="191"/>
      <x:c r="J177" s="191"/>
      <x:c r="K177" s="191"/>
      <x:c r="L177" s="191"/>
      <x:c r="M177" s="191"/>
      <x:c r="N177" s="191"/>
      <x:c r="O177" s="191"/>
      <x:c r="P177" s="191"/>
      <x:c r="Q177" s="191"/>
      <x:c r="R177" s="191"/>
      <x:c r="S177" s="191"/>
      <x:c r="T177" s="191"/>
      <x:c r="U177" s="191"/>
      <x:c r="V177" s="191"/>
      <x:c r="W177" s="191"/>
      <x:c r="X177" s="191"/>
      <x:c r="Y177" s="191"/>
      <x:c r="Z177" s="191"/>
      <x:c r="AA177" s="191"/>
      <x:c r="AB177" s="191"/>
      <x:c r="AC177" s="191"/>
      <x:c r="AD177" s="191"/>
      <x:c r="AE177" s="191"/>
      <x:c r="AF177" s="191"/>
      <x:c r="AG177" s="191"/>
      <x:c r="AH177" s="191"/>
      <x:c r="AI177" s="191"/>
      <x:c r="AJ177" s="191"/>
      <x:c r="AK177" s="191"/>
    </x:row>
    <x:row r="178">
      <x:c r="A178" s="191"/>
      <x:c r="B178" s="191"/>
      <x:c r="C178" s="191"/>
      <x:c r="D178" s="191"/>
      <x:c r="E178" s="191"/>
      <x:c r="F178" s="191"/>
      <x:c r="G178" s="191"/>
      <x:c r="H178" s="191"/>
      <x:c r="I178" s="191"/>
      <x:c r="J178" s="191"/>
      <x:c r="K178" s="191"/>
      <x:c r="L178" s="191"/>
      <x:c r="M178" s="191"/>
      <x:c r="N178" s="191"/>
      <x:c r="O178" s="191"/>
      <x:c r="P178" s="191"/>
      <x:c r="Q178" s="191"/>
      <x:c r="R178" s="191"/>
      <x:c r="S178" s="191"/>
      <x:c r="T178" s="191"/>
      <x:c r="U178" s="191"/>
      <x:c r="V178" s="191"/>
      <x:c r="W178" s="191"/>
      <x:c r="X178" s="191"/>
      <x:c r="Y178" s="191"/>
      <x:c r="Z178" s="191"/>
      <x:c r="AA178" s="191"/>
      <x:c r="AB178" s="191"/>
      <x:c r="AC178" s="191"/>
      <x:c r="AD178" s="191"/>
      <x:c r="AE178" s="191"/>
      <x:c r="AF178" s="191"/>
      <x:c r="AG178" s="191"/>
      <x:c r="AH178" s="191"/>
      <x:c r="AI178" s="191"/>
      <x:c r="AJ178" s="191"/>
      <x:c r="AK178" s="191"/>
    </x:row>
    <x:row r="179">
      <x:c r="A179" s="191"/>
      <x:c r="B179" s="191"/>
      <x:c r="C179" s="191"/>
      <x:c r="D179" s="191"/>
      <x:c r="E179" s="191"/>
      <x:c r="F179" s="191"/>
      <x:c r="G179" s="191"/>
      <x:c r="H179" s="191"/>
      <x:c r="I179" s="191"/>
      <x:c r="J179" s="191"/>
      <x:c r="K179" s="191"/>
      <x:c r="L179" s="191"/>
      <x:c r="M179" s="191"/>
      <x:c r="N179" s="191"/>
      <x:c r="O179" s="191"/>
      <x:c r="P179" s="191"/>
      <x:c r="Q179" s="191"/>
      <x:c r="R179" s="191"/>
      <x:c r="S179" s="191"/>
      <x:c r="T179" s="191"/>
      <x:c r="U179" s="191"/>
      <x:c r="V179" s="191"/>
      <x:c r="W179" s="191"/>
      <x:c r="X179" s="191"/>
      <x:c r="Y179" s="191"/>
      <x:c r="Z179" s="191"/>
      <x:c r="AA179" s="191"/>
      <x:c r="AB179" s="191"/>
      <x:c r="AC179" s="191"/>
      <x:c r="AD179" s="191"/>
      <x:c r="AE179" s="191"/>
      <x:c r="AF179" s="191"/>
      <x:c r="AG179" s="191"/>
      <x:c r="AH179" s="191"/>
      <x:c r="AI179" s="191"/>
      <x:c r="AJ179" s="191"/>
      <x:c r="AK179" s="191"/>
    </x:row>
    <x:row r="180">
      <x:c r="A180" s="191"/>
      <x:c r="B180" s="191"/>
      <x:c r="C180" s="191"/>
      <x:c r="D180" s="191"/>
      <x:c r="E180" s="191"/>
      <x:c r="F180" s="191"/>
      <x:c r="G180" s="191"/>
      <x:c r="H180" s="191"/>
      <x:c r="I180" s="191"/>
      <x:c r="J180" s="191"/>
      <x:c r="K180" s="191"/>
      <x:c r="L180" s="191"/>
      <x:c r="M180" s="191"/>
      <x:c r="N180" s="191"/>
      <x:c r="O180" s="191"/>
      <x:c r="P180" s="191"/>
      <x:c r="Q180" s="191"/>
      <x:c r="R180" s="191"/>
      <x:c r="S180" s="191"/>
      <x:c r="T180" s="191"/>
      <x:c r="U180" s="191"/>
      <x:c r="V180" s="191"/>
      <x:c r="W180" s="191"/>
      <x:c r="X180" s="191"/>
      <x:c r="Y180" s="191"/>
      <x:c r="Z180" s="191"/>
      <x:c r="AA180" s="191"/>
      <x:c r="AB180" s="191"/>
      <x:c r="AC180" s="191"/>
      <x:c r="AD180" s="191"/>
      <x:c r="AE180" s="191"/>
      <x:c r="AF180" s="191"/>
      <x:c r="AG180" s="191"/>
      <x:c r="AH180" s="191"/>
      <x:c r="AI180" s="191"/>
      <x:c r="AJ180" s="191"/>
      <x:c r="AK180" s="191"/>
    </x:row>
    <x:row r="181">
      <x:c r="A181" s="191"/>
      <x:c r="B181" s="191"/>
      <x:c r="C181" s="191"/>
      <x:c r="D181" s="191"/>
      <x:c r="E181" s="191"/>
      <x:c r="F181" s="191"/>
      <x:c r="G181" s="191"/>
      <x:c r="H181" s="191"/>
      <x:c r="I181" s="191"/>
      <x:c r="J181" s="191"/>
      <x:c r="K181" s="191"/>
      <x:c r="L181" s="191"/>
      <x:c r="M181" s="191"/>
      <x:c r="N181" s="191"/>
      <x:c r="O181" s="191"/>
      <x:c r="P181" s="191"/>
      <x:c r="Q181" s="191"/>
      <x:c r="R181" s="191"/>
      <x:c r="S181" s="191"/>
      <x:c r="T181" s="191"/>
      <x:c r="U181" s="191"/>
      <x:c r="V181" s="191"/>
      <x:c r="W181" s="191"/>
      <x:c r="X181" s="191"/>
      <x:c r="Y181" s="191"/>
      <x:c r="Z181" s="191"/>
      <x:c r="AA181" s="191"/>
      <x:c r="AB181" s="191"/>
      <x:c r="AC181" s="191"/>
      <x:c r="AD181" s="191"/>
      <x:c r="AE181" s="191"/>
      <x:c r="AF181" s="191"/>
      <x:c r="AG181" s="191"/>
      <x:c r="AH181" s="191"/>
      <x:c r="AI181" s="191"/>
      <x:c r="AJ181" s="191"/>
      <x:c r="AK181" s="191"/>
    </x:row>
    <x:row r="182">
      <x:c r="A182" s="191"/>
      <x:c r="B182" s="191"/>
      <x:c r="C182" s="191"/>
      <x:c r="D182" s="191"/>
      <x:c r="E182" s="191"/>
      <x:c r="F182" s="191"/>
      <x:c r="G182" s="191"/>
      <x:c r="H182" s="191"/>
      <x:c r="I182" s="191"/>
      <x:c r="J182" s="191"/>
      <x:c r="K182" s="191"/>
      <x:c r="L182" s="191"/>
      <x:c r="M182" s="191"/>
      <x:c r="N182" s="191"/>
      <x:c r="O182" s="191"/>
      <x:c r="P182" s="191"/>
      <x:c r="Q182" s="191"/>
      <x:c r="R182" s="191"/>
      <x:c r="S182" s="191"/>
      <x:c r="T182" s="191"/>
      <x:c r="U182" s="191"/>
      <x:c r="V182" s="191"/>
      <x:c r="W182" s="191"/>
      <x:c r="X182" s="191"/>
      <x:c r="Y182" s="191"/>
      <x:c r="Z182" s="191"/>
      <x:c r="AA182" s="191"/>
      <x:c r="AB182" s="191"/>
      <x:c r="AC182" s="191"/>
      <x:c r="AD182" s="191"/>
      <x:c r="AE182" s="191"/>
      <x:c r="AF182" s="191"/>
      <x:c r="AG182" s="191"/>
      <x:c r="AH182" s="191"/>
      <x:c r="AI182" s="191"/>
      <x:c r="AJ182" s="191"/>
      <x:c r="AK182" s="191"/>
    </x:row>
    <x:row r="183">
      <x:c r="A183" s="191"/>
      <x:c r="B183" s="191"/>
      <x:c r="C183" s="191"/>
      <x:c r="D183" s="191"/>
      <x:c r="E183" s="191"/>
      <x:c r="F183" s="191"/>
      <x:c r="G183" s="191"/>
      <x:c r="H183" s="191"/>
      <x:c r="I183" s="191"/>
      <x:c r="J183" s="191"/>
      <x:c r="K183" s="191"/>
      <x:c r="L183" s="191"/>
      <x:c r="M183" s="191"/>
      <x:c r="N183" s="191"/>
      <x:c r="O183" s="191"/>
      <x:c r="P183" s="191"/>
      <x:c r="Q183" s="191"/>
      <x:c r="R183" s="191"/>
      <x:c r="S183" s="191"/>
      <x:c r="T183" s="191"/>
      <x:c r="U183" s="191"/>
      <x:c r="V183" s="191"/>
      <x:c r="W183" s="191"/>
      <x:c r="X183" s="191"/>
      <x:c r="Y183" s="191"/>
      <x:c r="Z183" s="191"/>
      <x:c r="AA183" s="191"/>
      <x:c r="AB183" s="191"/>
      <x:c r="AC183" s="191"/>
      <x:c r="AD183" s="191"/>
      <x:c r="AE183" s="191"/>
      <x:c r="AF183" s="191"/>
      <x:c r="AG183" s="191"/>
      <x:c r="AH183" s="191"/>
      <x:c r="AI183" s="191"/>
      <x:c r="AJ183" s="191"/>
      <x:c r="AK183" s="191"/>
    </x:row>
    <x:row r="184">
      <x:c r="A184" s="191"/>
      <x:c r="B184" s="191"/>
      <x:c r="C184" s="191"/>
      <x:c r="D184" s="191"/>
      <x:c r="E184" s="191"/>
      <x:c r="F184" s="191"/>
      <x:c r="G184" s="191"/>
      <x:c r="H184" s="191"/>
      <x:c r="I184" s="191"/>
      <x:c r="J184" s="191"/>
      <x:c r="K184" s="191"/>
      <x:c r="L184" s="191"/>
      <x:c r="M184" s="191"/>
      <x:c r="N184" s="191"/>
      <x:c r="O184" s="191"/>
      <x:c r="P184" s="191"/>
      <x:c r="Q184" s="191"/>
      <x:c r="R184" s="191"/>
      <x:c r="S184" s="191"/>
      <x:c r="T184" s="191"/>
      <x:c r="U184" s="191"/>
      <x:c r="V184" s="191"/>
      <x:c r="W184" s="191"/>
      <x:c r="X184" s="191"/>
      <x:c r="Y184" s="191"/>
      <x:c r="Z184" s="191"/>
      <x:c r="AA184" s="191"/>
      <x:c r="AB184" s="191"/>
      <x:c r="AC184" s="191"/>
      <x:c r="AD184" s="191"/>
      <x:c r="AE184" s="191"/>
      <x:c r="AF184" s="191"/>
      <x:c r="AG184" s="191"/>
      <x:c r="AH184" s="191"/>
      <x:c r="AI184" s="191"/>
      <x:c r="AJ184" s="191"/>
      <x:c r="AK184" s="191"/>
    </x:row>
    <x:row r="185">
      <x:c r="A185" s="191"/>
      <x:c r="B185" s="191"/>
      <x:c r="C185" s="191"/>
      <x:c r="D185" s="191"/>
      <x:c r="E185" s="191"/>
      <x:c r="F185" s="191"/>
      <x:c r="G185" s="191"/>
      <x:c r="H185" s="191"/>
      <x:c r="I185" s="191"/>
      <x:c r="J185" s="191"/>
      <x:c r="K185" s="191"/>
      <x:c r="L185" s="191"/>
      <x:c r="M185" s="191"/>
      <x:c r="N185" s="191"/>
      <x:c r="O185" s="191"/>
      <x:c r="P185" s="191"/>
      <x:c r="Q185" s="191"/>
      <x:c r="R185" s="191"/>
      <x:c r="S185" s="191"/>
      <x:c r="T185" s="191"/>
      <x:c r="U185" s="191"/>
      <x:c r="V185" s="191"/>
      <x:c r="W185" s="191"/>
      <x:c r="X185" s="191"/>
      <x:c r="Y185" s="191"/>
      <x:c r="Z185" s="191"/>
      <x:c r="AA185" s="191"/>
      <x:c r="AB185" s="191"/>
      <x:c r="AC185" s="191"/>
      <x:c r="AD185" s="191"/>
      <x:c r="AE185" s="191"/>
      <x:c r="AF185" s="191"/>
      <x:c r="AG185" s="191"/>
      <x:c r="AH185" s="191"/>
      <x:c r="AI185" s="191"/>
      <x:c r="AJ185" s="191"/>
      <x:c r="AK185" s="191"/>
    </x:row>
    <x:row r="186">
      <x:c r="A186" s="191"/>
      <x:c r="B186" s="191"/>
      <x:c r="C186" s="191"/>
      <x:c r="D186" s="191"/>
      <x:c r="E186" s="191"/>
      <x:c r="F186" s="191"/>
      <x:c r="G186" s="191"/>
      <x:c r="H186" s="191"/>
      <x:c r="I186" s="191"/>
      <x:c r="J186" s="191"/>
      <x:c r="K186" s="191"/>
      <x:c r="L186" s="191"/>
      <x:c r="M186" s="191"/>
      <x:c r="N186" s="191"/>
      <x:c r="O186" s="191"/>
      <x:c r="P186" s="191"/>
      <x:c r="Q186" s="191"/>
      <x:c r="R186" s="191"/>
      <x:c r="S186" s="191"/>
      <x:c r="T186" s="191"/>
      <x:c r="U186" s="191"/>
      <x:c r="V186" s="191"/>
      <x:c r="W186" s="191"/>
      <x:c r="X186" s="191"/>
      <x:c r="Y186" s="191"/>
      <x:c r="Z186" s="191"/>
      <x:c r="AA186" s="191"/>
      <x:c r="AB186" s="191"/>
      <x:c r="AC186" s="191"/>
      <x:c r="AD186" s="191"/>
      <x:c r="AE186" s="191"/>
      <x:c r="AF186" s="191"/>
      <x:c r="AG186" s="191"/>
      <x:c r="AH186" s="191"/>
      <x:c r="AI186" s="191"/>
      <x:c r="AJ186" s="191"/>
      <x:c r="AK186" s="191"/>
    </x:row>
    <x:row r="187">
      <x:c r="A187" s="191"/>
      <x:c r="B187" s="191"/>
      <x:c r="C187" s="191"/>
      <x:c r="D187" s="191"/>
      <x:c r="E187" s="191"/>
      <x:c r="F187" s="191"/>
      <x:c r="G187" s="191"/>
      <x:c r="H187" s="191"/>
      <x:c r="I187" s="191"/>
      <x:c r="J187" s="191"/>
      <x:c r="K187" s="191"/>
      <x:c r="L187" s="191"/>
      <x:c r="M187" s="191"/>
      <x:c r="N187" s="191"/>
      <x:c r="O187" s="191"/>
      <x:c r="P187" s="191"/>
      <x:c r="Q187" s="191"/>
      <x:c r="R187" s="191"/>
      <x:c r="S187" s="191"/>
      <x:c r="T187" s="191"/>
      <x:c r="U187" s="191"/>
      <x:c r="V187" s="191"/>
      <x:c r="W187" s="191"/>
      <x:c r="X187" s="191"/>
      <x:c r="Y187" s="191"/>
      <x:c r="Z187" s="191"/>
      <x:c r="AA187" s="191"/>
      <x:c r="AB187" s="191"/>
      <x:c r="AC187" s="191"/>
      <x:c r="AD187" s="191"/>
      <x:c r="AE187" s="191"/>
      <x:c r="AF187" s="191"/>
      <x:c r="AG187" s="191"/>
      <x:c r="AH187" s="191"/>
      <x:c r="AI187" s="191"/>
      <x:c r="AJ187" s="191"/>
      <x:c r="AK187" s="191"/>
    </x:row>
    <x:row r="188">
      <x:c r="A188" s="191"/>
      <x:c r="B188" s="191"/>
      <x:c r="C188" s="191"/>
      <x:c r="D188" s="191"/>
      <x:c r="E188" s="191"/>
      <x:c r="F188" s="191"/>
      <x:c r="G188" s="191"/>
      <x:c r="H188" s="191"/>
      <x:c r="I188" s="191"/>
      <x:c r="J188" s="191"/>
      <x:c r="K188" s="191"/>
      <x:c r="L188" s="191"/>
      <x:c r="M188" s="191"/>
      <x:c r="N188" s="191"/>
      <x:c r="O188" s="191"/>
      <x:c r="P188" s="191"/>
      <x:c r="Q188" s="191"/>
      <x:c r="R188" s="191"/>
      <x:c r="S188" s="191"/>
      <x:c r="T188" s="191"/>
      <x:c r="U188" s="191"/>
      <x:c r="V188" s="191"/>
      <x:c r="W188" s="191"/>
      <x:c r="X188" s="191"/>
      <x:c r="Y188" s="191"/>
      <x:c r="Z188" s="191"/>
      <x:c r="AA188" s="191"/>
      <x:c r="AB188" s="191"/>
      <x:c r="AC188" s="191"/>
      <x:c r="AD188" s="191"/>
      <x:c r="AE188" s="191"/>
      <x:c r="AF188" s="191"/>
      <x:c r="AG188" s="191"/>
      <x:c r="AH188" s="191"/>
      <x:c r="AI188" s="191"/>
      <x:c r="AJ188" s="191"/>
      <x:c r="AK188" s="191"/>
    </x:row>
    <x:row r="189">
      <x:c r="A189" s="191"/>
      <x:c r="B189" s="191"/>
      <x:c r="C189" s="191"/>
      <x:c r="D189" s="191"/>
      <x:c r="E189" s="191"/>
      <x:c r="F189" s="191"/>
      <x:c r="G189" s="191"/>
      <x:c r="H189" s="191"/>
      <x:c r="I189" s="191"/>
      <x:c r="J189" s="191"/>
      <x:c r="K189" s="191"/>
      <x:c r="L189" s="191"/>
      <x:c r="M189" s="191"/>
      <x:c r="N189" s="191"/>
      <x:c r="O189" s="191"/>
      <x:c r="P189" s="191"/>
      <x:c r="Q189" s="191"/>
      <x:c r="R189" s="191"/>
      <x:c r="S189" s="191"/>
      <x:c r="T189" s="191"/>
      <x:c r="U189" s="191"/>
      <x:c r="V189" s="191"/>
      <x:c r="W189" s="191"/>
      <x:c r="X189" s="191"/>
      <x:c r="Y189" s="191"/>
      <x:c r="Z189" s="191"/>
      <x:c r="AA189" s="191"/>
      <x:c r="AB189" s="191"/>
      <x:c r="AC189" s="191"/>
      <x:c r="AD189" s="191"/>
      <x:c r="AE189" s="191"/>
      <x:c r="AF189" s="191"/>
      <x:c r="AG189" s="191"/>
      <x:c r="AH189" s="191"/>
      <x:c r="AI189" s="191"/>
      <x:c r="AJ189" s="191"/>
      <x:c r="AK189" s="191"/>
    </x:row>
    <x:row r="190">
      <x:c r="A190" s="191"/>
      <x:c r="B190" s="191"/>
      <x:c r="C190" s="191"/>
      <x:c r="D190" s="191"/>
      <x:c r="E190" s="191"/>
      <x:c r="F190" s="191"/>
      <x:c r="G190" s="191"/>
      <x:c r="H190" s="191"/>
      <x:c r="I190" s="191"/>
      <x:c r="J190" s="191"/>
      <x:c r="K190" s="191"/>
      <x:c r="L190" s="191"/>
      <x:c r="M190" s="191"/>
      <x:c r="N190" s="191"/>
      <x:c r="O190" s="191"/>
      <x:c r="P190" s="191"/>
      <x:c r="Q190" s="191"/>
      <x:c r="R190" s="191"/>
      <x:c r="S190" s="191"/>
      <x:c r="T190" s="191"/>
      <x:c r="U190" s="191"/>
      <x:c r="V190" s="191"/>
      <x:c r="W190" s="191"/>
      <x:c r="X190" s="191"/>
      <x:c r="Y190" s="191"/>
      <x:c r="Z190" s="191"/>
      <x:c r="AA190" s="191"/>
      <x:c r="AB190" s="191"/>
      <x:c r="AC190" s="191"/>
      <x:c r="AD190" s="191"/>
      <x:c r="AE190" s="191"/>
      <x:c r="AF190" s="191"/>
      <x:c r="AG190" s="191"/>
      <x:c r="AH190" s="191"/>
      <x:c r="AI190" s="191"/>
      <x:c r="AJ190" s="191"/>
      <x:c r="AK190" s="191"/>
    </x:row>
    <x:row r="191">
      <x:c r="A191" s="191"/>
      <x:c r="B191" s="191"/>
      <x:c r="C191" s="191"/>
      <x:c r="D191" s="191"/>
      <x:c r="E191" s="191"/>
      <x:c r="F191" s="191"/>
      <x:c r="G191" s="191"/>
      <x:c r="H191" s="191"/>
      <x:c r="I191" s="191"/>
      <x:c r="J191" s="191"/>
      <x:c r="K191" s="191"/>
      <x:c r="L191" s="191"/>
      <x:c r="M191" s="191"/>
      <x:c r="N191" s="191"/>
      <x:c r="O191" s="191"/>
      <x:c r="P191" s="191"/>
      <x:c r="Q191" s="191"/>
      <x:c r="R191" s="191"/>
      <x:c r="S191" s="191"/>
      <x:c r="T191" s="191"/>
      <x:c r="U191" s="191"/>
      <x:c r="V191" s="191"/>
      <x:c r="W191" s="191"/>
      <x:c r="X191" s="191"/>
      <x:c r="Y191" s="191"/>
      <x:c r="Z191" s="191"/>
      <x:c r="AA191" s="191"/>
      <x:c r="AB191" s="191"/>
      <x:c r="AC191" s="191"/>
      <x:c r="AD191" s="191"/>
      <x:c r="AE191" s="191"/>
      <x:c r="AF191" s="191"/>
      <x:c r="AG191" s="191"/>
      <x:c r="AH191" s="191"/>
      <x:c r="AI191" s="191"/>
      <x:c r="AJ191" s="191"/>
      <x:c r="AK191" s="191"/>
    </x:row>
    <x:row r="192">
      <x:c r="A192" s="191"/>
      <x:c r="B192" s="191"/>
      <x:c r="C192" s="191"/>
      <x:c r="D192" s="191"/>
      <x:c r="E192" s="191"/>
      <x:c r="F192" s="191"/>
      <x:c r="G192" s="191"/>
      <x:c r="H192" s="191"/>
      <x:c r="I192" s="191"/>
      <x:c r="J192" s="191"/>
      <x:c r="K192" s="191"/>
      <x:c r="L192" s="191"/>
      <x:c r="M192" s="191"/>
      <x:c r="N192" s="191"/>
      <x:c r="O192" s="191"/>
      <x:c r="P192" s="191"/>
      <x:c r="Q192" s="191"/>
      <x:c r="R192" s="191"/>
      <x:c r="S192" s="191"/>
      <x:c r="T192" s="191"/>
      <x:c r="U192" s="191"/>
      <x:c r="V192" s="191"/>
      <x:c r="W192" s="191"/>
      <x:c r="X192" s="191"/>
      <x:c r="Y192" s="191"/>
      <x:c r="Z192" s="191"/>
      <x:c r="AA192" s="191"/>
      <x:c r="AB192" s="191"/>
      <x:c r="AC192" s="191"/>
      <x:c r="AD192" s="191"/>
      <x:c r="AE192" s="191"/>
      <x:c r="AF192" s="191"/>
      <x:c r="AG192" s="191"/>
      <x:c r="AH192" s="191"/>
      <x:c r="AI192" s="191"/>
      <x:c r="AJ192" s="191"/>
      <x:c r="AK192" s="191"/>
    </x:row>
    <x:row r="193">
      <x:c r="A193" s="191"/>
      <x:c r="B193" s="191"/>
      <x:c r="C193" s="191"/>
      <x:c r="D193" s="191"/>
      <x:c r="E193" s="191"/>
      <x:c r="F193" s="191"/>
      <x:c r="G193" s="191"/>
      <x:c r="H193" s="191"/>
      <x:c r="I193" s="191"/>
      <x:c r="J193" s="191"/>
      <x:c r="K193" s="191"/>
      <x:c r="L193" s="191"/>
      <x:c r="M193" s="191"/>
      <x:c r="N193" s="191"/>
      <x:c r="O193" s="191"/>
      <x:c r="P193" s="191"/>
      <x:c r="Q193" s="191"/>
      <x:c r="R193" s="191"/>
      <x:c r="S193" s="191"/>
      <x:c r="T193" s="191"/>
      <x:c r="U193" s="191"/>
      <x:c r="V193" s="191"/>
      <x:c r="W193" s="191"/>
      <x:c r="X193" s="191"/>
      <x:c r="Y193" s="191"/>
      <x:c r="Z193" s="191"/>
      <x:c r="AA193" s="191"/>
      <x:c r="AB193" s="191"/>
      <x:c r="AC193" s="191"/>
      <x:c r="AD193" s="191"/>
      <x:c r="AE193" s="191"/>
      <x:c r="AF193" s="191"/>
      <x:c r="AG193" s="191"/>
      <x:c r="AH193" s="191"/>
      <x:c r="AI193" s="191"/>
      <x:c r="AJ193" s="191"/>
      <x:c r="AK193" s="191"/>
    </x:row>
    <x:row r="194">
      <x:c r="A194" s="191"/>
      <x:c r="B194" s="191"/>
      <x:c r="C194" s="191"/>
      <x:c r="D194" s="191"/>
      <x:c r="E194" s="191"/>
      <x:c r="F194" s="191"/>
      <x:c r="G194" s="191"/>
      <x:c r="H194" s="191"/>
      <x:c r="I194" s="191"/>
      <x:c r="J194" s="191"/>
      <x:c r="K194" s="191"/>
      <x:c r="L194" s="191"/>
      <x:c r="M194" s="191"/>
      <x:c r="N194" s="191"/>
      <x:c r="O194" s="191"/>
      <x:c r="P194" s="191"/>
      <x:c r="Q194" s="191"/>
      <x:c r="R194" s="191"/>
      <x:c r="S194" s="191"/>
      <x:c r="T194" s="191"/>
      <x:c r="U194" s="191"/>
      <x:c r="V194" s="191"/>
      <x:c r="W194" s="191"/>
      <x:c r="X194" s="191"/>
      <x:c r="Y194" s="191"/>
      <x:c r="Z194" s="191"/>
      <x:c r="AA194" s="191"/>
      <x:c r="AB194" s="191"/>
      <x:c r="AC194" s="191"/>
      <x:c r="AD194" s="191"/>
      <x:c r="AE194" s="191"/>
      <x:c r="AF194" s="191"/>
      <x:c r="AG194" s="191"/>
      <x:c r="AH194" s="191"/>
      <x:c r="AI194" s="191"/>
      <x:c r="AJ194" s="191"/>
      <x:c r="AK194" s="191"/>
    </x:row>
    <x:row r="195">
      <x:c r="A195" s="191"/>
      <x:c r="B195" s="191"/>
      <x:c r="C195" s="191"/>
      <x:c r="D195" s="191"/>
      <x:c r="E195" s="191"/>
      <x:c r="F195" s="191"/>
      <x:c r="G195" s="191"/>
      <x:c r="H195" s="191"/>
      <x:c r="I195" s="191"/>
      <x:c r="J195" s="191"/>
      <x:c r="K195" s="191"/>
      <x:c r="L195" s="191"/>
      <x:c r="M195" s="191"/>
      <x:c r="N195" s="191"/>
      <x:c r="O195" s="191"/>
      <x:c r="P195" s="191"/>
      <x:c r="Q195" s="191"/>
      <x:c r="R195" s="191"/>
      <x:c r="S195" s="191"/>
      <x:c r="T195" s="191"/>
      <x:c r="U195" s="191"/>
      <x:c r="V195" s="191"/>
      <x:c r="W195" s="191"/>
      <x:c r="X195" s="191"/>
      <x:c r="Y195" s="191"/>
      <x:c r="Z195" s="191"/>
      <x:c r="AA195" s="191"/>
      <x:c r="AB195" s="191"/>
      <x:c r="AC195" s="191"/>
      <x:c r="AD195" s="191"/>
      <x:c r="AE195" s="191"/>
      <x:c r="AF195" s="191"/>
      <x:c r="AG195" s="191"/>
      <x:c r="AH195" s="191"/>
      <x:c r="AI195" s="191"/>
      <x:c r="AJ195" s="191"/>
      <x:c r="AK195" s="191"/>
    </x:row>
    <x:row r="196">
      <x:c r="A196" s="191"/>
      <x:c r="B196" s="191"/>
      <x:c r="C196" s="191"/>
      <x:c r="D196" s="191"/>
      <x:c r="E196" s="191"/>
      <x:c r="F196" s="191"/>
      <x:c r="G196" s="191"/>
      <x:c r="H196" s="191"/>
      <x:c r="I196" s="191"/>
      <x:c r="J196" s="191"/>
      <x:c r="K196" s="191"/>
      <x:c r="L196" s="191"/>
      <x:c r="M196" s="191"/>
      <x:c r="N196" s="191"/>
      <x:c r="O196" s="191"/>
      <x:c r="P196" s="191"/>
      <x:c r="Q196" s="191"/>
      <x:c r="R196" s="191"/>
      <x:c r="S196" s="191"/>
      <x:c r="T196" s="191"/>
      <x:c r="U196" s="191"/>
      <x:c r="V196" s="191"/>
      <x:c r="W196" s="191"/>
      <x:c r="X196" s="191"/>
      <x:c r="Y196" s="191"/>
      <x:c r="Z196" s="191"/>
      <x:c r="AA196" s="191"/>
      <x:c r="AB196" s="191"/>
      <x:c r="AC196" s="191"/>
      <x:c r="AD196" s="191"/>
      <x:c r="AE196" s="191"/>
      <x:c r="AF196" s="191"/>
      <x:c r="AG196" s="191"/>
      <x:c r="AH196" s="191"/>
      <x:c r="AI196" s="191"/>
      <x:c r="AJ196" s="191"/>
      <x:c r="AK196" s="191"/>
    </x:row>
    <x:row r="197">
      <x:c r="A197" s="191"/>
      <x:c r="B197" s="191"/>
      <x:c r="C197" s="191"/>
      <x:c r="D197" s="191"/>
      <x:c r="E197" s="191"/>
      <x:c r="F197" s="191"/>
      <x:c r="G197" s="191"/>
      <x:c r="H197" s="191"/>
      <x:c r="I197" s="191"/>
      <x:c r="J197" s="191"/>
      <x:c r="K197" s="191"/>
      <x:c r="L197" s="191"/>
      <x:c r="M197" s="191"/>
      <x:c r="N197" s="191"/>
      <x:c r="O197" s="191"/>
      <x:c r="P197" s="191"/>
      <x:c r="Q197" s="191"/>
      <x:c r="R197" s="191"/>
      <x:c r="S197" s="191"/>
      <x:c r="T197" s="191"/>
      <x:c r="U197" s="191"/>
      <x:c r="V197" s="191"/>
      <x:c r="W197" s="191"/>
      <x:c r="X197" s="191"/>
      <x:c r="Y197" s="191"/>
      <x:c r="Z197" s="191"/>
      <x:c r="AA197" s="191"/>
      <x:c r="AB197" s="191"/>
      <x:c r="AC197" s="191"/>
      <x:c r="AD197" s="191"/>
      <x:c r="AE197" s="191"/>
      <x:c r="AF197" s="191"/>
      <x:c r="AG197" s="191"/>
      <x:c r="AH197" s="191"/>
      <x:c r="AI197" s="191"/>
      <x:c r="AJ197" s="191"/>
      <x:c r="AK197" s="191"/>
    </x:row>
    <x:row r="198">
      <x:c r="A198" s="191"/>
      <x:c r="B198" s="191"/>
      <x:c r="C198" s="191"/>
      <x:c r="D198" s="191"/>
      <x:c r="E198" s="191"/>
      <x:c r="F198" s="191"/>
      <x:c r="G198" s="191"/>
      <x:c r="H198" s="191"/>
      <x:c r="I198" s="191"/>
      <x:c r="J198" s="191"/>
      <x:c r="K198" s="191"/>
      <x:c r="L198" s="191"/>
      <x:c r="M198" s="191"/>
      <x:c r="N198" s="191"/>
      <x:c r="O198" s="191"/>
      <x:c r="P198" s="191"/>
      <x:c r="Q198" s="191"/>
      <x:c r="R198" s="191"/>
      <x:c r="S198" s="191"/>
      <x:c r="T198" s="191"/>
      <x:c r="U198" s="191"/>
      <x:c r="V198" s="191"/>
      <x:c r="W198" s="191"/>
      <x:c r="X198" s="191"/>
      <x:c r="Y198" s="191"/>
      <x:c r="Z198" s="191"/>
      <x:c r="AA198" s="191"/>
      <x:c r="AB198" s="191"/>
      <x:c r="AC198" s="191"/>
      <x:c r="AD198" s="191"/>
      <x:c r="AE198" s="191"/>
      <x:c r="AF198" s="191"/>
      <x:c r="AG198" s="191"/>
      <x:c r="AH198" s="191"/>
      <x:c r="AI198" s="191"/>
      <x:c r="AJ198" s="191"/>
      <x:c r="AK198" s="191"/>
    </x:row>
    <x:row r="199">
      <x:c r="A199" s="191"/>
      <x:c r="B199" s="191"/>
      <x:c r="C199" s="191"/>
      <x:c r="D199" s="191"/>
      <x:c r="E199" s="191"/>
      <x:c r="F199" s="191"/>
      <x:c r="G199" s="191"/>
      <x:c r="H199" s="191"/>
      <x:c r="I199" s="191"/>
      <x:c r="J199" s="191"/>
      <x:c r="K199" s="191"/>
      <x:c r="L199" s="191"/>
      <x:c r="M199" s="191"/>
      <x:c r="N199" s="191"/>
      <x:c r="O199" s="191"/>
      <x:c r="P199" s="191"/>
      <x:c r="Q199" s="191"/>
      <x:c r="R199" s="191"/>
      <x:c r="S199" s="191"/>
      <x:c r="T199" s="191"/>
      <x:c r="U199" s="191"/>
      <x:c r="V199" s="191"/>
      <x:c r="W199" s="191"/>
      <x:c r="X199" s="191"/>
      <x:c r="Y199" s="191"/>
      <x:c r="Z199" s="191"/>
      <x:c r="AA199" s="191"/>
      <x:c r="AB199" s="191"/>
      <x:c r="AC199" s="191"/>
      <x:c r="AD199" s="191"/>
      <x:c r="AE199" s="191"/>
      <x:c r="AF199" s="191"/>
      <x:c r="AG199" s="191"/>
      <x:c r="AH199" s="191"/>
      <x:c r="AI199" s="191"/>
      <x:c r="AJ199" s="191"/>
      <x:c r="AK199" s="191"/>
    </x:row>
    <x:row r="200">
      <x:c r="A200" s="191"/>
      <x:c r="B200" s="191"/>
      <x:c r="C200" s="191"/>
      <x:c r="D200" s="191"/>
      <x:c r="E200" s="191"/>
      <x:c r="F200" s="191"/>
      <x:c r="G200" s="191"/>
      <x:c r="H200" s="191"/>
      <x:c r="I200" s="191"/>
      <x:c r="J200" s="191"/>
      <x:c r="K200" s="191"/>
      <x:c r="L200" s="191"/>
      <x:c r="M200" s="191"/>
      <x:c r="N200" s="191"/>
      <x:c r="O200" s="191"/>
      <x:c r="P200" s="191"/>
      <x:c r="Q200" s="191"/>
      <x:c r="R200" s="191"/>
      <x:c r="S200" s="191"/>
      <x:c r="T200" s="191"/>
      <x:c r="U200" s="191"/>
      <x:c r="V200" s="191"/>
      <x:c r="W200" s="191"/>
      <x:c r="X200" s="191"/>
      <x:c r="Y200" s="191"/>
      <x:c r="Z200" s="191"/>
      <x:c r="AA200" s="191"/>
      <x:c r="AB200" s="191"/>
      <x:c r="AC200" s="191"/>
      <x:c r="AD200" s="191"/>
      <x:c r="AE200" s="191"/>
      <x:c r="AF200" s="191"/>
      <x:c r="AG200" s="191"/>
      <x:c r="AH200" s="191"/>
      <x:c r="AI200" s="191"/>
      <x:c r="AJ200" s="191"/>
      <x:c r="AK200" s="191"/>
    </x:row>
    <x:row r="201">
      <x:c r="A201" s="191"/>
      <x:c r="B201" s="191"/>
      <x:c r="C201" s="191"/>
      <x:c r="D201" s="191"/>
      <x:c r="E201" s="191"/>
      <x:c r="F201" s="191"/>
      <x:c r="G201" s="191"/>
      <x:c r="H201" s="191"/>
      <x:c r="I201" s="191"/>
      <x:c r="J201" s="191"/>
      <x:c r="K201" s="191"/>
      <x:c r="L201" s="191"/>
      <x:c r="M201" s="191"/>
      <x:c r="N201" s="191"/>
      <x:c r="O201" s="191"/>
      <x:c r="P201" s="191"/>
      <x:c r="Q201" s="191"/>
      <x:c r="R201" s="191"/>
      <x:c r="S201" s="191"/>
      <x:c r="T201" s="191"/>
      <x:c r="U201" s="191"/>
      <x:c r="V201" s="191"/>
      <x:c r="W201" s="191"/>
      <x:c r="X201" s="191"/>
      <x:c r="Y201" s="191"/>
      <x:c r="Z201" s="191"/>
      <x:c r="AA201" s="191"/>
      <x:c r="AB201" s="191"/>
      <x:c r="AC201" s="191"/>
      <x:c r="AD201" s="191"/>
      <x:c r="AE201" s="191"/>
      <x:c r="AF201" s="191"/>
      <x:c r="AG201" s="191"/>
      <x:c r="AH201" s="191"/>
      <x:c r="AI201" s="191"/>
      <x:c r="AJ201" s="191"/>
      <x:c r="AK201" s="191"/>
    </x:row>
    <x:row r="202">
      <x:c r="A202" s="191"/>
      <x:c r="B202" s="191"/>
      <x:c r="C202" s="191"/>
      <x:c r="D202" s="191"/>
      <x:c r="E202" s="191"/>
      <x:c r="F202" s="191"/>
      <x:c r="G202" s="191"/>
      <x:c r="H202" s="191"/>
      <x:c r="I202" s="191"/>
      <x:c r="J202" s="191"/>
      <x:c r="K202" s="191"/>
      <x:c r="L202" s="191"/>
      <x:c r="M202" s="191"/>
      <x:c r="N202" s="191"/>
      <x:c r="O202" s="191"/>
      <x:c r="P202" s="191"/>
      <x:c r="Q202" s="191"/>
      <x:c r="R202" s="191"/>
      <x:c r="S202" s="191"/>
      <x:c r="T202" s="191"/>
      <x:c r="U202" s="191"/>
      <x:c r="V202" s="191"/>
      <x:c r="W202" s="191"/>
      <x:c r="X202" s="191"/>
      <x:c r="Y202" s="191"/>
      <x:c r="Z202" s="191"/>
      <x:c r="AA202" s="191"/>
      <x:c r="AB202" s="191"/>
      <x:c r="AC202" s="191"/>
      <x:c r="AD202" s="191"/>
      <x:c r="AE202" s="191"/>
      <x:c r="AF202" s="191"/>
      <x:c r="AG202" s="191"/>
      <x:c r="AH202" s="191"/>
      <x:c r="AI202" s="191"/>
      <x:c r="AJ202" s="191"/>
      <x:c r="AK202" s="191"/>
    </x:row>
    <x:row r="203">
      <x:c r="A203" s="191"/>
      <x:c r="B203" s="191"/>
      <x:c r="C203" s="191"/>
      <x:c r="D203" s="191"/>
      <x:c r="E203" s="191"/>
      <x:c r="F203" s="191"/>
      <x:c r="G203" s="191"/>
      <x:c r="H203" s="191"/>
      <x:c r="I203" s="191"/>
      <x:c r="J203" s="191"/>
      <x:c r="K203" s="191"/>
      <x:c r="L203" s="191"/>
      <x:c r="M203" s="191"/>
      <x:c r="N203" s="191"/>
      <x:c r="O203" s="191"/>
      <x:c r="P203" s="191"/>
      <x:c r="Q203" s="191"/>
      <x:c r="R203" s="191"/>
      <x:c r="S203" s="191"/>
      <x:c r="T203" s="191"/>
      <x:c r="U203" s="191"/>
      <x:c r="V203" s="191"/>
      <x:c r="W203" s="191"/>
      <x:c r="X203" s="191"/>
      <x:c r="Y203" s="191"/>
      <x:c r="Z203" s="191"/>
      <x:c r="AA203" s="191"/>
      <x:c r="AB203" s="191"/>
      <x:c r="AC203" s="191"/>
      <x:c r="AD203" s="191"/>
      <x:c r="AE203" s="191"/>
      <x:c r="AF203" s="191"/>
      <x:c r="AG203" s="191"/>
      <x:c r="AH203" s="191"/>
      <x:c r="AI203" s="191"/>
      <x:c r="AJ203" s="191"/>
      <x:c r="AK203" s="191"/>
    </x:row>
    <x:row r="204">
      <x:c r="A204" s="191"/>
      <x:c r="B204" s="191"/>
      <x:c r="C204" s="191"/>
      <x:c r="D204" s="191"/>
      <x:c r="E204" s="191"/>
      <x:c r="F204" s="191"/>
      <x:c r="G204" s="191"/>
      <x:c r="H204" s="191"/>
      <x:c r="I204" s="191"/>
      <x:c r="J204" s="191"/>
      <x:c r="K204" s="191"/>
      <x:c r="L204" s="191"/>
      <x:c r="M204" s="191"/>
      <x:c r="N204" s="191"/>
      <x:c r="O204" s="191"/>
      <x:c r="P204" s="191"/>
      <x:c r="Q204" s="191"/>
      <x:c r="R204" s="191"/>
      <x:c r="S204" s="191"/>
      <x:c r="T204" s="191"/>
      <x:c r="U204" s="191"/>
      <x:c r="V204" s="191"/>
      <x:c r="W204" s="191"/>
      <x:c r="X204" s="191"/>
      <x:c r="Y204" s="191"/>
      <x:c r="Z204" s="191"/>
      <x:c r="AA204" s="191"/>
      <x:c r="AB204" s="191"/>
      <x:c r="AC204" s="191"/>
      <x:c r="AD204" s="191"/>
      <x:c r="AE204" s="191"/>
      <x:c r="AF204" s="191"/>
      <x:c r="AG204" s="191"/>
      <x:c r="AH204" s="191"/>
      <x:c r="AI204" s="191"/>
      <x:c r="AJ204" s="191"/>
      <x:c r="AK204" s="191"/>
    </x:row>
    <x:row r="205">
      <x:c r="A205" s="191"/>
      <x:c r="B205" s="191"/>
      <x:c r="C205" s="191"/>
      <x:c r="D205" s="191"/>
      <x:c r="E205" s="191"/>
      <x:c r="F205" s="191"/>
      <x:c r="G205" s="191"/>
      <x:c r="H205" s="191"/>
      <x:c r="I205" s="191"/>
      <x:c r="J205" s="191"/>
      <x:c r="K205" s="191"/>
      <x:c r="L205" s="191"/>
      <x:c r="M205" s="191"/>
      <x:c r="N205" s="191"/>
      <x:c r="O205" s="191"/>
      <x:c r="P205" s="191"/>
      <x:c r="Q205" s="191"/>
      <x:c r="R205" s="191"/>
      <x:c r="S205" s="191"/>
      <x:c r="T205" s="191"/>
      <x:c r="U205" s="191"/>
      <x:c r="V205" s="191"/>
      <x:c r="W205" s="191"/>
      <x:c r="X205" s="191"/>
      <x:c r="Y205" s="191"/>
      <x:c r="Z205" s="191"/>
      <x:c r="AA205" s="191"/>
      <x:c r="AB205" s="191"/>
      <x:c r="AC205" s="191"/>
      <x:c r="AD205" s="191"/>
      <x:c r="AE205" s="191"/>
      <x:c r="AF205" s="191"/>
      <x:c r="AG205" s="191"/>
      <x:c r="AH205" s="191"/>
      <x:c r="AI205" s="191"/>
      <x:c r="AJ205" s="191"/>
      <x:c r="AK205" s="191"/>
    </x:row>
    <x:row r="206">
      <x:c r="A206" s="191"/>
      <x:c r="B206" s="191"/>
      <x:c r="C206" s="191"/>
      <x:c r="D206" s="191"/>
      <x:c r="E206" s="191"/>
      <x:c r="F206" s="191"/>
      <x:c r="G206" s="191"/>
      <x:c r="H206" s="191"/>
      <x:c r="I206" s="191"/>
      <x:c r="J206" s="191"/>
      <x:c r="K206" s="191"/>
      <x:c r="L206" s="191"/>
      <x:c r="M206" s="191"/>
      <x:c r="N206" s="191"/>
      <x:c r="O206" s="191"/>
      <x:c r="P206" s="191"/>
      <x:c r="Q206" s="191"/>
      <x:c r="R206" s="191"/>
      <x:c r="S206" s="191"/>
      <x:c r="T206" s="191"/>
      <x:c r="U206" s="191"/>
      <x:c r="V206" s="191"/>
      <x:c r="W206" s="191"/>
      <x:c r="X206" s="191"/>
      <x:c r="Y206" s="191"/>
      <x:c r="Z206" s="191"/>
      <x:c r="AA206" s="191"/>
      <x:c r="AB206" s="191"/>
      <x:c r="AC206" s="191"/>
      <x:c r="AD206" s="191"/>
      <x:c r="AE206" s="191"/>
      <x:c r="AF206" s="191"/>
      <x:c r="AG206" s="191"/>
      <x:c r="AH206" s="191"/>
      <x:c r="AI206" s="191"/>
      <x:c r="AJ206" s="191"/>
      <x:c r="AK206" s="191"/>
    </x:row>
    <x:row r="207">
      <x:c r="A207" s="191"/>
      <x:c r="B207" s="191"/>
      <x:c r="C207" s="191"/>
      <x:c r="D207" s="191"/>
      <x:c r="E207" s="191"/>
      <x:c r="F207" s="191"/>
      <x:c r="G207" s="191"/>
      <x:c r="H207" s="191"/>
      <x:c r="I207" s="191"/>
      <x:c r="J207" s="191"/>
      <x:c r="K207" s="191"/>
      <x:c r="L207" s="191"/>
      <x:c r="M207" s="191"/>
      <x:c r="N207" s="191"/>
      <x:c r="O207" s="191"/>
      <x:c r="P207" s="191"/>
      <x:c r="Q207" s="191"/>
      <x:c r="R207" s="191"/>
      <x:c r="S207" s="191"/>
      <x:c r="T207" s="191"/>
      <x:c r="U207" s="191"/>
      <x:c r="V207" s="191"/>
      <x:c r="W207" s="191"/>
      <x:c r="X207" s="191"/>
      <x:c r="Y207" s="191"/>
      <x:c r="Z207" s="191"/>
      <x:c r="AA207" s="191"/>
      <x:c r="AB207" s="191"/>
      <x:c r="AC207" s="191"/>
      <x:c r="AD207" s="191"/>
      <x:c r="AE207" s="191"/>
      <x:c r="AF207" s="191"/>
      <x:c r="AG207" s="191"/>
      <x:c r="AH207" s="191"/>
      <x:c r="AI207" s="191"/>
      <x:c r="AJ207" s="191"/>
      <x:c r="AK207" s="191"/>
    </x:row>
    <x:row r="208">
      <x:c r="A208" s="191"/>
      <x:c r="B208" s="191"/>
      <x:c r="C208" s="191"/>
      <x:c r="D208" s="191"/>
      <x:c r="E208" s="191"/>
      <x:c r="F208" s="191"/>
      <x:c r="G208" s="191"/>
      <x:c r="H208" s="191"/>
      <x:c r="I208" s="191"/>
      <x:c r="J208" s="191"/>
      <x:c r="K208" s="191"/>
      <x:c r="L208" s="191"/>
      <x:c r="M208" s="191"/>
      <x:c r="N208" s="191"/>
      <x:c r="O208" s="191"/>
      <x:c r="P208" s="191"/>
      <x:c r="Q208" s="191"/>
      <x:c r="R208" s="191"/>
      <x:c r="S208" s="191"/>
      <x:c r="T208" s="191"/>
      <x:c r="U208" s="191"/>
      <x:c r="V208" s="191"/>
      <x:c r="W208" s="191"/>
      <x:c r="X208" s="191"/>
      <x:c r="Y208" s="191"/>
      <x:c r="Z208" s="191"/>
      <x:c r="AA208" s="191"/>
      <x:c r="AB208" s="191"/>
      <x:c r="AC208" s="191"/>
      <x:c r="AD208" s="191"/>
      <x:c r="AE208" s="191"/>
      <x:c r="AF208" s="191"/>
      <x:c r="AG208" s="191"/>
      <x:c r="AH208" s="191"/>
      <x:c r="AI208" s="191"/>
      <x:c r="AJ208" s="191"/>
      <x:c r="AK208" s="191"/>
    </x:row>
    <x:row r="209">
      <x:c r="A209" s="191"/>
      <x:c r="B209" s="191"/>
      <x:c r="C209" s="191"/>
      <x:c r="D209" s="191"/>
      <x:c r="E209" s="191"/>
      <x:c r="F209" s="191"/>
      <x:c r="G209" s="191"/>
      <x:c r="H209" s="191"/>
      <x:c r="I209" s="191"/>
      <x:c r="J209" s="191"/>
      <x:c r="K209" s="191"/>
      <x:c r="L209" s="191"/>
      <x:c r="M209" s="191"/>
      <x:c r="N209" s="191"/>
      <x:c r="O209" s="191"/>
      <x:c r="P209" s="191"/>
      <x:c r="Q209" s="191"/>
      <x:c r="R209" s="191"/>
      <x:c r="S209" s="191"/>
      <x:c r="T209" s="191"/>
      <x:c r="U209" s="191"/>
      <x:c r="V209" s="191"/>
      <x:c r="W209" s="191"/>
      <x:c r="X209" s="191"/>
      <x:c r="Y209" s="191"/>
      <x:c r="Z209" s="191"/>
      <x:c r="AA209" s="191"/>
      <x:c r="AB209" s="191"/>
      <x:c r="AC209" s="191"/>
      <x:c r="AD209" s="191"/>
      <x:c r="AE209" s="191"/>
      <x:c r="AF209" s="191"/>
      <x:c r="AG209" s="191"/>
      <x:c r="AH209" s="191"/>
      <x:c r="AI209" s="191"/>
      <x:c r="AJ209" s="191"/>
      <x:c r="AK209" s="191"/>
    </x:row>
    <x:row r="210">
      <x:c r="A210" s="191"/>
      <x:c r="B210" s="191"/>
      <x:c r="C210" s="191"/>
      <x:c r="D210" s="191"/>
      <x:c r="E210" s="191"/>
      <x:c r="F210" s="191"/>
      <x:c r="G210" s="191"/>
      <x:c r="H210" s="191"/>
      <x:c r="I210" s="191"/>
      <x:c r="J210" s="191"/>
      <x:c r="K210" s="191"/>
      <x:c r="L210" s="191"/>
      <x:c r="M210" s="191"/>
      <x:c r="N210" s="191"/>
      <x:c r="O210" s="191"/>
      <x:c r="P210" s="191"/>
      <x:c r="Q210" s="191"/>
      <x:c r="R210" s="191"/>
      <x:c r="S210" s="191"/>
      <x:c r="T210" s="191"/>
      <x:c r="U210" s="191"/>
      <x:c r="V210" s="191"/>
      <x:c r="W210" s="191"/>
      <x:c r="X210" s="191"/>
      <x:c r="Y210" s="191"/>
      <x:c r="Z210" s="191"/>
      <x:c r="AA210" s="191"/>
      <x:c r="AB210" s="191"/>
      <x:c r="AC210" s="191"/>
      <x:c r="AD210" s="191"/>
      <x:c r="AE210" s="191"/>
      <x:c r="AF210" s="191"/>
      <x:c r="AG210" s="191"/>
      <x:c r="AH210" s="191"/>
      <x:c r="AI210" s="191"/>
      <x:c r="AJ210" s="191"/>
      <x:c r="AK210" s="191"/>
    </x:row>
    <x:row r="211">
      <x:c r="A211" s="191"/>
      <x:c r="B211" s="191"/>
      <x:c r="C211" s="191"/>
      <x:c r="D211" s="191"/>
      <x:c r="E211" s="191"/>
      <x:c r="F211" s="191"/>
      <x:c r="G211" s="191"/>
      <x:c r="H211" s="191"/>
      <x:c r="I211" s="191"/>
      <x:c r="J211" s="191"/>
      <x:c r="K211" s="191"/>
      <x:c r="L211" s="191"/>
      <x:c r="M211" s="191"/>
      <x:c r="N211" s="191"/>
      <x:c r="O211" s="191"/>
      <x:c r="P211" s="191"/>
      <x:c r="Q211" s="191"/>
      <x:c r="R211" s="191"/>
      <x:c r="S211" s="191"/>
      <x:c r="T211" s="191"/>
      <x:c r="U211" s="191"/>
      <x:c r="V211" s="191"/>
      <x:c r="W211" s="191"/>
      <x:c r="X211" s="191"/>
      <x:c r="Y211" s="191"/>
      <x:c r="Z211" s="191"/>
      <x:c r="AA211" s="191"/>
      <x:c r="AB211" s="191"/>
      <x:c r="AC211" s="191"/>
      <x:c r="AD211" s="191"/>
      <x:c r="AE211" s="191"/>
      <x:c r="AF211" s="191"/>
      <x:c r="AG211" s="191"/>
      <x:c r="AH211" s="191"/>
      <x:c r="AI211" s="191"/>
      <x:c r="AJ211" s="191"/>
      <x:c r="AK211" s="191"/>
    </x:row>
    <x:row r="212">
      <x:c r="A212" s="191"/>
      <x:c r="B212" s="191"/>
      <x:c r="C212" s="191"/>
      <x:c r="D212" s="191"/>
      <x:c r="E212" s="191"/>
      <x:c r="F212" s="191"/>
      <x:c r="G212" s="191"/>
      <x:c r="H212" s="191"/>
      <x:c r="I212" s="191"/>
      <x:c r="J212" s="191"/>
      <x:c r="K212" s="191"/>
      <x:c r="L212" s="191"/>
      <x:c r="M212" s="191"/>
      <x:c r="N212" s="191"/>
      <x:c r="O212" s="191"/>
      <x:c r="P212" s="191"/>
      <x:c r="Q212" s="191"/>
      <x:c r="R212" s="191"/>
      <x:c r="S212" s="191"/>
      <x:c r="T212" s="191"/>
      <x:c r="U212" s="191"/>
      <x:c r="V212" s="191"/>
      <x:c r="W212" s="191"/>
      <x:c r="X212" s="191"/>
      <x:c r="Y212" s="191"/>
      <x:c r="Z212" s="191"/>
      <x:c r="AA212" s="191"/>
      <x:c r="AB212" s="191"/>
      <x:c r="AC212" s="191"/>
      <x:c r="AD212" s="191"/>
      <x:c r="AE212" s="191"/>
      <x:c r="AF212" s="191"/>
      <x:c r="AG212" s="191"/>
      <x:c r="AH212" s="191"/>
      <x:c r="AI212" s="191"/>
      <x:c r="AJ212" s="191"/>
      <x:c r="AK212" s="191"/>
    </x:row>
    <x:row r="213">
      <x:c r="A213" s="191"/>
      <x:c r="B213" s="191"/>
      <x:c r="C213" s="191"/>
      <x:c r="D213" s="191"/>
      <x:c r="E213" s="191"/>
      <x:c r="F213" s="191"/>
      <x:c r="G213" s="191"/>
      <x:c r="H213" s="191"/>
      <x:c r="I213" s="191"/>
      <x:c r="J213" s="191"/>
      <x:c r="K213" s="191"/>
      <x:c r="L213" s="191"/>
      <x:c r="M213" s="191"/>
      <x:c r="N213" s="191"/>
      <x:c r="O213" s="191"/>
      <x:c r="P213" s="191"/>
      <x:c r="Q213" s="191"/>
      <x:c r="R213" s="191"/>
      <x:c r="S213" s="191"/>
      <x:c r="T213" s="191"/>
      <x:c r="U213" s="191"/>
      <x:c r="V213" s="191"/>
      <x:c r="W213" s="191"/>
      <x:c r="X213" s="191"/>
      <x:c r="Y213" s="191"/>
      <x:c r="Z213" s="191"/>
      <x:c r="AA213" s="191"/>
      <x:c r="AB213" s="191"/>
      <x:c r="AC213" s="191"/>
      <x:c r="AD213" s="191"/>
      <x:c r="AE213" s="191"/>
      <x:c r="AF213" s="191"/>
      <x:c r="AG213" s="191"/>
      <x:c r="AH213" s="191"/>
      <x:c r="AI213" s="191"/>
      <x:c r="AJ213" s="191"/>
      <x:c r="AK213" s="191"/>
    </x:row>
    <x:row r="214">
      <x:c r="A214" s="191"/>
      <x:c r="B214" s="191"/>
      <x:c r="C214" s="191"/>
      <x:c r="D214" s="191"/>
      <x:c r="E214" s="191"/>
      <x:c r="F214" s="191"/>
      <x:c r="G214" s="191"/>
      <x:c r="H214" s="191"/>
      <x:c r="I214" s="191"/>
      <x:c r="J214" s="191"/>
      <x:c r="K214" s="191"/>
      <x:c r="L214" s="191"/>
      <x:c r="M214" s="191"/>
      <x:c r="N214" s="191"/>
      <x:c r="O214" s="191"/>
      <x:c r="P214" s="191"/>
      <x:c r="Q214" s="191"/>
      <x:c r="R214" s="191"/>
      <x:c r="S214" s="191"/>
      <x:c r="T214" s="191"/>
      <x:c r="U214" s="191"/>
      <x:c r="V214" s="191"/>
      <x:c r="W214" s="191"/>
      <x:c r="X214" s="191"/>
      <x:c r="Y214" s="191"/>
      <x:c r="Z214" s="191"/>
      <x:c r="AA214" s="191"/>
      <x:c r="AB214" s="191"/>
      <x:c r="AC214" s="191"/>
      <x:c r="AD214" s="191"/>
      <x:c r="AE214" s="191"/>
      <x:c r="AF214" s="191"/>
      <x:c r="AG214" s="191"/>
      <x:c r="AH214" s="191"/>
      <x:c r="AI214" s="191"/>
      <x:c r="AJ214" s="191"/>
      <x:c r="AK214" s="191"/>
    </x:row>
    <x:row r="215">
      <x:c r="A215" s="191"/>
      <x:c r="B215" s="191"/>
      <x:c r="C215" s="191"/>
      <x:c r="D215" s="191"/>
      <x:c r="E215" s="191"/>
      <x:c r="F215" s="191"/>
      <x:c r="G215" s="191"/>
      <x:c r="H215" s="191"/>
      <x:c r="I215" s="191"/>
      <x:c r="J215" s="191"/>
      <x:c r="K215" s="191"/>
      <x:c r="L215" s="191"/>
      <x:c r="M215" s="191"/>
      <x:c r="N215" s="191"/>
      <x:c r="O215" s="191"/>
      <x:c r="P215" s="191"/>
      <x:c r="Q215" s="191"/>
      <x:c r="R215" s="191"/>
      <x:c r="S215" s="191"/>
      <x:c r="T215" s="191"/>
      <x:c r="U215" s="191"/>
      <x:c r="V215" s="191"/>
      <x:c r="W215" s="191"/>
      <x:c r="X215" s="191"/>
      <x:c r="Y215" s="191"/>
      <x:c r="Z215" s="191"/>
      <x:c r="AA215" s="191"/>
      <x:c r="AB215" s="191"/>
      <x:c r="AC215" s="191"/>
      <x:c r="AD215" s="191"/>
      <x:c r="AE215" s="191"/>
      <x:c r="AF215" s="191"/>
      <x:c r="AG215" s="191"/>
      <x:c r="AH215" s="191"/>
      <x:c r="AI215" s="191"/>
      <x:c r="AJ215" s="191"/>
      <x:c r="AK215" s="191"/>
    </x:row>
    <x:row r="216">
      <x:c r="A216" s="191"/>
      <x:c r="B216" s="191"/>
      <x:c r="C216" s="191"/>
      <x:c r="D216" s="191"/>
      <x:c r="E216" s="191"/>
      <x:c r="F216" s="191"/>
      <x:c r="G216" s="191"/>
      <x:c r="H216" s="191"/>
      <x:c r="I216" s="191"/>
      <x:c r="J216" s="191"/>
      <x:c r="K216" s="191"/>
      <x:c r="L216" s="191"/>
      <x:c r="M216" s="191"/>
      <x:c r="N216" s="191"/>
      <x:c r="O216" s="191"/>
      <x:c r="P216" s="191"/>
      <x:c r="Q216" s="191"/>
      <x:c r="R216" s="191"/>
      <x:c r="S216" s="191"/>
      <x:c r="T216" s="191"/>
      <x:c r="U216" s="191"/>
      <x:c r="V216" s="191"/>
      <x:c r="W216" s="191"/>
      <x:c r="X216" s="191"/>
      <x:c r="Y216" s="191"/>
      <x:c r="Z216" s="191"/>
      <x:c r="AA216" s="191"/>
      <x:c r="AB216" s="191"/>
      <x:c r="AC216" s="191"/>
      <x:c r="AD216" s="191"/>
      <x:c r="AE216" s="191"/>
      <x:c r="AF216" s="191"/>
      <x:c r="AG216" s="191"/>
      <x:c r="AH216" s="191"/>
      <x:c r="AI216" s="191"/>
      <x:c r="AJ216" s="191"/>
      <x:c r="AK216" s="191"/>
    </x:row>
    <x:row r="217">
      <x:c r="A217" s="191"/>
      <x:c r="B217" s="191"/>
      <x:c r="C217" s="191"/>
      <x:c r="D217" s="191"/>
      <x:c r="E217" s="191"/>
      <x:c r="F217" s="191"/>
      <x:c r="G217" s="191"/>
      <x:c r="H217" s="191"/>
      <x:c r="I217" s="191"/>
      <x:c r="J217" s="191"/>
      <x:c r="K217" s="191"/>
      <x:c r="L217" s="191"/>
      <x:c r="M217" s="191"/>
      <x:c r="N217" s="191"/>
      <x:c r="O217" s="191"/>
      <x:c r="P217" s="191"/>
      <x:c r="Q217" s="191"/>
      <x:c r="R217" s="191"/>
      <x:c r="S217" s="191"/>
      <x:c r="T217" s="191"/>
      <x:c r="U217" s="191"/>
      <x:c r="V217" s="191"/>
      <x:c r="W217" s="191"/>
      <x:c r="X217" s="191"/>
      <x:c r="Y217" s="191"/>
      <x:c r="Z217" s="191"/>
      <x:c r="AA217" s="191"/>
      <x:c r="AB217" s="191"/>
      <x:c r="AC217" s="191"/>
      <x:c r="AD217" s="191"/>
      <x:c r="AE217" s="191"/>
      <x:c r="AF217" s="191"/>
      <x:c r="AG217" s="191"/>
      <x:c r="AH217" s="191"/>
      <x:c r="AI217" s="191"/>
      <x:c r="AJ217" s="191"/>
      <x:c r="AK217" s="191"/>
    </x:row>
    <x:row r="218">
      <x:c r="A218" s="191"/>
      <x:c r="B218" s="191"/>
      <x:c r="C218" s="191"/>
      <x:c r="D218" s="191"/>
      <x:c r="E218" s="191"/>
      <x:c r="F218" s="191"/>
      <x:c r="G218" s="191"/>
      <x:c r="H218" s="191"/>
      <x:c r="I218" s="191"/>
      <x:c r="J218" s="191"/>
      <x:c r="K218" s="191"/>
      <x:c r="L218" s="191"/>
      <x:c r="M218" s="191"/>
      <x:c r="N218" s="191"/>
      <x:c r="O218" s="191"/>
      <x:c r="P218" s="191"/>
      <x:c r="Q218" s="191"/>
      <x:c r="R218" s="191"/>
      <x:c r="S218" s="191"/>
      <x:c r="T218" s="191"/>
      <x:c r="U218" s="191"/>
      <x:c r="V218" s="191"/>
      <x:c r="W218" s="191"/>
      <x:c r="X218" s="191"/>
      <x:c r="Y218" s="191"/>
      <x:c r="Z218" s="191"/>
      <x:c r="AA218" s="191"/>
      <x:c r="AB218" s="191"/>
      <x:c r="AC218" s="191"/>
      <x:c r="AD218" s="191"/>
      <x:c r="AE218" s="191"/>
      <x:c r="AF218" s="191"/>
      <x:c r="AG218" s="191"/>
      <x:c r="AH218" s="191"/>
      <x:c r="AI218" s="191"/>
      <x:c r="AJ218" s="191"/>
      <x:c r="AK218" s="191"/>
    </x:row>
    <x:row r="219">
      <x:c r="A219" s="191"/>
      <x:c r="B219" s="191"/>
      <x:c r="C219" s="191"/>
      <x:c r="D219" s="191"/>
      <x:c r="E219" s="191"/>
      <x:c r="F219" s="191"/>
      <x:c r="G219" s="191"/>
      <x:c r="H219" s="191"/>
      <x:c r="I219" s="191"/>
      <x:c r="J219" s="191"/>
      <x:c r="K219" s="191"/>
      <x:c r="L219" s="191"/>
      <x:c r="M219" s="191"/>
      <x:c r="N219" s="191"/>
      <x:c r="O219" s="191"/>
      <x:c r="P219" s="191"/>
      <x:c r="Q219" s="191"/>
      <x:c r="R219" s="191"/>
      <x:c r="S219" s="191"/>
      <x:c r="T219" s="191"/>
      <x:c r="U219" s="191"/>
      <x:c r="V219" s="191"/>
      <x:c r="W219" s="191"/>
      <x:c r="X219" s="191"/>
      <x:c r="Y219" s="191"/>
      <x:c r="Z219" s="191"/>
      <x:c r="AA219" s="191"/>
      <x:c r="AB219" s="191"/>
      <x:c r="AC219" s="191"/>
      <x:c r="AD219" s="191"/>
      <x:c r="AE219" s="191"/>
      <x:c r="AF219" s="191"/>
      <x:c r="AG219" s="191"/>
      <x:c r="AH219" s="191"/>
      <x:c r="AI219" s="191"/>
      <x:c r="AJ219" s="191"/>
      <x:c r="AK219" s="191"/>
    </x:row>
    <x:row r="220">
      <x:c r="A220" s="191"/>
      <x:c r="B220" s="191"/>
      <x:c r="C220" s="191"/>
      <x:c r="D220" s="191"/>
      <x:c r="E220" s="191"/>
      <x:c r="F220" s="191"/>
      <x:c r="G220" s="191"/>
      <x:c r="H220" s="191"/>
      <x:c r="I220" s="191"/>
      <x:c r="J220" s="191"/>
      <x:c r="K220" s="191"/>
      <x:c r="L220" s="191"/>
      <x:c r="M220" s="191"/>
      <x:c r="N220" s="191"/>
      <x:c r="O220" s="191"/>
      <x:c r="P220" s="191"/>
      <x:c r="Q220" s="191"/>
      <x:c r="R220" s="191"/>
      <x:c r="S220" s="191"/>
      <x:c r="T220" s="191"/>
      <x:c r="U220" s="191"/>
      <x:c r="V220" s="191"/>
      <x:c r="W220" s="191"/>
      <x:c r="X220" s="191"/>
      <x:c r="Y220" s="191"/>
      <x:c r="Z220" s="191"/>
      <x:c r="AA220" s="191"/>
      <x:c r="AB220" s="191"/>
      <x:c r="AC220" s="191"/>
      <x:c r="AD220" s="191"/>
      <x:c r="AE220" s="191"/>
      <x:c r="AF220" s="191"/>
      <x:c r="AG220" s="191"/>
      <x:c r="AH220" s="191"/>
      <x:c r="AI220" s="191"/>
      <x:c r="AJ220" s="191"/>
      <x:c r="AK220" s="191"/>
    </x:row>
    <x:row r="221">
      <x:c r="A221" s="191"/>
      <x:c r="B221" s="191"/>
      <x:c r="C221" s="191"/>
      <x:c r="D221" s="191"/>
      <x:c r="E221" s="191"/>
      <x:c r="F221" s="191"/>
      <x:c r="G221" s="191"/>
      <x:c r="H221" s="191"/>
      <x:c r="I221" s="191"/>
      <x:c r="J221" s="191"/>
      <x:c r="K221" s="191"/>
      <x:c r="L221" s="191"/>
      <x:c r="M221" s="191"/>
      <x:c r="N221" s="191"/>
      <x:c r="O221" s="191"/>
      <x:c r="P221" s="191"/>
      <x:c r="Q221" s="191"/>
      <x:c r="R221" s="191"/>
      <x:c r="S221" s="191"/>
      <x:c r="T221" s="191"/>
      <x:c r="U221" s="191"/>
      <x:c r="V221" s="191"/>
      <x:c r="W221" s="191"/>
      <x:c r="X221" s="191"/>
      <x:c r="Y221" s="191"/>
      <x:c r="Z221" s="191"/>
      <x:c r="AA221" s="191"/>
      <x:c r="AB221" s="191"/>
      <x:c r="AC221" s="191"/>
      <x:c r="AD221" s="191"/>
      <x:c r="AE221" s="191"/>
      <x:c r="AF221" s="191"/>
      <x:c r="AG221" s="191"/>
      <x:c r="AH221" s="191"/>
      <x:c r="AI221" s="191"/>
      <x:c r="AJ221" s="191"/>
      <x:c r="AK221" s="191"/>
    </x:row>
    <x:row r="222">
      <x:c r="A222" s="191"/>
      <x:c r="B222" s="191"/>
      <x:c r="C222" s="191"/>
      <x:c r="D222" s="191"/>
      <x:c r="E222" s="191"/>
      <x:c r="F222" s="191"/>
      <x:c r="G222" s="191"/>
      <x:c r="H222" s="191"/>
      <x:c r="I222" s="191"/>
      <x:c r="J222" s="191"/>
      <x:c r="K222" s="191"/>
      <x:c r="L222" s="191"/>
      <x:c r="M222" s="191"/>
      <x:c r="N222" s="191"/>
      <x:c r="O222" s="191"/>
      <x:c r="P222" s="191"/>
      <x:c r="Q222" s="191"/>
      <x:c r="R222" s="191"/>
      <x:c r="S222" s="191"/>
      <x:c r="T222" s="191"/>
      <x:c r="U222" s="191"/>
      <x:c r="V222" s="191"/>
      <x:c r="W222" s="191"/>
      <x:c r="X222" s="191"/>
      <x:c r="Y222" s="191"/>
      <x:c r="Z222" s="191"/>
      <x:c r="AA222" s="191"/>
      <x:c r="AB222" s="191"/>
      <x:c r="AC222" s="191"/>
      <x:c r="AD222" s="191"/>
      <x:c r="AE222" s="191"/>
      <x:c r="AF222" s="191"/>
      <x:c r="AG222" s="191"/>
      <x:c r="AH222" s="191"/>
      <x:c r="AI222" s="191"/>
      <x:c r="AJ222" s="191"/>
      <x:c r="AK222" s="191"/>
    </x:row>
    <x:row r="223">
      <x:c r="A223" s="191"/>
      <x:c r="B223" s="191"/>
      <x:c r="C223" s="191"/>
      <x:c r="D223" s="191"/>
      <x:c r="E223" s="191"/>
      <x:c r="F223" s="191"/>
      <x:c r="G223" s="191"/>
      <x:c r="H223" s="191"/>
      <x:c r="I223" s="191"/>
      <x:c r="J223" s="191"/>
      <x:c r="K223" s="191"/>
      <x:c r="L223" s="191"/>
      <x:c r="M223" s="191"/>
      <x:c r="N223" s="191"/>
      <x:c r="O223" s="191"/>
      <x:c r="P223" s="191"/>
      <x:c r="Q223" s="191"/>
      <x:c r="R223" s="191"/>
      <x:c r="S223" s="191"/>
      <x:c r="T223" s="191"/>
      <x:c r="U223" s="191"/>
      <x:c r="V223" s="191"/>
      <x:c r="W223" s="191"/>
      <x:c r="X223" s="191"/>
      <x:c r="Y223" s="191"/>
      <x:c r="Z223" s="191"/>
      <x:c r="AA223" s="191"/>
      <x:c r="AB223" s="191"/>
      <x:c r="AC223" s="191"/>
      <x:c r="AD223" s="191"/>
      <x:c r="AE223" s="191"/>
      <x:c r="AF223" s="191"/>
      <x:c r="AG223" s="191"/>
      <x:c r="AH223" s="191"/>
      <x:c r="AI223" s="191"/>
      <x:c r="AJ223" s="191"/>
      <x:c r="AK223" s="191"/>
    </x:row>
    <x:row r="224">
      <x:c r="A224" s="191"/>
      <x:c r="B224" s="191"/>
      <x:c r="C224" s="191"/>
      <x:c r="D224" s="191"/>
      <x:c r="E224" s="191"/>
      <x:c r="F224" s="191"/>
      <x:c r="G224" s="191"/>
      <x:c r="H224" s="191"/>
      <x:c r="I224" s="191"/>
      <x:c r="J224" s="191"/>
      <x:c r="K224" s="191"/>
      <x:c r="L224" s="191"/>
      <x:c r="M224" s="191"/>
      <x:c r="N224" s="191"/>
      <x:c r="O224" s="191"/>
      <x:c r="P224" s="191"/>
      <x:c r="Q224" s="191"/>
      <x:c r="R224" s="191"/>
      <x:c r="S224" s="191"/>
      <x:c r="T224" s="191"/>
      <x:c r="U224" s="191"/>
      <x:c r="V224" s="191"/>
      <x:c r="W224" s="191"/>
      <x:c r="X224" s="191"/>
      <x:c r="Y224" s="191"/>
      <x:c r="Z224" s="191"/>
      <x:c r="AA224" s="191"/>
      <x:c r="AB224" s="191"/>
      <x:c r="AC224" s="191"/>
      <x:c r="AD224" s="191"/>
      <x:c r="AE224" s="191"/>
      <x:c r="AF224" s="191"/>
      <x:c r="AG224" s="191"/>
      <x:c r="AH224" s="191"/>
      <x:c r="AI224" s="191"/>
      <x:c r="AJ224" s="191"/>
      <x:c r="AK224" s="191"/>
    </x:row>
    <x:row r="225">
      <x:c r="A225" s="191"/>
      <x:c r="B225" s="191"/>
      <x:c r="C225" s="191"/>
      <x:c r="D225" s="191"/>
      <x:c r="E225" s="191"/>
      <x:c r="F225" s="191"/>
      <x:c r="G225" s="191"/>
      <x:c r="H225" s="191"/>
      <x:c r="I225" s="191"/>
      <x:c r="J225" s="191"/>
      <x:c r="K225" s="191"/>
      <x:c r="L225" s="191"/>
      <x:c r="M225" s="191"/>
      <x:c r="N225" s="191"/>
      <x:c r="O225" s="191"/>
      <x:c r="P225" s="191"/>
      <x:c r="Q225" s="191"/>
      <x:c r="R225" s="191"/>
      <x:c r="S225" s="191"/>
      <x:c r="T225" s="191"/>
      <x:c r="U225" s="191"/>
      <x:c r="V225" s="191"/>
      <x:c r="W225" s="191"/>
      <x:c r="X225" s="191"/>
      <x:c r="Y225" s="191"/>
      <x:c r="Z225" s="191"/>
      <x:c r="AA225" s="191"/>
      <x:c r="AB225" s="191"/>
      <x:c r="AC225" s="191"/>
      <x:c r="AD225" s="191"/>
      <x:c r="AE225" s="191"/>
      <x:c r="AF225" s="191"/>
      <x:c r="AG225" s="191"/>
      <x:c r="AH225" s="191"/>
      <x:c r="AI225" s="191"/>
      <x:c r="AJ225" s="191"/>
      <x:c r="AK225" s="191"/>
    </x:row>
    <x:row r="226">
      <x:c r="A226" s="191"/>
      <x:c r="B226" s="191"/>
      <x:c r="C226" s="191"/>
      <x:c r="D226" s="191"/>
      <x:c r="E226" s="191"/>
      <x:c r="F226" s="191"/>
      <x:c r="G226" s="191"/>
      <x:c r="H226" s="191"/>
      <x:c r="I226" s="191"/>
      <x:c r="J226" s="191"/>
      <x:c r="K226" s="191"/>
      <x:c r="L226" s="191"/>
      <x:c r="M226" s="191"/>
      <x:c r="N226" s="191"/>
      <x:c r="O226" s="191"/>
      <x:c r="P226" s="191"/>
      <x:c r="Q226" s="191"/>
      <x:c r="R226" s="191"/>
      <x:c r="S226" s="191"/>
      <x:c r="T226" s="191"/>
      <x:c r="U226" s="191"/>
      <x:c r="V226" s="191"/>
      <x:c r="W226" s="191"/>
      <x:c r="X226" s="191"/>
      <x:c r="Y226" s="191"/>
      <x:c r="Z226" s="191"/>
      <x:c r="AA226" s="191"/>
      <x:c r="AB226" s="191"/>
      <x:c r="AC226" s="191"/>
      <x:c r="AD226" s="191"/>
      <x:c r="AE226" s="191"/>
      <x:c r="AF226" s="191"/>
      <x:c r="AG226" s="191"/>
      <x:c r="AH226" s="191"/>
      <x:c r="AI226" s="191"/>
      <x:c r="AJ226" s="191"/>
      <x:c r="AK226" s="191"/>
    </x:row>
    <x:row r="227">
      <x:c r="A227" s="191"/>
      <x:c r="B227" s="191"/>
      <x:c r="C227" s="191"/>
      <x:c r="D227" s="191"/>
      <x:c r="E227" s="191"/>
      <x:c r="F227" s="191"/>
      <x:c r="G227" s="191"/>
      <x:c r="H227" s="191"/>
      <x:c r="I227" s="191"/>
      <x:c r="J227" s="191"/>
      <x:c r="K227" s="191"/>
      <x:c r="L227" s="191"/>
      <x:c r="M227" s="191"/>
      <x:c r="N227" s="191"/>
      <x:c r="O227" s="191"/>
      <x:c r="P227" s="191"/>
      <x:c r="Q227" s="191"/>
      <x:c r="R227" s="191"/>
      <x:c r="S227" s="191"/>
      <x:c r="T227" s="191"/>
      <x:c r="U227" s="191"/>
      <x:c r="V227" s="191"/>
      <x:c r="W227" s="191"/>
      <x:c r="X227" s="191"/>
      <x:c r="Y227" s="191"/>
      <x:c r="Z227" s="191"/>
      <x:c r="AA227" s="191"/>
      <x:c r="AB227" s="191"/>
      <x:c r="AC227" s="191"/>
      <x:c r="AD227" s="191"/>
      <x:c r="AE227" s="191"/>
      <x:c r="AF227" s="191"/>
      <x:c r="AG227" s="191"/>
      <x:c r="AH227" s="191"/>
      <x:c r="AI227" s="191"/>
      <x:c r="AJ227" s="191"/>
      <x:c r="AK227" s="191"/>
    </x:row>
    <x:row r="228">
      <x:c r="A228" s="191"/>
      <x:c r="B228" s="191"/>
      <x:c r="C228" s="191"/>
      <x:c r="D228" s="191"/>
      <x:c r="E228" s="191"/>
      <x:c r="F228" s="191"/>
      <x:c r="G228" s="191"/>
      <x:c r="H228" s="191"/>
      <x:c r="I228" s="191"/>
      <x:c r="J228" s="191"/>
      <x:c r="K228" s="191"/>
      <x:c r="L228" s="191"/>
      <x:c r="M228" s="191"/>
      <x:c r="N228" s="191"/>
      <x:c r="O228" s="191"/>
      <x:c r="P228" s="191"/>
      <x:c r="Q228" s="191"/>
      <x:c r="R228" s="191"/>
      <x:c r="S228" s="191"/>
      <x:c r="T228" s="191"/>
      <x:c r="U228" s="191"/>
      <x:c r="V228" s="191"/>
      <x:c r="W228" s="191"/>
      <x:c r="X228" s="191"/>
      <x:c r="Y228" s="191"/>
      <x:c r="Z228" s="191"/>
      <x:c r="AA228" s="191"/>
      <x:c r="AB228" s="191"/>
      <x:c r="AC228" s="191"/>
      <x:c r="AD228" s="191"/>
      <x:c r="AE228" s="191"/>
      <x:c r="AF228" s="191"/>
      <x:c r="AG228" s="191"/>
      <x:c r="AH228" s="191"/>
      <x:c r="AI228" s="191"/>
      <x:c r="AJ228" s="191"/>
      <x:c r="AK228" s="191"/>
    </x:row>
    <x:row r="229">
      <x:c r="A229" s="191"/>
      <x:c r="B229" s="191"/>
      <x:c r="C229" s="191"/>
      <x:c r="D229" s="191"/>
      <x:c r="E229" s="191"/>
      <x:c r="F229" s="191"/>
      <x:c r="G229" s="191"/>
      <x:c r="H229" s="191"/>
      <x:c r="I229" s="191"/>
      <x:c r="J229" s="191"/>
      <x:c r="K229" s="191"/>
      <x:c r="L229" s="191"/>
      <x:c r="M229" s="191"/>
      <x:c r="N229" s="191"/>
      <x:c r="O229" s="191"/>
      <x:c r="P229" s="191"/>
      <x:c r="Q229" s="191"/>
      <x:c r="R229" s="191"/>
      <x:c r="S229" s="191"/>
      <x:c r="T229" s="191"/>
      <x:c r="U229" s="191"/>
      <x:c r="V229" s="191"/>
      <x:c r="W229" s="191"/>
      <x:c r="X229" s="191"/>
      <x:c r="Y229" s="191"/>
      <x:c r="Z229" s="191"/>
      <x:c r="AA229" s="191"/>
      <x:c r="AB229" s="191"/>
      <x:c r="AC229" s="191"/>
      <x:c r="AD229" s="191"/>
      <x:c r="AE229" s="191"/>
      <x:c r="AF229" s="191"/>
      <x:c r="AG229" s="191"/>
      <x:c r="AH229" s="191"/>
      <x:c r="AI229" s="191"/>
      <x:c r="AJ229" s="191"/>
      <x:c r="AK229" s="191"/>
    </x:row>
    <x:row r="230">
      <x:c r="A230" s="191"/>
      <x:c r="B230" s="191"/>
      <x:c r="C230" s="191"/>
      <x:c r="D230" s="191"/>
      <x:c r="E230" s="191"/>
      <x:c r="F230" s="191"/>
      <x:c r="G230" s="191"/>
      <x:c r="H230" s="191"/>
      <x:c r="I230" s="191"/>
      <x:c r="J230" s="191"/>
      <x:c r="K230" s="191"/>
      <x:c r="L230" s="191"/>
      <x:c r="M230" s="191"/>
      <x:c r="N230" s="191"/>
      <x:c r="O230" s="191"/>
      <x:c r="P230" s="191"/>
      <x:c r="Q230" s="191"/>
      <x:c r="R230" s="191"/>
      <x:c r="S230" s="191"/>
      <x:c r="T230" s="191"/>
      <x:c r="U230" s="191"/>
      <x:c r="V230" s="191"/>
      <x:c r="W230" s="191"/>
      <x:c r="X230" s="191"/>
      <x:c r="Y230" s="191"/>
      <x:c r="Z230" s="191"/>
      <x:c r="AA230" s="191"/>
      <x:c r="AB230" s="191"/>
      <x:c r="AC230" s="191"/>
      <x:c r="AD230" s="191"/>
      <x:c r="AE230" s="191"/>
      <x:c r="AF230" s="191"/>
      <x:c r="AG230" s="191"/>
      <x:c r="AH230" s="191"/>
      <x:c r="AI230" s="191"/>
      <x:c r="AJ230" s="191"/>
      <x:c r="AK230" s="191"/>
    </x:row>
    <x:row r="231">
      <x:c r="A231" s="191"/>
      <x:c r="B231" s="191"/>
      <x:c r="C231" s="191"/>
      <x:c r="D231" s="191"/>
      <x:c r="E231" s="191"/>
      <x:c r="F231" s="191"/>
      <x:c r="G231" s="191"/>
      <x:c r="H231" s="191"/>
      <x:c r="I231" s="191"/>
      <x:c r="J231" s="191"/>
      <x:c r="K231" s="191"/>
      <x:c r="L231" s="191"/>
      <x:c r="M231" s="191"/>
      <x:c r="N231" s="191"/>
      <x:c r="O231" s="191"/>
      <x:c r="P231" s="191"/>
      <x:c r="Q231" s="191"/>
      <x:c r="R231" s="191"/>
      <x:c r="S231" s="191"/>
      <x:c r="T231" s="191"/>
      <x:c r="U231" s="191"/>
      <x:c r="V231" s="191"/>
      <x:c r="W231" s="191"/>
      <x:c r="X231" s="191"/>
      <x:c r="Y231" s="191"/>
      <x:c r="Z231" s="191"/>
      <x:c r="AA231" s="191"/>
      <x:c r="AB231" s="191"/>
      <x:c r="AC231" s="191"/>
      <x:c r="AD231" s="191"/>
      <x:c r="AE231" s="191"/>
      <x:c r="AF231" s="191"/>
      <x:c r="AG231" s="191"/>
      <x:c r="AH231" s="191"/>
      <x:c r="AI231" s="191"/>
      <x:c r="AJ231" s="191"/>
      <x:c r="AK231" s="191"/>
    </x:row>
    <x:row r="232">
      <x:c r="A232" s="191"/>
      <x:c r="B232" s="191"/>
      <x:c r="C232" s="191"/>
      <x:c r="D232" s="191"/>
      <x:c r="E232" s="191"/>
      <x:c r="F232" s="191"/>
      <x:c r="G232" s="191"/>
      <x:c r="H232" s="191"/>
      <x:c r="I232" s="191"/>
      <x:c r="J232" s="191"/>
      <x:c r="K232" s="191"/>
      <x:c r="L232" s="191"/>
      <x:c r="M232" s="191"/>
      <x:c r="N232" s="191"/>
      <x:c r="O232" s="191"/>
      <x:c r="P232" s="191"/>
      <x:c r="Q232" s="191"/>
      <x:c r="R232" s="191"/>
      <x:c r="S232" s="191"/>
      <x:c r="T232" s="191"/>
      <x:c r="U232" s="191"/>
      <x:c r="V232" s="191"/>
      <x:c r="W232" s="191"/>
      <x:c r="X232" s="191"/>
      <x:c r="Y232" s="191"/>
      <x:c r="Z232" s="191"/>
      <x:c r="AA232" s="191"/>
      <x:c r="AB232" s="191"/>
      <x:c r="AC232" s="191"/>
      <x:c r="AD232" s="191"/>
      <x:c r="AE232" s="191"/>
      <x:c r="AF232" s="191"/>
      <x:c r="AG232" s="191"/>
      <x:c r="AH232" s="191"/>
      <x:c r="AI232" s="191"/>
      <x:c r="AJ232" s="191"/>
      <x:c r="AK232" s="191"/>
    </x:row>
    <x:row r="233">
      <x:c r="A233" s="191"/>
      <x:c r="B233" s="191"/>
      <x:c r="C233" s="191"/>
      <x:c r="D233" s="191"/>
      <x:c r="E233" s="191"/>
      <x:c r="F233" s="191"/>
      <x:c r="G233" s="191"/>
      <x:c r="H233" s="191"/>
      <x:c r="I233" s="191"/>
      <x:c r="J233" s="191"/>
      <x:c r="K233" s="191"/>
      <x:c r="L233" s="191"/>
      <x:c r="M233" s="191"/>
      <x:c r="N233" s="191"/>
      <x:c r="O233" s="191"/>
      <x:c r="P233" s="191"/>
      <x:c r="Q233" s="191"/>
      <x:c r="R233" s="191"/>
      <x:c r="S233" s="191"/>
      <x:c r="T233" s="191"/>
      <x:c r="U233" s="191"/>
      <x:c r="V233" s="191"/>
      <x:c r="W233" s="191"/>
      <x:c r="X233" s="191"/>
      <x:c r="Y233" s="191"/>
      <x:c r="Z233" s="191"/>
      <x:c r="AA233" s="191"/>
      <x:c r="AB233" s="191"/>
      <x:c r="AC233" s="191"/>
      <x:c r="AD233" s="191"/>
      <x:c r="AE233" s="191"/>
      <x:c r="AF233" s="191"/>
      <x:c r="AG233" s="191"/>
      <x:c r="AH233" s="191"/>
      <x:c r="AI233" s="191"/>
      <x:c r="AJ233" s="191"/>
      <x:c r="AK233" s="191"/>
    </x:row>
    <x:row r="234">
      <x:c r="A234" s="191"/>
      <x:c r="B234" s="191"/>
      <x:c r="C234" s="191"/>
      <x:c r="D234" s="191"/>
      <x:c r="E234" s="191"/>
      <x:c r="F234" s="191"/>
      <x:c r="G234" s="191"/>
      <x:c r="H234" s="191"/>
      <x:c r="I234" s="191"/>
      <x:c r="J234" s="191"/>
      <x:c r="K234" s="191"/>
      <x:c r="L234" s="191"/>
      <x:c r="M234" s="191"/>
      <x:c r="N234" s="191"/>
      <x:c r="O234" s="191"/>
      <x:c r="P234" s="191"/>
      <x:c r="Q234" s="191"/>
      <x:c r="R234" s="191"/>
      <x:c r="S234" s="191"/>
      <x:c r="T234" s="191"/>
      <x:c r="U234" s="191"/>
      <x:c r="V234" s="191"/>
      <x:c r="W234" s="191"/>
      <x:c r="X234" s="191"/>
      <x:c r="Y234" s="191"/>
      <x:c r="Z234" s="191"/>
      <x:c r="AA234" s="191"/>
      <x:c r="AB234" s="191"/>
      <x:c r="AC234" s="191"/>
      <x:c r="AD234" s="191"/>
      <x:c r="AE234" s="191"/>
      <x:c r="AF234" s="191"/>
      <x:c r="AG234" s="191"/>
      <x:c r="AH234" s="191"/>
      <x:c r="AI234" s="191"/>
      <x:c r="AJ234" s="191"/>
      <x:c r="AK234" s="191"/>
    </x:row>
    <x:row r="235">
      <x:c r="A235" s="191"/>
      <x:c r="B235" s="191"/>
      <x:c r="C235" s="191"/>
      <x:c r="D235" s="191"/>
      <x:c r="E235" s="191"/>
      <x:c r="F235" s="191"/>
      <x:c r="G235" s="191"/>
      <x:c r="H235" s="191"/>
      <x:c r="I235" s="191"/>
      <x:c r="J235" s="191"/>
      <x:c r="K235" s="191"/>
      <x:c r="L235" s="191"/>
      <x:c r="M235" s="191"/>
      <x:c r="N235" s="191"/>
      <x:c r="O235" s="191"/>
      <x:c r="P235" s="191"/>
      <x:c r="Q235" s="191"/>
      <x:c r="R235" s="191"/>
      <x:c r="S235" s="191"/>
      <x:c r="T235" s="191"/>
      <x:c r="U235" s="191"/>
      <x:c r="V235" s="191"/>
      <x:c r="W235" s="191"/>
      <x:c r="X235" s="191"/>
      <x:c r="Y235" s="191"/>
      <x:c r="Z235" s="191"/>
      <x:c r="AA235" s="191"/>
      <x:c r="AB235" s="191"/>
      <x:c r="AC235" s="191"/>
      <x:c r="AD235" s="191"/>
      <x:c r="AE235" s="191"/>
      <x:c r="AF235" s="191"/>
      <x:c r="AG235" s="191"/>
      <x:c r="AH235" s="191"/>
      <x:c r="AI235" s="191"/>
      <x:c r="AJ235" s="191"/>
      <x:c r="AK235" s="191"/>
    </x:row>
    <x:row r="236">
      <x:c r="A236" s="191"/>
      <x:c r="B236" s="191"/>
      <x:c r="C236" s="191"/>
      <x:c r="D236" s="191"/>
      <x:c r="E236" s="191"/>
      <x:c r="F236" s="191"/>
      <x:c r="G236" s="191"/>
      <x:c r="H236" s="191"/>
      <x:c r="I236" s="191"/>
      <x:c r="J236" s="191"/>
      <x:c r="K236" s="191"/>
      <x:c r="L236" s="191"/>
      <x:c r="M236" s="191"/>
      <x:c r="N236" s="191"/>
      <x:c r="O236" s="191"/>
      <x:c r="P236" s="191"/>
      <x:c r="Q236" s="191"/>
      <x:c r="R236" s="191"/>
      <x:c r="S236" s="191"/>
      <x:c r="T236" s="191"/>
      <x:c r="U236" s="191"/>
      <x:c r="V236" s="191"/>
      <x:c r="W236" s="191"/>
      <x:c r="X236" s="191"/>
      <x:c r="Y236" s="191"/>
      <x:c r="Z236" s="191"/>
      <x:c r="AA236" s="191"/>
      <x:c r="AB236" s="191"/>
      <x:c r="AC236" s="191"/>
      <x:c r="AD236" s="191"/>
      <x:c r="AE236" s="191"/>
      <x:c r="AF236" s="191"/>
      <x:c r="AG236" s="191"/>
      <x:c r="AH236" s="191"/>
      <x:c r="AI236" s="191"/>
      <x:c r="AJ236" s="191"/>
      <x:c r="AK236" s="191"/>
    </x:row>
    <x:row r="237">
      <x:c r="A237" s="191"/>
      <x:c r="B237" s="191"/>
      <x:c r="C237" s="191"/>
      <x:c r="D237" s="191"/>
      <x:c r="E237" s="191"/>
      <x:c r="F237" s="191"/>
      <x:c r="G237" s="191"/>
      <x:c r="H237" s="191"/>
      <x:c r="I237" s="191"/>
      <x:c r="J237" s="191"/>
      <x:c r="K237" s="191"/>
      <x:c r="L237" s="191"/>
      <x:c r="M237" s="191"/>
      <x:c r="N237" s="191"/>
      <x:c r="O237" s="191"/>
      <x:c r="P237" s="191"/>
      <x:c r="Q237" s="191"/>
      <x:c r="R237" s="191"/>
      <x:c r="S237" s="191"/>
      <x:c r="T237" s="191"/>
      <x:c r="U237" s="191"/>
      <x:c r="V237" s="191"/>
      <x:c r="W237" s="191"/>
      <x:c r="X237" s="191"/>
      <x:c r="Y237" s="191"/>
      <x:c r="Z237" s="191"/>
      <x:c r="AA237" s="191"/>
      <x:c r="AB237" s="191"/>
      <x:c r="AC237" s="191"/>
      <x:c r="AD237" s="191"/>
      <x:c r="AE237" s="191"/>
      <x:c r="AF237" s="191"/>
      <x:c r="AG237" s="191"/>
      <x:c r="AH237" s="191"/>
      <x:c r="AI237" s="191"/>
      <x:c r="AJ237" s="191"/>
      <x:c r="AK237" s="191"/>
    </x:row>
    <x:row r="238">
      <x:c r="A238" s="191"/>
      <x:c r="B238" s="191"/>
      <x:c r="C238" s="191"/>
      <x:c r="D238" s="191"/>
      <x:c r="E238" s="191"/>
      <x:c r="F238" s="191"/>
      <x:c r="G238" s="191"/>
      <x:c r="H238" s="191"/>
      <x:c r="I238" s="191"/>
      <x:c r="J238" s="191"/>
      <x:c r="K238" s="191"/>
      <x:c r="L238" s="191"/>
      <x:c r="M238" s="191"/>
      <x:c r="N238" s="191"/>
      <x:c r="O238" s="191"/>
      <x:c r="P238" s="191"/>
      <x:c r="Q238" s="191"/>
      <x:c r="R238" s="191"/>
      <x:c r="S238" s="191"/>
      <x:c r="T238" s="191"/>
      <x:c r="U238" s="191"/>
      <x:c r="V238" s="191"/>
      <x:c r="W238" s="191"/>
      <x:c r="X238" s="191"/>
      <x:c r="Y238" s="191"/>
      <x:c r="Z238" s="191"/>
      <x:c r="AA238" s="191"/>
      <x:c r="AB238" s="191"/>
      <x:c r="AC238" s="191"/>
      <x:c r="AD238" s="191"/>
      <x:c r="AE238" s="191"/>
      <x:c r="AF238" s="191"/>
      <x:c r="AG238" s="191"/>
      <x:c r="AH238" s="191"/>
      <x:c r="AI238" s="191"/>
      <x:c r="AJ238" s="191"/>
      <x:c r="AK238" s="191"/>
    </x:row>
    <x:row r="239">
      <x:c r="A239" s="191"/>
      <x:c r="B239" s="191"/>
      <x:c r="C239" s="191"/>
      <x:c r="D239" s="191"/>
      <x:c r="E239" s="191"/>
      <x:c r="F239" s="191"/>
      <x:c r="G239" s="191"/>
      <x:c r="H239" s="191"/>
      <x:c r="I239" s="191"/>
      <x:c r="J239" s="191"/>
      <x:c r="K239" s="191"/>
      <x:c r="L239" s="191"/>
      <x:c r="M239" s="191"/>
      <x:c r="N239" s="191"/>
      <x:c r="O239" s="191"/>
      <x:c r="P239" s="191"/>
      <x:c r="Q239" s="191"/>
      <x:c r="R239" s="191"/>
      <x:c r="S239" s="191"/>
      <x:c r="T239" s="191"/>
      <x:c r="U239" s="191"/>
      <x:c r="V239" s="191"/>
      <x:c r="W239" s="191"/>
      <x:c r="X239" s="191"/>
      <x:c r="Y239" s="191"/>
      <x:c r="Z239" s="191"/>
      <x:c r="AA239" s="191"/>
      <x:c r="AB239" s="191"/>
      <x:c r="AC239" s="191"/>
      <x:c r="AD239" s="191"/>
      <x:c r="AE239" s="191"/>
      <x:c r="AF239" s="191"/>
      <x:c r="AG239" s="191"/>
      <x:c r="AH239" s="191"/>
      <x:c r="AI239" s="191"/>
      <x:c r="AJ239" s="191"/>
      <x:c r="AK239" s="191"/>
    </x:row>
    <x:row r="240">
      <x:c r="A240" s="191"/>
      <x:c r="B240" s="191"/>
      <x:c r="C240" s="191"/>
      <x:c r="D240" s="191"/>
      <x:c r="E240" s="191"/>
      <x:c r="F240" s="191"/>
      <x:c r="G240" s="191"/>
      <x:c r="H240" s="191"/>
      <x:c r="I240" s="191"/>
      <x:c r="J240" s="191"/>
      <x:c r="K240" s="191"/>
      <x:c r="L240" s="191"/>
      <x:c r="M240" s="191"/>
      <x:c r="N240" s="191"/>
      <x:c r="O240" s="191"/>
      <x:c r="P240" s="191"/>
      <x:c r="Q240" s="191"/>
      <x:c r="R240" s="191"/>
      <x:c r="S240" s="191"/>
      <x:c r="T240" s="191"/>
      <x:c r="U240" s="191"/>
      <x:c r="V240" s="191"/>
      <x:c r="W240" s="191"/>
      <x:c r="X240" s="191"/>
      <x:c r="Y240" s="191"/>
      <x:c r="Z240" s="191"/>
      <x:c r="AA240" s="191"/>
      <x:c r="AB240" s="191"/>
      <x:c r="AC240" s="191"/>
      <x:c r="AD240" s="191"/>
      <x:c r="AE240" s="191"/>
      <x:c r="AF240" s="191"/>
      <x:c r="AG240" s="191"/>
      <x:c r="AH240" s="191"/>
      <x:c r="AI240" s="191"/>
      <x:c r="AJ240" s="191"/>
      <x:c r="AK240" s="191"/>
    </x:row>
    <x:row r="241">
      <x:c r="A241" s="191"/>
      <x:c r="B241" s="191"/>
      <x:c r="C241" s="191"/>
      <x:c r="D241" s="191"/>
      <x:c r="E241" s="191"/>
      <x:c r="F241" s="191"/>
      <x:c r="G241" s="191"/>
      <x:c r="H241" s="191"/>
      <x:c r="I241" s="191"/>
      <x:c r="J241" s="191"/>
      <x:c r="K241" s="191"/>
      <x:c r="L241" s="191"/>
      <x:c r="M241" s="191"/>
      <x:c r="N241" s="191"/>
      <x:c r="O241" s="191"/>
      <x:c r="P241" s="191"/>
      <x:c r="Q241" s="191"/>
      <x:c r="R241" s="191"/>
      <x:c r="S241" s="191"/>
      <x:c r="T241" s="191"/>
      <x:c r="U241" s="191"/>
      <x:c r="V241" s="191"/>
      <x:c r="W241" s="191"/>
      <x:c r="X241" s="191"/>
      <x:c r="Y241" s="191"/>
      <x:c r="Z241" s="191"/>
      <x:c r="AA241" s="191"/>
      <x:c r="AB241" s="191"/>
      <x:c r="AC241" s="191"/>
      <x:c r="AD241" s="191"/>
      <x:c r="AE241" s="191"/>
      <x:c r="AF241" s="191"/>
      <x:c r="AG241" s="191"/>
      <x:c r="AH241" s="191"/>
      <x:c r="AI241" s="191"/>
      <x:c r="AJ241" s="191"/>
      <x:c r="AK241" s="191"/>
    </x:row>
    <x:row r="242">
      <x:c r="A242" s="191"/>
      <x:c r="B242" s="191"/>
      <x:c r="C242" s="191"/>
      <x:c r="D242" s="191"/>
      <x:c r="E242" s="191"/>
      <x:c r="F242" s="191"/>
      <x:c r="G242" s="191"/>
      <x:c r="H242" s="191"/>
      <x:c r="I242" s="191"/>
      <x:c r="J242" s="191"/>
      <x:c r="K242" s="191"/>
      <x:c r="L242" s="191"/>
      <x:c r="M242" s="191"/>
      <x:c r="N242" s="191"/>
      <x:c r="O242" s="191"/>
      <x:c r="P242" s="191"/>
      <x:c r="Q242" s="191"/>
      <x:c r="R242" s="191"/>
      <x:c r="S242" s="191"/>
      <x:c r="T242" s="191"/>
      <x:c r="U242" s="191"/>
      <x:c r="V242" s="191"/>
      <x:c r="W242" s="191"/>
      <x:c r="X242" s="191"/>
      <x:c r="Y242" s="191"/>
      <x:c r="Z242" s="191"/>
      <x:c r="AA242" s="191"/>
      <x:c r="AB242" s="191"/>
      <x:c r="AC242" s="191"/>
      <x:c r="AD242" s="191"/>
      <x:c r="AE242" s="191"/>
      <x:c r="AF242" s="191"/>
      <x:c r="AG242" s="191"/>
      <x:c r="AH242" s="191"/>
      <x:c r="AI242" s="191"/>
      <x:c r="AJ242" s="191"/>
      <x:c r="AK242" s="191"/>
    </x:row>
    <x:row r="243">
      <x:c r="A243" s="191"/>
      <x:c r="B243" s="191"/>
      <x:c r="C243" s="191"/>
      <x:c r="D243" s="191"/>
      <x:c r="E243" s="191"/>
      <x:c r="F243" s="191"/>
      <x:c r="G243" s="191"/>
      <x:c r="H243" s="191"/>
      <x:c r="I243" s="191"/>
      <x:c r="J243" s="191"/>
      <x:c r="K243" s="191"/>
      <x:c r="L243" s="191"/>
      <x:c r="M243" s="191"/>
      <x:c r="N243" s="191"/>
      <x:c r="O243" s="191"/>
      <x:c r="P243" s="191"/>
      <x:c r="Q243" s="191"/>
      <x:c r="R243" s="191"/>
      <x:c r="S243" s="191"/>
      <x:c r="T243" s="191"/>
      <x:c r="U243" s="191"/>
      <x:c r="V243" s="191"/>
      <x:c r="W243" s="191"/>
      <x:c r="X243" s="191"/>
      <x:c r="Y243" s="191"/>
      <x:c r="Z243" s="191"/>
      <x:c r="AA243" s="191"/>
      <x:c r="AB243" s="191"/>
      <x:c r="AC243" s="191"/>
      <x:c r="AD243" s="191"/>
      <x:c r="AE243" s="191"/>
      <x:c r="AF243" s="191"/>
      <x:c r="AG243" s="191"/>
      <x:c r="AH243" s="191"/>
      <x:c r="AI243" s="191"/>
      <x:c r="AJ243" s="191"/>
      <x:c r="AK243" s="191"/>
    </x:row>
    <x:row r="244">
      <x:c r="A244" s="191"/>
      <x:c r="B244" s="191"/>
      <x:c r="C244" s="191"/>
      <x:c r="D244" s="191"/>
      <x:c r="E244" s="191"/>
      <x:c r="F244" s="191"/>
      <x:c r="G244" s="191"/>
      <x:c r="H244" s="191"/>
      <x:c r="I244" s="191"/>
      <x:c r="J244" s="191"/>
      <x:c r="K244" s="191"/>
      <x:c r="L244" s="191"/>
      <x:c r="M244" s="191"/>
      <x:c r="N244" s="191"/>
      <x:c r="O244" s="191"/>
      <x:c r="P244" s="191"/>
      <x:c r="Q244" s="191"/>
      <x:c r="R244" s="191"/>
      <x:c r="S244" s="191"/>
      <x:c r="T244" s="191"/>
      <x:c r="U244" s="191"/>
      <x:c r="V244" s="191"/>
      <x:c r="W244" s="191"/>
      <x:c r="X244" s="191"/>
      <x:c r="Y244" s="191"/>
      <x:c r="Z244" s="191"/>
      <x:c r="AA244" s="191"/>
      <x:c r="AB244" s="191"/>
      <x:c r="AC244" s="191"/>
      <x:c r="AD244" s="191"/>
      <x:c r="AE244" s="191"/>
      <x:c r="AF244" s="191"/>
      <x:c r="AG244" s="191"/>
      <x:c r="AH244" s="191"/>
      <x:c r="AI244" s="191"/>
      <x:c r="AJ244" s="191"/>
      <x:c r="AK244" s="191"/>
    </x:row>
    <x:row r="245">
      <x:c r="A245" s="191"/>
      <x:c r="B245" s="191"/>
      <x:c r="C245" s="191"/>
      <x:c r="D245" s="191"/>
      <x:c r="E245" s="191"/>
      <x:c r="F245" s="191"/>
      <x:c r="G245" s="191"/>
      <x:c r="H245" s="191"/>
      <x:c r="I245" s="191"/>
      <x:c r="J245" s="191"/>
      <x:c r="K245" s="191"/>
      <x:c r="L245" s="191"/>
      <x:c r="M245" s="191"/>
      <x:c r="N245" s="191"/>
      <x:c r="O245" s="191"/>
      <x:c r="P245" s="191"/>
      <x:c r="Q245" s="191"/>
      <x:c r="R245" s="191"/>
      <x:c r="S245" s="191"/>
      <x:c r="T245" s="191"/>
      <x:c r="U245" s="191"/>
      <x:c r="V245" s="191"/>
      <x:c r="W245" s="191"/>
      <x:c r="X245" s="191"/>
      <x:c r="Y245" s="191"/>
      <x:c r="Z245" s="191"/>
      <x:c r="AA245" s="191"/>
      <x:c r="AB245" s="191"/>
      <x:c r="AC245" s="191"/>
      <x:c r="AD245" s="191"/>
      <x:c r="AE245" s="191"/>
      <x:c r="AF245" s="191"/>
      <x:c r="AG245" s="191"/>
      <x:c r="AH245" s="191"/>
      <x:c r="AI245" s="191"/>
      <x:c r="AJ245" s="191"/>
      <x:c r="AK245" s="191"/>
    </x:row>
    <x:row r="246">
      <x:c r="A246" s="191"/>
      <x:c r="B246" s="191"/>
      <x:c r="C246" s="191"/>
      <x:c r="D246" s="191"/>
      <x:c r="E246" s="191"/>
      <x:c r="F246" s="191"/>
      <x:c r="G246" s="191"/>
      <x:c r="H246" s="191"/>
      <x:c r="I246" s="191"/>
      <x:c r="J246" s="191"/>
      <x:c r="K246" s="191"/>
      <x:c r="L246" s="191"/>
      <x:c r="M246" s="191"/>
      <x:c r="N246" s="191"/>
      <x:c r="O246" s="191"/>
      <x:c r="P246" s="191"/>
      <x:c r="Q246" s="191"/>
      <x:c r="R246" s="191"/>
      <x:c r="S246" s="191"/>
      <x:c r="T246" s="191"/>
      <x:c r="U246" s="191"/>
      <x:c r="V246" s="191"/>
      <x:c r="W246" s="191"/>
      <x:c r="X246" s="191"/>
      <x:c r="Y246" s="191"/>
      <x:c r="Z246" s="191"/>
      <x:c r="AA246" s="191"/>
      <x:c r="AB246" s="191"/>
      <x:c r="AC246" s="191"/>
      <x:c r="AD246" s="191"/>
      <x:c r="AE246" s="191"/>
      <x:c r="AF246" s="191"/>
      <x:c r="AG246" s="191"/>
      <x:c r="AH246" s="191"/>
      <x:c r="AI246" s="191"/>
      <x:c r="AJ246" s="191"/>
      <x:c r="AK246" s="191"/>
    </x:row>
    <x:row r="247">
      <x:c r="A247" s="191"/>
      <x:c r="B247" s="191"/>
      <x:c r="C247" s="191"/>
      <x:c r="D247" s="191"/>
      <x:c r="E247" s="191"/>
      <x:c r="F247" s="191"/>
      <x:c r="G247" s="191"/>
      <x:c r="H247" s="191"/>
      <x:c r="I247" s="191"/>
      <x:c r="J247" s="191"/>
      <x:c r="K247" s="191"/>
      <x:c r="L247" s="191"/>
      <x:c r="M247" s="191"/>
      <x:c r="N247" s="191"/>
      <x:c r="O247" s="191"/>
      <x:c r="P247" s="191"/>
      <x:c r="Q247" s="191"/>
      <x:c r="R247" s="191"/>
      <x:c r="S247" s="191"/>
      <x:c r="T247" s="191"/>
      <x:c r="U247" s="191"/>
      <x:c r="V247" s="191"/>
      <x:c r="W247" s="191"/>
      <x:c r="X247" s="191"/>
      <x:c r="Y247" s="191"/>
      <x:c r="Z247" s="191"/>
      <x:c r="AA247" s="191"/>
      <x:c r="AB247" s="191"/>
      <x:c r="AC247" s="191"/>
      <x:c r="AD247" s="191"/>
      <x:c r="AE247" s="191"/>
      <x:c r="AF247" s="191"/>
      <x:c r="AG247" s="191"/>
      <x:c r="AH247" s="191"/>
      <x:c r="AI247" s="191"/>
      <x:c r="AJ247" s="191"/>
      <x:c r="AK247" s="191"/>
    </x:row>
    <x:row r="248">
      <x:c r="A248" s="191"/>
      <x:c r="B248" s="191"/>
      <x:c r="C248" s="191"/>
      <x:c r="D248" s="191"/>
      <x:c r="E248" s="191"/>
      <x:c r="F248" s="191"/>
      <x:c r="G248" s="191"/>
      <x:c r="H248" s="191"/>
      <x:c r="I248" s="191"/>
      <x:c r="J248" s="191"/>
      <x:c r="K248" s="191"/>
      <x:c r="L248" s="191"/>
      <x:c r="M248" s="191"/>
      <x:c r="N248" s="191"/>
      <x:c r="O248" s="191"/>
      <x:c r="P248" s="191"/>
      <x:c r="Q248" s="191"/>
      <x:c r="R248" s="191"/>
      <x:c r="S248" s="191"/>
      <x:c r="T248" s="191"/>
      <x:c r="U248" s="191"/>
      <x:c r="V248" s="191"/>
      <x:c r="W248" s="191"/>
      <x:c r="X248" s="191"/>
      <x:c r="Y248" s="191"/>
      <x:c r="Z248" s="191"/>
      <x:c r="AA248" s="191"/>
      <x:c r="AB248" s="191"/>
      <x:c r="AC248" s="191"/>
      <x:c r="AD248" s="191"/>
      <x:c r="AE248" s="191"/>
      <x:c r="AF248" s="191"/>
      <x:c r="AG248" s="191"/>
      <x:c r="AH248" s="191"/>
      <x:c r="AI248" s="191"/>
      <x:c r="AJ248" s="191"/>
      <x:c r="AK248" s="191"/>
    </x:row>
    <x:row r="249">
      <x:c r="A249" s="191"/>
      <x:c r="B249" s="191"/>
      <x:c r="C249" s="191"/>
      <x:c r="D249" s="191"/>
      <x:c r="E249" s="191"/>
      <x:c r="F249" s="191"/>
      <x:c r="G249" s="191"/>
      <x:c r="H249" s="191"/>
      <x:c r="I249" s="191"/>
      <x:c r="J249" s="191"/>
      <x:c r="K249" s="191"/>
      <x:c r="L249" s="191"/>
      <x:c r="M249" s="191"/>
      <x:c r="N249" s="191"/>
      <x:c r="O249" s="191"/>
      <x:c r="P249" s="191"/>
      <x:c r="Q249" s="191"/>
      <x:c r="R249" s="191"/>
      <x:c r="S249" s="191"/>
      <x:c r="T249" s="191"/>
      <x:c r="U249" s="191"/>
      <x:c r="V249" s="191"/>
      <x:c r="W249" s="191"/>
      <x:c r="X249" s="191"/>
      <x:c r="Y249" s="191"/>
      <x:c r="Z249" s="191"/>
      <x:c r="AA249" s="191"/>
      <x:c r="AB249" s="191"/>
      <x:c r="AC249" s="191"/>
      <x:c r="AD249" s="191"/>
      <x:c r="AE249" s="191"/>
      <x:c r="AF249" s="191"/>
      <x:c r="AG249" s="191"/>
      <x:c r="AH249" s="191"/>
      <x:c r="AI249" s="191"/>
      <x:c r="AJ249" s="191"/>
      <x:c r="AK249" s="191"/>
    </x:row>
    <x:row r="250">
      <x:c r="A250" s="191"/>
      <x:c r="B250" s="191"/>
      <x:c r="C250" s="191"/>
      <x:c r="D250" s="191"/>
      <x:c r="E250" s="191"/>
      <x:c r="F250" s="191"/>
      <x:c r="G250" s="191"/>
      <x:c r="H250" s="191"/>
      <x:c r="I250" s="191"/>
      <x:c r="J250" s="191"/>
      <x:c r="K250" s="191"/>
      <x:c r="L250" s="191"/>
      <x:c r="M250" s="191"/>
      <x:c r="N250" s="191"/>
      <x:c r="O250" s="191"/>
      <x:c r="P250" s="191"/>
      <x:c r="Q250" s="191"/>
      <x:c r="R250" s="191"/>
      <x:c r="S250" s="191"/>
      <x:c r="T250" s="191"/>
      <x:c r="U250" s="191"/>
      <x:c r="V250" s="191"/>
      <x:c r="W250" s="191"/>
      <x:c r="X250" s="191"/>
      <x:c r="Y250" s="191"/>
      <x:c r="Z250" s="191"/>
      <x:c r="AA250" s="191"/>
      <x:c r="AB250" s="191"/>
      <x:c r="AC250" s="191"/>
      <x:c r="AD250" s="191"/>
      <x:c r="AE250" s="191"/>
      <x:c r="AF250" s="191"/>
      <x:c r="AG250" s="191"/>
      <x:c r="AH250" s="191"/>
      <x:c r="AI250" s="191"/>
      <x:c r="AJ250" s="191"/>
      <x:c r="AK250" s="191"/>
    </x:row>
    <x:row r="251">
      <x:c r="A251" s="191"/>
      <x:c r="B251" s="191"/>
      <x:c r="C251" s="191"/>
      <x:c r="D251" s="191"/>
      <x:c r="E251" s="191"/>
      <x:c r="F251" s="191"/>
      <x:c r="G251" s="191"/>
      <x:c r="H251" s="191"/>
      <x:c r="I251" s="191"/>
      <x:c r="J251" s="191"/>
      <x:c r="K251" s="191"/>
      <x:c r="L251" s="191"/>
      <x:c r="M251" s="191"/>
      <x:c r="N251" s="191"/>
      <x:c r="O251" s="191"/>
      <x:c r="P251" s="191"/>
      <x:c r="Q251" s="191"/>
      <x:c r="R251" s="191"/>
      <x:c r="S251" s="191"/>
      <x:c r="T251" s="191"/>
      <x:c r="U251" s="191"/>
      <x:c r="V251" s="191"/>
      <x:c r="W251" s="191"/>
      <x:c r="X251" s="191"/>
      <x:c r="Y251" s="191"/>
      <x:c r="Z251" s="191"/>
      <x:c r="AA251" s="191"/>
      <x:c r="AB251" s="191"/>
      <x:c r="AC251" s="191"/>
      <x:c r="AD251" s="191"/>
      <x:c r="AE251" s="191"/>
      <x:c r="AF251" s="191"/>
      <x:c r="AG251" s="191"/>
      <x:c r="AH251" s="191"/>
      <x:c r="AI251" s="191"/>
      <x:c r="AJ251" s="191"/>
      <x:c r="AK251" s="191"/>
    </x:row>
    <x:row r="252">
      <x:c r="A252" s="191"/>
      <x:c r="B252" s="191"/>
      <x:c r="C252" s="191"/>
      <x:c r="D252" s="191"/>
      <x:c r="E252" s="191"/>
      <x:c r="F252" s="191"/>
      <x:c r="G252" s="191"/>
      <x:c r="H252" s="191"/>
      <x:c r="I252" s="191"/>
      <x:c r="J252" s="191"/>
      <x:c r="K252" s="191"/>
      <x:c r="L252" s="191"/>
      <x:c r="M252" s="191"/>
      <x:c r="N252" s="191"/>
      <x:c r="O252" s="191"/>
      <x:c r="P252" s="191"/>
      <x:c r="Q252" s="191"/>
      <x:c r="R252" s="191"/>
      <x:c r="S252" s="191"/>
      <x:c r="T252" s="191"/>
      <x:c r="U252" s="191"/>
      <x:c r="V252" s="191"/>
      <x:c r="W252" s="191"/>
      <x:c r="X252" s="191"/>
      <x:c r="Y252" s="191"/>
      <x:c r="Z252" s="191"/>
      <x:c r="AA252" s="191"/>
      <x:c r="AB252" s="191"/>
      <x:c r="AC252" s="191"/>
      <x:c r="AD252" s="191"/>
      <x:c r="AE252" s="191"/>
      <x:c r="AF252" s="191"/>
      <x:c r="AG252" s="191"/>
      <x:c r="AH252" s="191"/>
      <x:c r="AI252" s="191"/>
      <x:c r="AJ252" s="191"/>
      <x:c r="AK252" s="191"/>
    </x:row>
    <x:row r="253">
      <x:c r="A253" s="191"/>
      <x:c r="B253" s="191"/>
      <x:c r="C253" s="191"/>
      <x:c r="D253" s="191"/>
      <x:c r="E253" s="191"/>
      <x:c r="F253" s="191"/>
      <x:c r="G253" s="191"/>
      <x:c r="H253" s="191"/>
      <x:c r="I253" s="191"/>
      <x:c r="J253" s="191"/>
      <x:c r="K253" s="191"/>
      <x:c r="L253" s="191"/>
      <x:c r="M253" s="191"/>
      <x:c r="N253" s="191"/>
      <x:c r="O253" s="191"/>
      <x:c r="P253" s="191"/>
      <x:c r="Q253" s="191"/>
      <x:c r="R253" s="191"/>
      <x:c r="S253" s="191"/>
      <x:c r="T253" s="191"/>
      <x:c r="U253" s="191"/>
      <x:c r="V253" s="191"/>
      <x:c r="W253" s="191"/>
      <x:c r="X253" s="191"/>
      <x:c r="Y253" s="191"/>
      <x:c r="Z253" s="191"/>
      <x:c r="AA253" s="191"/>
      <x:c r="AB253" s="191"/>
      <x:c r="AC253" s="191"/>
      <x:c r="AD253" s="191"/>
      <x:c r="AE253" s="191"/>
      <x:c r="AF253" s="191"/>
      <x:c r="AG253" s="191"/>
      <x:c r="AH253" s="191"/>
      <x:c r="AI253" s="191"/>
      <x:c r="AJ253" s="191"/>
      <x:c r="AK253" s="191"/>
    </x:row>
    <x:row r="254">
      <x:c r="A254" s="191"/>
      <x:c r="B254" s="191"/>
      <x:c r="C254" s="191"/>
      <x:c r="D254" s="191"/>
      <x:c r="E254" s="191"/>
      <x:c r="F254" s="191"/>
      <x:c r="G254" s="191"/>
      <x:c r="H254" s="191"/>
      <x:c r="I254" s="191"/>
      <x:c r="J254" s="191"/>
      <x:c r="K254" s="191"/>
      <x:c r="L254" s="191"/>
      <x:c r="M254" s="191"/>
      <x:c r="N254" s="191"/>
      <x:c r="O254" s="191"/>
      <x:c r="P254" s="191"/>
      <x:c r="Q254" s="191"/>
      <x:c r="R254" s="191"/>
      <x:c r="S254" s="191"/>
      <x:c r="T254" s="191"/>
      <x:c r="U254" s="191"/>
      <x:c r="V254" s="191"/>
      <x:c r="W254" s="191"/>
      <x:c r="X254" s="191"/>
      <x:c r="Y254" s="191"/>
      <x:c r="Z254" s="191"/>
      <x:c r="AA254" s="191"/>
      <x:c r="AB254" s="191"/>
      <x:c r="AC254" s="191"/>
      <x:c r="AD254" s="191"/>
      <x:c r="AE254" s="191"/>
      <x:c r="AF254" s="191"/>
      <x:c r="AG254" s="191"/>
      <x:c r="AH254" s="191"/>
      <x:c r="AI254" s="191"/>
      <x:c r="AJ254" s="191"/>
      <x:c r="AK254" s="191"/>
    </x:row>
    <x:row r="255">
      <x:c r="A255" s="191"/>
      <x:c r="B255" s="191"/>
      <x:c r="C255" s="191"/>
      <x:c r="D255" s="191"/>
      <x:c r="E255" s="191"/>
      <x:c r="F255" s="191"/>
      <x:c r="G255" s="191"/>
      <x:c r="H255" s="191"/>
      <x:c r="I255" s="191"/>
      <x:c r="J255" s="191"/>
      <x:c r="K255" s="191"/>
      <x:c r="L255" s="191"/>
      <x:c r="M255" s="191"/>
      <x:c r="N255" s="191"/>
      <x:c r="O255" s="191"/>
      <x:c r="P255" s="191"/>
      <x:c r="Q255" s="191"/>
      <x:c r="R255" s="191"/>
      <x:c r="S255" s="191"/>
      <x:c r="T255" s="191"/>
      <x:c r="U255" s="191"/>
      <x:c r="V255" s="191"/>
      <x:c r="W255" s="191"/>
      <x:c r="X255" s="191"/>
      <x:c r="Y255" s="191"/>
      <x:c r="Z255" s="191"/>
      <x:c r="AA255" s="191"/>
      <x:c r="AB255" s="191"/>
      <x:c r="AC255" s="191"/>
      <x:c r="AD255" s="191"/>
      <x:c r="AE255" s="191"/>
      <x:c r="AF255" s="191"/>
      <x:c r="AG255" s="191"/>
      <x:c r="AH255" s="191"/>
      <x:c r="AI255" s="191"/>
      <x:c r="AJ255" s="191"/>
      <x:c r="AK255" s="191"/>
    </x:row>
    <x:row r="256">
      <x:c r="A256" s="191"/>
      <x:c r="B256" s="191"/>
      <x:c r="C256" s="191"/>
      <x:c r="D256" s="191"/>
      <x:c r="E256" s="191"/>
      <x:c r="F256" s="191"/>
      <x:c r="G256" s="191"/>
      <x:c r="H256" s="191"/>
      <x:c r="I256" s="191"/>
      <x:c r="J256" s="191"/>
      <x:c r="K256" s="191"/>
      <x:c r="L256" s="191"/>
      <x:c r="M256" s="191"/>
      <x:c r="N256" s="191"/>
      <x:c r="O256" s="191"/>
      <x:c r="P256" s="191"/>
      <x:c r="Q256" s="191"/>
      <x:c r="R256" s="191"/>
      <x:c r="S256" s="191"/>
      <x:c r="T256" s="191"/>
      <x:c r="U256" s="191"/>
      <x:c r="V256" s="191"/>
      <x:c r="W256" s="191"/>
      <x:c r="X256" s="191"/>
      <x:c r="Y256" s="191"/>
      <x:c r="Z256" s="191"/>
      <x:c r="AA256" s="191"/>
      <x:c r="AB256" s="191"/>
      <x:c r="AC256" s="191"/>
      <x:c r="AD256" s="191"/>
      <x:c r="AE256" s="191"/>
      <x:c r="AF256" s="191"/>
      <x:c r="AG256" s="191"/>
      <x:c r="AH256" s="191"/>
      <x:c r="AI256" s="191"/>
      <x:c r="AJ256" s="191"/>
      <x:c r="AK256" s="191"/>
    </x:row>
    <x:row r="257">
      <x:c r="A257" s="191"/>
      <x:c r="B257" s="191"/>
      <x:c r="C257" s="191"/>
      <x:c r="D257" s="191"/>
      <x:c r="E257" s="191"/>
      <x:c r="F257" s="191"/>
      <x:c r="G257" s="191"/>
      <x:c r="H257" s="191"/>
      <x:c r="I257" s="191"/>
      <x:c r="J257" s="191"/>
      <x:c r="K257" s="191"/>
      <x:c r="L257" s="191"/>
      <x:c r="M257" s="191"/>
      <x:c r="N257" s="191"/>
      <x:c r="O257" s="191"/>
      <x:c r="P257" s="191"/>
      <x:c r="Q257" s="191"/>
      <x:c r="R257" s="191"/>
      <x:c r="S257" s="191"/>
      <x:c r="T257" s="191"/>
      <x:c r="U257" s="191"/>
      <x:c r="V257" s="191"/>
      <x:c r="W257" s="191"/>
      <x:c r="X257" s="191"/>
      <x:c r="Y257" s="191"/>
      <x:c r="Z257" s="191"/>
      <x:c r="AA257" s="191"/>
      <x:c r="AB257" s="191"/>
      <x:c r="AC257" s="191"/>
      <x:c r="AD257" s="191"/>
      <x:c r="AE257" s="191"/>
      <x:c r="AF257" s="191"/>
      <x:c r="AG257" s="191"/>
      <x:c r="AH257" s="191"/>
      <x:c r="AI257" s="191"/>
      <x:c r="AJ257" s="191"/>
      <x:c r="AK257" s="191"/>
    </x:row>
    <x:row r="258">
      <x:c r="A258" s="191"/>
      <x:c r="B258" s="191"/>
      <x:c r="C258" s="191"/>
      <x:c r="D258" s="191"/>
      <x:c r="E258" s="191"/>
      <x:c r="F258" s="191"/>
      <x:c r="G258" s="191"/>
      <x:c r="H258" s="191"/>
      <x:c r="I258" s="191"/>
      <x:c r="J258" s="191"/>
      <x:c r="K258" s="191"/>
      <x:c r="L258" s="191"/>
      <x:c r="M258" s="191"/>
      <x:c r="N258" s="191"/>
      <x:c r="O258" s="191"/>
      <x:c r="P258" s="191"/>
      <x:c r="Q258" s="191"/>
      <x:c r="R258" s="191"/>
      <x:c r="S258" s="191"/>
      <x:c r="T258" s="191"/>
      <x:c r="U258" s="191"/>
      <x:c r="V258" s="191"/>
      <x:c r="W258" s="191"/>
      <x:c r="X258" s="191"/>
      <x:c r="Y258" s="191"/>
      <x:c r="Z258" s="191"/>
      <x:c r="AA258" s="191"/>
      <x:c r="AB258" s="191"/>
      <x:c r="AC258" s="191"/>
      <x:c r="AD258" s="191"/>
      <x:c r="AE258" s="191"/>
      <x:c r="AF258" s="191"/>
      <x:c r="AG258" s="191"/>
      <x:c r="AH258" s="191"/>
      <x:c r="AI258" s="191"/>
      <x:c r="AJ258" s="191"/>
      <x:c r="AK258" s="191"/>
    </x:row>
    <x:row r="259">
      <x:c r="A259" s="191"/>
      <x:c r="B259" s="191"/>
      <x:c r="C259" s="191"/>
      <x:c r="D259" s="191"/>
      <x:c r="E259" s="191"/>
      <x:c r="F259" s="191"/>
      <x:c r="G259" s="191"/>
      <x:c r="H259" s="191"/>
      <x:c r="I259" s="191"/>
      <x:c r="J259" s="191"/>
      <x:c r="K259" s="191"/>
      <x:c r="L259" s="191"/>
      <x:c r="M259" s="191"/>
      <x:c r="N259" s="191"/>
      <x:c r="O259" s="191"/>
      <x:c r="P259" s="191"/>
      <x:c r="Q259" s="191"/>
      <x:c r="R259" s="191"/>
      <x:c r="S259" s="191"/>
      <x:c r="T259" s="191"/>
      <x:c r="U259" s="191"/>
      <x:c r="V259" s="191"/>
      <x:c r="W259" s="191"/>
      <x:c r="X259" s="191"/>
      <x:c r="Y259" s="191"/>
      <x:c r="Z259" s="191"/>
      <x:c r="AA259" s="191"/>
      <x:c r="AB259" s="191"/>
      <x:c r="AC259" s="191"/>
      <x:c r="AD259" s="191"/>
      <x:c r="AE259" s="191"/>
      <x:c r="AF259" s="191"/>
      <x:c r="AG259" s="191"/>
      <x:c r="AH259" s="191"/>
      <x:c r="AI259" s="191"/>
      <x:c r="AJ259" s="191"/>
      <x:c r="AK259" s="191"/>
    </x:row>
    <x:row r="260">
      <x:c r="A260" s="191"/>
      <x:c r="B260" s="191"/>
      <x:c r="C260" s="191"/>
      <x:c r="D260" s="191"/>
      <x:c r="E260" s="191"/>
      <x:c r="F260" s="191"/>
      <x:c r="G260" s="191"/>
      <x:c r="H260" s="191"/>
      <x:c r="I260" s="191"/>
      <x:c r="J260" s="191"/>
      <x:c r="K260" s="191"/>
      <x:c r="L260" s="191"/>
      <x:c r="M260" s="191"/>
      <x:c r="N260" s="191"/>
      <x:c r="O260" s="191"/>
      <x:c r="P260" s="191"/>
      <x:c r="Q260" s="191"/>
      <x:c r="R260" s="191"/>
      <x:c r="S260" s="191"/>
      <x:c r="T260" s="191"/>
      <x:c r="U260" s="191"/>
      <x:c r="V260" s="191"/>
      <x:c r="W260" s="191"/>
      <x:c r="X260" s="191"/>
      <x:c r="Y260" s="191"/>
      <x:c r="Z260" s="191"/>
      <x:c r="AA260" s="191"/>
      <x:c r="AB260" s="191"/>
      <x:c r="AC260" s="191"/>
      <x:c r="AD260" s="191"/>
      <x:c r="AE260" s="191"/>
      <x:c r="AF260" s="191"/>
      <x:c r="AG260" s="191"/>
      <x:c r="AH260" s="191"/>
      <x:c r="AI260" s="191"/>
      <x:c r="AJ260" s="191"/>
      <x:c r="AK260" s="191"/>
    </x:row>
    <x:row r="261">
      <x:c r="A261" s="191"/>
      <x:c r="B261" s="191"/>
      <x:c r="C261" s="191"/>
      <x:c r="D261" s="191"/>
      <x:c r="E261" s="191"/>
      <x:c r="F261" s="191"/>
      <x:c r="G261" s="191"/>
      <x:c r="H261" s="191"/>
      <x:c r="I261" s="191"/>
      <x:c r="J261" s="191"/>
      <x:c r="K261" s="191"/>
      <x:c r="L261" s="191"/>
      <x:c r="M261" s="191"/>
      <x:c r="N261" s="191"/>
      <x:c r="O261" s="191"/>
      <x:c r="P261" s="191"/>
      <x:c r="Q261" s="191"/>
      <x:c r="R261" s="191"/>
      <x:c r="S261" s="191"/>
      <x:c r="T261" s="191"/>
      <x:c r="U261" s="191"/>
      <x:c r="V261" s="191"/>
      <x:c r="W261" s="191"/>
      <x:c r="X261" s="191"/>
      <x:c r="Y261" s="191"/>
      <x:c r="Z261" s="191"/>
      <x:c r="AA261" s="191"/>
      <x:c r="AB261" s="191"/>
      <x:c r="AC261" s="191"/>
      <x:c r="AD261" s="191"/>
      <x:c r="AE261" s="191"/>
      <x:c r="AF261" s="191"/>
      <x:c r="AG261" s="191"/>
      <x:c r="AH261" s="191"/>
      <x:c r="AI261" s="191"/>
      <x:c r="AJ261" s="191"/>
      <x:c r="AK261" s="191"/>
    </x:row>
    <x:row r="262">
      <x:c r="A262" s="191"/>
      <x:c r="B262" s="191"/>
      <x:c r="C262" s="191"/>
      <x:c r="D262" s="191"/>
      <x:c r="E262" s="191"/>
      <x:c r="F262" s="191"/>
      <x:c r="G262" s="191"/>
      <x:c r="H262" s="191"/>
      <x:c r="I262" s="191"/>
      <x:c r="J262" s="191"/>
      <x:c r="K262" s="191"/>
      <x:c r="L262" s="191"/>
      <x:c r="M262" s="191"/>
      <x:c r="N262" s="191"/>
      <x:c r="O262" s="191"/>
      <x:c r="P262" s="191"/>
      <x:c r="Q262" s="191"/>
      <x:c r="R262" s="191"/>
      <x:c r="S262" s="191"/>
      <x:c r="T262" s="191"/>
      <x:c r="U262" s="191"/>
      <x:c r="V262" s="191"/>
      <x:c r="W262" s="191"/>
      <x:c r="X262" s="191"/>
      <x:c r="Y262" s="191"/>
      <x:c r="Z262" s="191"/>
      <x:c r="AA262" s="191"/>
      <x:c r="AB262" s="191"/>
      <x:c r="AC262" s="191"/>
      <x:c r="AD262" s="191"/>
      <x:c r="AE262" s="191"/>
      <x:c r="AF262" s="191"/>
      <x:c r="AG262" s="191"/>
      <x:c r="AH262" s="191"/>
      <x:c r="AI262" s="191"/>
      <x:c r="AJ262" s="191"/>
      <x:c r="AK262" s="191"/>
    </x:row>
    <x:row r="263">
      <x:c r="A263" s="191"/>
      <x:c r="B263" s="191"/>
      <x:c r="C263" s="191"/>
      <x:c r="D263" s="191"/>
      <x:c r="E263" s="191"/>
      <x:c r="F263" s="191"/>
      <x:c r="G263" s="191"/>
      <x:c r="H263" s="191"/>
      <x:c r="I263" s="191"/>
      <x:c r="J263" s="191"/>
      <x:c r="K263" s="191"/>
      <x:c r="L263" s="191"/>
      <x:c r="M263" s="191"/>
      <x:c r="N263" s="191"/>
      <x:c r="O263" s="191"/>
      <x:c r="P263" s="191"/>
      <x:c r="Q263" s="191"/>
      <x:c r="R263" s="191"/>
      <x:c r="S263" s="191"/>
      <x:c r="T263" s="191"/>
      <x:c r="U263" s="191"/>
      <x:c r="V263" s="191"/>
      <x:c r="W263" s="191"/>
      <x:c r="X263" s="191"/>
      <x:c r="Y263" s="191"/>
      <x:c r="Z263" s="191"/>
      <x:c r="AA263" s="191"/>
      <x:c r="AB263" s="191"/>
      <x:c r="AC263" s="191"/>
      <x:c r="AD263" s="191"/>
      <x:c r="AE263" s="191"/>
      <x:c r="AF263" s="191"/>
      <x:c r="AG263" s="191"/>
      <x:c r="AH263" s="191"/>
      <x:c r="AI263" s="191"/>
      <x:c r="AJ263" s="191"/>
      <x:c r="AK263" s="191"/>
    </x:row>
    <x:row r="264">
      <x:c r="A264" s="191"/>
      <x:c r="B264" s="191"/>
      <x:c r="C264" s="191"/>
      <x:c r="D264" s="191"/>
      <x:c r="E264" s="191"/>
      <x:c r="F264" s="191"/>
      <x:c r="G264" s="191"/>
      <x:c r="H264" s="191"/>
      <x:c r="I264" s="191"/>
      <x:c r="J264" s="191"/>
      <x:c r="K264" s="191"/>
      <x:c r="L264" s="191"/>
      <x:c r="M264" s="191"/>
      <x:c r="N264" s="191"/>
      <x:c r="O264" s="191"/>
      <x:c r="P264" s="191"/>
      <x:c r="Q264" s="191"/>
      <x:c r="R264" s="191"/>
      <x:c r="S264" s="191"/>
      <x:c r="T264" s="191"/>
      <x:c r="U264" s="191"/>
      <x:c r="V264" s="191"/>
      <x:c r="W264" s="191"/>
      <x:c r="X264" s="191"/>
      <x:c r="Y264" s="191"/>
      <x:c r="Z264" s="191"/>
      <x:c r="AA264" s="191"/>
      <x:c r="AB264" s="191"/>
      <x:c r="AC264" s="191"/>
      <x:c r="AD264" s="191"/>
      <x:c r="AE264" s="191"/>
      <x:c r="AF264" s="191"/>
      <x:c r="AG264" s="191"/>
      <x:c r="AH264" s="191"/>
      <x:c r="AI264" s="191"/>
      <x:c r="AJ264" s="191"/>
      <x:c r="AK264" s="191"/>
    </x:row>
    <x:row r="265">
      <x:c r="A265" s="191"/>
      <x:c r="B265" s="191"/>
      <x:c r="C265" s="191"/>
      <x:c r="D265" s="191"/>
      <x:c r="E265" s="191"/>
      <x:c r="F265" s="191"/>
      <x:c r="G265" s="191"/>
      <x:c r="H265" s="191"/>
      <x:c r="I265" s="191"/>
      <x:c r="J265" s="191"/>
      <x:c r="K265" s="191"/>
      <x:c r="L265" s="191"/>
      <x:c r="M265" s="191"/>
      <x:c r="N265" s="191"/>
      <x:c r="O265" s="191"/>
      <x:c r="P265" s="191"/>
      <x:c r="Q265" s="191"/>
      <x:c r="R265" s="191"/>
      <x:c r="S265" s="191"/>
      <x:c r="T265" s="191"/>
      <x:c r="U265" s="191"/>
      <x:c r="V265" s="191"/>
      <x:c r="W265" s="191"/>
      <x:c r="X265" s="191"/>
      <x:c r="Y265" s="191"/>
      <x:c r="Z265" s="191"/>
      <x:c r="AA265" s="191"/>
      <x:c r="AB265" s="191"/>
      <x:c r="AC265" s="191"/>
      <x:c r="AD265" s="191"/>
      <x:c r="AE265" s="191"/>
      <x:c r="AF265" s="191"/>
      <x:c r="AG265" s="191"/>
      <x:c r="AH265" s="191"/>
      <x:c r="AI265" s="191"/>
      <x:c r="AJ265" s="191"/>
      <x:c r="AK265" s="191"/>
    </x:row>
    <x:row r="266">
      <x:c r="A266" s="191"/>
      <x:c r="B266" s="191"/>
      <x:c r="C266" s="191"/>
      <x:c r="D266" s="191"/>
      <x:c r="E266" s="191"/>
      <x:c r="F266" s="191"/>
      <x:c r="G266" s="191"/>
      <x:c r="H266" s="191"/>
      <x:c r="I266" s="191"/>
      <x:c r="J266" s="191"/>
      <x:c r="K266" s="191"/>
      <x:c r="L266" s="191"/>
      <x:c r="M266" s="191"/>
      <x:c r="N266" s="191"/>
      <x:c r="O266" s="191"/>
      <x:c r="P266" s="191"/>
      <x:c r="Q266" s="191"/>
      <x:c r="R266" s="191"/>
      <x:c r="S266" s="191"/>
      <x:c r="T266" s="191"/>
      <x:c r="U266" s="191"/>
      <x:c r="V266" s="191"/>
      <x:c r="W266" s="191"/>
      <x:c r="X266" s="191"/>
      <x:c r="Y266" s="191"/>
      <x:c r="Z266" s="191"/>
      <x:c r="AA266" s="191"/>
      <x:c r="AB266" s="191"/>
      <x:c r="AC266" s="191"/>
      <x:c r="AD266" s="191"/>
      <x:c r="AE266" s="191"/>
      <x:c r="AF266" s="191"/>
      <x:c r="AG266" s="191"/>
      <x:c r="AH266" s="191"/>
      <x:c r="AI266" s="191"/>
      <x:c r="AJ266" s="191"/>
      <x:c r="AK266" s="191"/>
    </x:row>
    <x:row r="267">
      <x:c r="A267" s="191"/>
      <x:c r="B267" s="191"/>
      <x:c r="C267" s="191"/>
      <x:c r="D267" s="191"/>
      <x:c r="E267" s="191"/>
      <x:c r="F267" s="191"/>
      <x:c r="G267" s="191"/>
      <x:c r="H267" s="191"/>
      <x:c r="I267" s="191"/>
      <x:c r="J267" s="191"/>
      <x:c r="K267" s="191"/>
      <x:c r="L267" s="191"/>
      <x:c r="M267" s="191"/>
      <x:c r="N267" s="191"/>
      <x:c r="O267" s="191"/>
      <x:c r="P267" s="191"/>
      <x:c r="Q267" s="191"/>
      <x:c r="R267" s="191"/>
      <x:c r="S267" s="191"/>
      <x:c r="T267" s="191"/>
      <x:c r="U267" s="191"/>
      <x:c r="V267" s="191"/>
      <x:c r="W267" s="191"/>
      <x:c r="X267" s="191"/>
      <x:c r="Y267" s="191"/>
      <x:c r="Z267" s="191"/>
      <x:c r="AA267" s="191"/>
      <x:c r="AB267" s="191"/>
      <x:c r="AC267" s="191"/>
      <x:c r="AD267" s="191"/>
      <x:c r="AE267" s="191"/>
      <x:c r="AF267" s="191"/>
      <x:c r="AG267" s="191"/>
      <x:c r="AH267" s="191"/>
      <x:c r="AI267" s="191"/>
      <x:c r="AJ267" s="191"/>
      <x:c r="AK267" s="191"/>
    </x:row>
    <x:row r="268">
      <x:c r="A268" s="191"/>
      <x:c r="B268" s="191"/>
      <x:c r="C268" s="191"/>
      <x:c r="D268" s="191"/>
      <x:c r="E268" s="191"/>
      <x:c r="F268" s="191"/>
      <x:c r="G268" s="191"/>
      <x:c r="H268" s="191"/>
      <x:c r="I268" s="191"/>
      <x:c r="J268" s="191"/>
      <x:c r="K268" s="191"/>
      <x:c r="L268" s="191"/>
      <x:c r="M268" s="191"/>
      <x:c r="N268" s="191"/>
      <x:c r="O268" s="191"/>
      <x:c r="P268" s="191"/>
      <x:c r="Q268" s="191"/>
      <x:c r="R268" s="191"/>
      <x:c r="S268" s="191"/>
      <x:c r="T268" s="191"/>
      <x:c r="U268" s="191"/>
      <x:c r="V268" s="191"/>
      <x:c r="W268" s="191"/>
      <x:c r="X268" s="191"/>
      <x:c r="Y268" s="191"/>
      <x:c r="Z268" s="191"/>
      <x:c r="AA268" s="191"/>
      <x:c r="AB268" s="191"/>
      <x:c r="AC268" s="191"/>
      <x:c r="AD268" s="191"/>
      <x:c r="AE268" s="191"/>
      <x:c r="AF268" s="191"/>
      <x:c r="AG268" s="191"/>
      <x:c r="AH268" s="191"/>
      <x:c r="AI268" s="191"/>
      <x:c r="AJ268" s="191"/>
      <x:c r="AK268" s="191"/>
    </x:row>
    <x:row r="269">
      <x:c r="A269" s="191"/>
      <x:c r="B269" s="191"/>
      <x:c r="C269" s="191"/>
      <x:c r="D269" s="191"/>
      <x:c r="E269" s="191"/>
      <x:c r="F269" s="191"/>
      <x:c r="G269" s="191"/>
      <x:c r="H269" s="191"/>
      <x:c r="I269" s="191"/>
      <x:c r="J269" s="191"/>
      <x:c r="K269" s="191"/>
      <x:c r="L269" s="191"/>
      <x:c r="M269" s="191"/>
      <x:c r="N269" s="191"/>
      <x:c r="O269" s="191"/>
      <x:c r="P269" s="191"/>
      <x:c r="Q269" s="191"/>
      <x:c r="R269" s="191"/>
      <x:c r="S269" s="191"/>
      <x:c r="T269" s="191"/>
      <x:c r="U269" s="191"/>
      <x:c r="V269" s="191"/>
      <x:c r="W269" s="191"/>
      <x:c r="X269" s="191"/>
      <x:c r="Y269" s="191"/>
      <x:c r="Z269" s="191"/>
      <x:c r="AA269" s="191"/>
      <x:c r="AB269" s="191"/>
      <x:c r="AC269" s="191"/>
      <x:c r="AD269" s="191"/>
      <x:c r="AE269" s="191"/>
      <x:c r="AF269" s="191"/>
      <x:c r="AG269" s="191"/>
      <x:c r="AH269" s="191"/>
      <x:c r="AI269" s="191"/>
      <x:c r="AJ269" s="191"/>
      <x:c r="AK269" s="191"/>
    </x:row>
    <x:row r="270">
      <x:c r="A270" s="191"/>
      <x:c r="B270" s="191"/>
      <x:c r="C270" s="191"/>
      <x:c r="D270" s="191"/>
      <x:c r="E270" s="191"/>
      <x:c r="F270" s="191"/>
      <x:c r="G270" s="191"/>
      <x:c r="H270" s="191"/>
      <x:c r="I270" s="191"/>
      <x:c r="J270" s="191"/>
      <x:c r="K270" s="191"/>
      <x:c r="L270" s="191"/>
      <x:c r="M270" s="191"/>
      <x:c r="N270" s="191"/>
      <x:c r="O270" s="191"/>
      <x:c r="P270" s="191"/>
      <x:c r="Q270" s="191"/>
      <x:c r="R270" s="191"/>
      <x:c r="S270" s="191"/>
      <x:c r="T270" s="191"/>
      <x:c r="U270" s="191"/>
      <x:c r="V270" s="191"/>
      <x:c r="W270" s="191"/>
      <x:c r="X270" s="191"/>
      <x:c r="Y270" s="191"/>
      <x:c r="Z270" s="191"/>
      <x:c r="AA270" s="191"/>
      <x:c r="AB270" s="191"/>
      <x:c r="AC270" s="191"/>
      <x:c r="AD270" s="191"/>
      <x:c r="AE270" s="191"/>
      <x:c r="AF270" s="191"/>
      <x:c r="AG270" s="191"/>
      <x:c r="AH270" s="191"/>
      <x:c r="AI270" s="191"/>
      <x:c r="AJ270" s="191"/>
      <x:c r="AK270" s="191"/>
    </x:row>
    <x:row r="271">
      <x:c r="A271" s="191"/>
      <x:c r="B271" s="191"/>
      <x:c r="C271" s="191"/>
      <x:c r="D271" s="191"/>
      <x:c r="E271" s="191"/>
      <x:c r="F271" s="191"/>
      <x:c r="G271" s="191"/>
      <x:c r="H271" s="191"/>
      <x:c r="I271" s="191"/>
      <x:c r="J271" s="191"/>
      <x:c r="K271" s="191"/>
      <x:c r="L271" s="191"/>
      <x:c r="M271" s="191"/>
      <x:c r="N271" s="191"/>
      <x:c r="O271" s="191"/>
      <x:c r="P271" s="191"/>
      <x:c r="Q271" s="191"/>
      <x:c r="R271" s="191"/>
      <x:c r="S271" s="191"/>
      <x:c r="T271" s="191"/>
      <x:c r="U271" s="191"/>
      <x:c r="V271" s="191"/>
      <x:c r="W271" s="191"/>
      <x:c r="X271" s="191"/>
      <x:c r="Y271" s="191"/>
      <x:c r="Z271" s="191"/>
      <x:c r="AA271" s="191"/>
      <x:c r="AB271" s="191"/>
      <x:c r="AC271" s="191"/>
      <x:c r="AD271" s="191"/>
      <x:c r="AE271" s="191"/>
      <x:c r="AF271" s="191"/>
      <x:c r="AG271" s="191"/>
      <x:c r="AH271" s="191"/>
      <x:c r="AI271" s="191"/>
      <x:c r="AJ271" s="191"/>
      <x:c r="AK271" s="191"/>
    </x:row>
    <x:row r="272">
      <x:c r="A272" s="191"/>
      <x:c r="B272" s="191"/>
      <x:c r="C272" s="191"/>
      <x:c r="D272" s="191"/>
      <x:c r="E272" s="191"/>
      <x:c r="F272" s="191"/>
      <x:c r="G272" s="191"/>
      <x:c r="H272" s="191"/>
      <x:c r="I272" s="191"/>
      <x:c r="J272" s="191"/>
      <x:c r="K272" s="191"/>
      <x:c r="L272" s="191"/>
      <x:c r="M272" s="191"/>
      <x:c r="N272" s="191"/>
      <x:c r="O272" s="191"/>
      <x:c r="P272" s="191"/>
      <x:c r="Q272" s="191"/>
      <x:c r="R272" s="191"/>
      <x:c r="S272" s="191"/>
      <x:c r="T272" s="191"/>
      <x:c r="U272" s="191"/>
      <x:c r="V272" s="191"/>
      <x:c r="W272" s="191"/>
      <x:c r="X272" s="191"/>
      <x:c r="Y272" s="191"/>
      <x:c r="Z272" s="191"/>
      <x:c r="AA272" s="191"/>
      <x:c r="AB272" s="191"/>
      <x:c r="AC272" s="191"/>
      <x:c r="AD272" s="191"/>
      <x:c r="AE272" s="191"/>
      <x:c r="AF272" s="191"/>
      <x:c r="AG272" s="191"/>
      <x:c r="AH272" s="191"/>
      <x:c r="AI272" s="191"/>
      <x:c r="AJ272" s="191"/>
      <x:c r="AK272" s="191"/>
    </x:row>
    <x:row r="273">
      <x:c r="A273" s="191"/>
      <x:c r="B273" s="191"/>
      <x:c r="C273" s="191"/>
      <x:c r="D273" s="191"/>
      <x:c r="E273" s="191"/>
      <x:c r="F273" s="191"/>
      <x:c r="G273" s="191"/>
      <x:c r="H273" s="191"/>
      <x:c r="I273" s="191"/>
      <x:c r="J273" s="191"/>
      <x:c r="K273" s="191"/>
      <x:c r="L273" s="191"/>
      <x:c r="M273" s="191"/>
      <x:c r="N273" s="191"/>
      <x:c r="O273" s="191"/>
      <x:c r="P273" s="191"/>
      <x:c r="Q273" s="191"/>
      <x:c r="R273" s="191"/>
      <x:c r="S273" s="191"/>
      <x:c r="T273" s="191"/>
      <x:c r="U273" s="191"/>
      <x:c r="V273" s="191"/>
      <x:c r="W273" s="191"/>
      <x:c r="X273" s="191"/>
      <x:c r="Y273" s="191"/>
      <x:c r="Z273" s="191"/>
      <x:c r="AA273" s="191"/>
      <x:c r="AB273" s="191"/>
      <x:c r="AC273" s="191"/>
      <x:c r="AD273" s="191"/>
      <x:c r="AE273" s="191"/>
      <x:c r="AF273" s="191"/>
      <x:c r="AG273" s="191"/>
      <x:c r="AH273" s="191"/>
      <x:c r="AI273" s="191"/>
      <x:c r="AJ273" s="191"/>
      <x:c r="AK273" s="191"/>
    </x:row>
    <x:row r="274">
      <x:c r="A274" s="191"/>
      <x:c r="B274" s="191"/>
      <x:c r="C274" s="191"/>
      <x:c r="D274" s="191"/>
      <x:c r="E274" s="191"/>
      <x:c r="F274" s="191"/>
      <x:c r="G274" s="191"/>
      <x:c r="H274" s="191"/>
      <x:c r="I274" s="191"/>
      <x:c r="J274" s="191"/>
      <x:c r="K274" s="191"/>
      <x:c r="L274" s="191"/>
      <x:c r="M274" s="191"/>
      <x:c r="N274" s="191"/>
      <x:c r="O274" s="191"/>
      <x:c r="P274" s="191"/>
      <x:c r="Q274" s="191"/>
      <x:c r="R274" s="191"/>
      <x:c r="S274" s="191"/>
      <x:c r="T274" s="191"/>
      <x:c r="U274" s="191"/>
      <x:c r="V274" s="191"/>
      <x:c r="W274" s="191"/>
      <x:c r="X274" s="191"/>
      <x:c r="Y274" s="191"/>
      <x:c r="Z274" s="191"/>
      <x:c r="AA274" s="191"/>
      <x:c r="AB274" s="191"/>
      <x:c r="AC274" s="191"/>
      <x:c r="AD274" s="191"/>
      <x:c r="AE274" s="191"/>
      <x:c r="AF274" s="191"/>
      <x:c r="AG274" s="191"/>
      <x:c r="AH274" s="191"/>
      <x:c r="AI274" s="191"/>
      <x:c r="AJ274" s="191"/>
      <x:c r="AK274" s="191"/>
    </x:row>
    <x:row r="275">
      <x:c r="A275" s="191"/>
      <x:c r="B275" s="191"/>
      <x:c r="C275" s="191"/>
      <x:c r="D275" s="191"/>
      <x:c r="E275" s="191"/>
      <x:c r="F275" s="191"/>
      <x:c r="G275" s="191"/>
      <x:c r="H275" s="191"/>
      <x:c r="I275" s="191"/>
      <x:c r="J275" s="191"/>
      <x:c r="K275" s="191"/>
      <x:c r="L275" s="191"/>
      <x:c r="M275" s="191"/>
      <x:c r="N275" s="191"/>
      <x:c r="O275" s="191"/>
      <x:c r="P275" s="191"/>
      <x:c r="Q275" s="191"/>
      <x:c r="R275" s="191"/>
      <x:c r="S275" s="191"/>
      <x:c r="T275" s="191"/>
      <x:c r="U275" s="191"/>
      <x:c r="V275" s="191"/>
      <x:c r="W275" s="191"/>
      <x:c r="X275" s="191"/>
      <x:c r="Y275" s="191"/>
      <x:c r="Z275" s="191"/>
      <x:c r="AA275" s="191"/>
      <x:c r="AB275" s="191"/>
      <x:c r="AC275" s="191"/>
      <x:c r="AD275" s="191"/>
      <x:c r="AE275" s="191"/>
      <x:c r="AF275" s="191"/>
      <x:c r="AG275" s="191"/>
      <x:c r="AH275" s="191"/>
      <x:c r="AI275" s="191"/>
      <x:c r="AJ275" s="191"/>
      <x:c r="AK275" s="191"/>
    </x:row>
    <x:row r="276">
      <x:c r="A276" s="191"/>
      <x:c r="B276" s="191"/>
      <x:c r="C276" s="191"/>
      <x:c r="D276" s="191"/>
      <x:c r="E276" s="191"/>
      <x:c r="F276" s="191"/>
      <x:c r="G276" s="191"/>
      <x:c r="H276" s="191"/>
      <x:c r="I276" s="191"/>
      <x:c r="J276" s="191"/>
      <x:c r="K276" s="191"/>
      <x:c r="L276" s="191"/>
      <x:c r="M276" s="191"/>
      <x:c r="N276" s="191"/>
      <x:c r="O276" s="191"/>
      <x:c r="P276" s="191"/>
      <x:c r="Q276" s="191"/>
      <x:c r="R276" s="191"/>
      <x:c r="S276" s="191"/>
      <x:c r="T276" s="191"/>
      <x:c r="U276" s="191"/>
      <x:c r="V276" s="191"/>
      <x:c r="W276" s="191"/>
      <x:c r="X276" s="191"/>
      <x:c r="Y276" s="191"/>
      <x:c r="Z276" s="191"/>
      <x:c r="AA276" s="191"/>
      <x:c r="AB276" s="191"/>
      <x:c r="AC276" s="191"/>
      <x:c r="AD276" s="191"/>
      <x:c r="AE276" s="191"/>
      <x:c r="AF276" s="191"/>
      <x:c r="AG276" s="191"/>
      <x:c r="AH276" s="191"/>
      <x:c r="AI276" s="191"/>
      <x:c r="AJ276" s="191"/>
      <x:c r="AK276" s="191"/>
    </x:row>
    <x:row r="277">
      <x:c r="A277" s="191"/>
      <x:c r="B277" s="191"/>
      <x:c r="C277" s="191"/>
      <x:c r="D277" s="191"/>
      <x:c r="E277" s="191"/>
      <x:c r="F277" s="191"/>
      <x:c r="G277" s="191"/>
      <x:c r="H277" s="191"/>
      <x:c r="I277" s="191"/>
      <x:c r="J277" s="191"/>
      <x:c r="K277" s="191"/>
      <x:c r="L277" s="191"/>
      <x:c r="M277" s="191"/>
      <x:c r="N277" s="191"/>
      <x:c r="O277" s="191"/>
      <x:c r="P277" s="191"/>
      <x:c r="Q277" s="191"/>
      <x:c r="R277" s="191"/>
      <x:c r="S277" s="191"/>
      <x:c r="T277" s="191"/>
      <x:c r="U277" s="191"/>
      <x:c r="V277" s="191"/>
      <x:c r="W277" s="191"/>
      <x:c r="X277" s="191"/>
      <x:c r="Y277" s="191"/>
      <x:c r="Z277" s="191"/>
      <x:c r="AA277" s="191"/>
      <x:c r="AB277" s="191"/>
      <x:c r="AC277" s="191"/>
      <x:c r="AD277" s="191"/>
      <x:c r="AE277" s="191"/>
      <x:c r="AF277" s="191"/>
      <x:c r="AG277" s="191"/>
      <x:c r="AH277" s="191"/>
      <x:c r="AI277" s="191"/>
      <x:c r="AJ277" s="191"/>
      <x:c r="AK277" s="191"/>
    </x:row>
    <x:row r="278">
      <x:c r="A278" s="191"/>
      <x:c r="B278" s="191"/>
      <x:c r="C278" s="191"/>
      <x:c r="D278" s="191"/>
      <x:c r="E278" s="191"/>
      <x:c r="F278" s="191"/>
      <x:c r="G278" s="191"/>
      <x:c r="H278" s="191"/>
      <x:c r="I278" s="191"/>
      <x:c r="J278" s="191"/>
      <x:c r="K278" s="191"/>
      <x:c r="L278" s="191"/>
      <x:c r="M278" s="191"/>
      <x:c r="N278" s="191"/>
      <x:c r="O278" s="191"/>
      <x:c r="P278" s="191"/>
      <x:c r="Q278" s="191"/>
      <x:c r="R278" s="191"/>
      <x:c r="S278" s="191"/>
      <x:c r="T278" s="191"/>
      <x:c r="U278" s="191"/>
      <x:c r="V278" s="191"/>
      <x:c r="W278" s="191"/>
      <x:c r="X278" s="191"/>
      <x:c r="Y278" s="191"/>
      <x:c r="Z278" s="191"/>
      <x:c r="AA278" s="191"/>
      <x:c r="AB278" s="191"/>
      <x:c r="AC278" s="191"/>
      <x:c r="AD278" s="191"/>
      <x:c r="AE278" s="191"/>
      <x:c r="AF278" s="191"/>
      <x:c r="AG278" s="191"/>
      <x:c r="AH278" s="191"/>
      <x:c r="AI278" s="191"/>
      <x:c r="AJ278" s="191"/>
      <x:c r="AK278" s="191"/>
    </x:row>
    <x:row r="279">
      <x:c r="A279" s="191"/>
      <x:c r="B279" s="191"/>
      <x:c r="C279" s="191"/>
      <x:c r="D279" s="191"/>
      <x:c r="E279" s="191"/>
      <x:c r="F279" s="191"/>
      <x:c r="G279" s="191"/>
      <x:c r="H279" s="191"/>
      <x:c r="I279" s="191"/>
      <x:c r="J279" s="191"/>
      <x:c r="K279" s="191"/>
      <x:c r="L279" s="191"/>
      <x:c r="M279" s="191"/>
      <x:c r="N279" s="191"/>
      <x:c r="O279" s="191"/>
      <x:c r="P279" s="191"/>
      <x:c r="Q279" s="191"/>
      <x:c r="R279" s="191"/>
      <x:c r="S279" s="191"/>
      <x:c r="T279" s="191"/>
      <x:c r="U279" s="191"/>
      <x:c r="V279" s="191"/>
      <x:c r="W279" s="191"/>
      <x:c r="X279" s="191"/>
      <x:c r="Y279" s="191"/>
      <x:c r="Z279" s="191"/>
      <x:c r="AA279" s="191"/>
      <x:c r="AB279" s="191"/>
      <x:c r="AC279" s="191"/>
      <x:c r="AD279" s="191"/>
      <x:c r="AE279" s="191"/>
      <x:c r="AF279" s="191"/>
      <x:c r="AG279" s="191"/>
      <x:c r="AH279" s="191"/>
      <x:c r="AI279" s="191"/>
      <x:c r="AJ279" s="191"/>
      <x:c r="AK279" s="191"/>
    </x:row>
    <x:row r="280">
      <x:c r="A280" s="191"/>
      <x:c r="B280" s="191"/>
      <x:c r="C280" s="191"/>
      <x:c r="D280" s="191"/>
      <x:c r="E280" s="191"/>
      <x:c r="F280" s="191"/>
      <x:c r="G280" s="191"/>
      <x:c r="H280" s="191"/>
      <x:c r="I280" s="191"/>
      <x:c r="J280" s="191"/>
      <x:c r="K280" s="191"/>
      <x:c r="L280" s="191"/>
      <x:c r="M280" s="191"/>
      <x:c r="N280" s="191"/>
      <x:c r="O280" s="191"/>
      <x:c r="P280" s="191"/>
      <x:c r="Q280" s="191"/>
      <x:c r="R280" s="191"/>
      <x:c r="S280" s="191"/>
      <x:c r="T280" s="191"/>
      <x:c r="U280" s="191"/>
      <x:c r="V280" s="191"/>
      <x:c r="W280" s="191"/>
      <x:c r="X280" s="191"/>
      <x:c r="Y280" s="191"/>
      <x:c r="Z280" s="191"/>
      <x:c r="AA280" s="191"/>
      <x:c r="AB280" s="191"/>
      <x:c r="AC280" s="191"/>
      <x:c r="AD280" s="191"/>
      <x:c r="AE280" s="191"/>
      <x:c r="AF280" s="191"/>
      <x:c r="AG280" s="191"/>
      <x:c r="AH280" s="191"/>
      <x:c r="AI280" s="191"/>
      <x:c r="AJ280" s="191"/>
      <x:c r="AK280" s="191"/>
    </x:row>
    <x:row r="281">
      <x:c r="A281" s="191"/>
      <x:c r="B281" s="191"/>
      <x:c r="C281" s="191"/>
      <x:c r="D281" s="191"/>
      <x:c r="E281" s="191"/>
      <x:c r="F281" s="191"/>
      <x:c r="G281" s="191"/>
      <x:c r="H281" s="191"/>
      <x:c r="I281" s="191"/>
      <x:c r="J281" s="191"/>
      <x:c r="K281" s="191"/>
      <x:c r="L281" s="191"/>
      <x:c r="M281" s="191"/>
      <x:c r="N281" s="191"/>
      <x:c r="O281" s="191"/>
      <x:c r="P281" s="191"/>
      <x:c r="Q281" s="191"/>
      <x:c r="R281" s="191"/>
      <x:c r="S281" s="191"/>
      <x:c r="T281" s="191"/>
      <x:c r="U281" s="191"/>
      <x:c r="V281" s="191"/>
      <x:c r="W281" s="191"/>
      <x:c r="X281" s="191"/>
      <x:c r="Y281" s="191"/>
      <x:c r="Z281" s="191"/>
      <x:c r="AA281" s="191"/>
      <x:c r="AB281" s="191"/>
      <x:c r="AC281" s="191"/>
      <x:c r="AD281" s="191"/>
      <x:c r="AE281" s="191"/>
      <x:c r="AF281" s="191"/>
      <x:c r="AG281" s="191"/>
      <x:c r="AH281" s="191"/>
      <x:c r="AI281" s="191"/>
      <x:c r="AJ281" s="191"/>
      <x:c r="AK281" s="191"/>
    </x:row>
    <x:row r="282">
      <x:c r="A282" s="191"/>
      <x:c r="B282" s="191"/>
      <x:c r="C282" s="191"/>
      <x:c r="D282" s="191"/>
      <x:c r="E282" s="191"/>
      <x:c r="F282" s="191"/>
      <x:c r="G282" s="191"/>
      <x:c r="H282" s="191"/>
      <x:c r="I282" s="191"/>
      <x:c r="J282" s="191"/>
      <x:c r="K282" s="191"/>
      <x:c r="L282" s="191"/>
      <x:c r="M282" s="191"/>
      <x:c r="N282" s="191"/>
      <x:c r="O282" s="191"/>
      <x:c r="P282" s="191"/>
      <x:c r="Q282" s="191"/>
      <x:c r="R282" s="191"/>
      <x:c r="S282" s="191"/>
      <x:c r="T282" s="191"/>
      <x:c r="U282" s="191"/>
      <x:c r="V282" s="191"/>
      <x:c r="W282" s="191"/>
      <x:c r="X282" s="191"/>
      <x:c r="Y282" s="191"/>
      <x:c r="Z282" s="191"/>
      <x:c r="AA282" s="191"/>
      <x:c r="AB282" s="191"/>
      <x:c r="AC282" s="191"/>
      <x:c r="AD282" s="191"/>
      <x:c r="AE282" s="191"/>
      <x:c r="AF282" s="191"/>
      <x:c r="AG282" s="191"/>
      <x:c r="AH282" s="191"/>
      <x:c r="AI282" s="191"/>
      <x:c r="AJ282" s="191"/>
      <x:c r="AK282" s="191"/>
    </x:row>
    <x:row r="283">
      <x:c r="A283" s="191"/>
      <x:c r="B283" s="191"/>
      <x:c r="C283" s="191"/>
      <x:c r="D283" s="191"/>
      <x:c r="E283" s="191"/>
      <x:c r="F283" s="191"/>
      <x:c r="G283" s="191"/>
      <x:c r="H283" s="191"/>
      <x:c r="I283" s="191"/>
      <x:c r="J283" s="191"/>
      <x:c r="K283" s="191"/>
      <x:c r="L283" s="191"/>
      <x:c r="M283" s="191"/>
      <x:c r="N283" s="191"/>
      <x:c r="O283" s="191"/>
      <x:c r="P283" s="191"/>
      <x:c r="Q283" s="191"/>
      <x:c r="R283" s="191"/>
      <x:c r="S283" s="191"/>
      <x:c r="T283" s="191"/>
      <x:c r="U283" s="191"/>
      <x:c r="V283" s="191"/>
      <x:c r="W283" s="191"/>
      <x:c r="X283" s="191"/>
      <x:c r="Y283" s="191"/>
      <x:c r="Z283" s="191"/>
      <x:c r="AA283" s="191"/>
      <x:c r="AB283" s="191"/>
      <x:c r="AC283" s="191"/>
      <x:c r="AD283" s="191"/>
      <x:c r="AE283" s="191"/>
      <x:c r="AF283" s="191"/>
      <x:c r="AG283" s="191"/>
      <x:c r="AH283" s="191"/>
      <x:c r="AI283" s="191"/>
      <x:c r="AJ283" s="191"/>
      <x:c r="AK283" s="191"/>
    </x:row>
    <x:row r="284">
      <x:c r="A284" s="191"/>
      <x:c r="B284" s="191"/>
      <x:c r="C284" s="191"/>
      <x:c r="D284" s="191"/>
      <x:c r="E284" s="191"/>
      <x:c r="F284" s="191"/>
      <x:c r="G284" s="191"/>
      <x:c r="H284" s="191"/>
      <x:c r="I284" s="191"/>
      <x:c r="J284" s="191"/>
      <x:c r="K284" s="191"/>
      <x:c r="L284" s="191"/>
      <x:c r="M284" s="191"/>
      <x:c r="N284" s="191"/>
      <x:c r="O284" s="191"/>
      <x:c r="P284" s="191"/>
      <x:c r="Q284" s="191"/>
      <x:c r="R284" s="191"/>
      <x:c r="S284" s="191"/>
      <x:c r="T284" s="191"/>
      <x:c r="U284" s="191"/>
      <x:c r="V284" s="191"/>
      <x:c r="W284" s="191"/>
      <x:c r="X284" s="191"/>
      <x:c r="Y284" s="191"/>
      <x:c r="Z284" s="191"/>
      <x:c r="AA284" s="191"/>
      <x:c r="AB284" s="191"/>
      <x:c r="AC284" s="191"/>
      <x:c r="AD284" s="191"/>
      <x:c r="AE284" s="191"/>
      <x:c r="AF284" s="191"/>
      <x:c r="AG284" s="191"/>
      <x:c r="AH284" s="191"/>
      <x:c r="AI284" s="191"/>
      <x:c r="AJ284" s="191"/>
      <x:c r="AK284" s="191"/>
    </x:row>
    <x:row r="285">
      <x:c r="A285" s="191"/>
      <x:c r="B285" s="191"/>
      <x:c r="C285" s="191"/>
      <x:c r="D285" s="191"/>
      <x:c r="E285" s="191"/>
      <x:c r="F285" s="191"/>
      <x:c r="G285" s="191"/>
      <x:c r="H285" s="191"/>
      <x:c r="I285" s="191"/>
      <x:c r="J285" s="191"/>
      <x:c r="K285" s="191"/>
      <x:c r="L285" s="191"/>
      <x:c r="M285" s="191"/>
      <x:c r="N285" s="191"/>
      <x:c r="O285" s="191"/>
      <x:c r="P285" s="191"/>
      <x:c r="Q285" s="191"/>
      <x:c r="R285" s="191"/>
      <x:c r="S285" s="191"/>
      <x:c r="T285" s="191"/>
      <x:c r="U285" s="191"/>
      <x:c r="V285" s="191"/>
      <x:c r="W285" s="191"/>
      <x:c r="X285" s="191"/>
      <x:c r="Y285" s="191"/>
      <x:c r="Z285" s="191"/>
      <x:c r="AA285" s="191"/>
      <x:c r="AB285" s="191"/>
      <x:c r="AC285" s="191"/>
      <x:c r="AD285" s="191"/>
      <x:c r="AE285" s="191"/>
      <x:c r="AF285" s="191"/>
      <x:c r="AG285" s="191"/>
      <x:c r="AH285" s="191"/>
      <x:c r="AI285" s="191"/>
      <x:c r="AJ285" s="191"/>
      <x:c r="AK285" s="191"/>
    </x:row>
    <x:row r="286">
      <x:c r="A286" s="191"/>
      <x:c r="B286" s="191"/>
      <x:c r="C286" s="191"/>
      <x:c r="D286" s="191"/>
      <x:c r="E286" s="191"/>
      <x:c r="F286" s="191"/>
      <x:c r="G286" s="191"/>
      <x:c r="H286" s="191"/>
      <x:c r="I286" s="191"/>
      <x:c r="J286" s="191"/>
      <x:c r="K286" s="191"/>
      <x:c r="L286" s="191"/>
      <x:c r="M286" s="191"/>
      <x:c r="N286" s="191"/>
      <x:c r="O286" s="191"/>
      <x:c r="P286" s="191"/>
      <x:c r="Q286" s="191"/>
      <x:c r="R286" s="191"/>
      <x:c r="S286" s="191"/>
      <x:c r="T286" s="191"/>
      <x:c r="U286" s="191"/>
      <x:c r="V286" s="191"/>
      <x:c r="W286" s="191"/>
      <x:c r="X286" s="191"/>
      <x:c r="Y286" s="191"/>
      <x:c r="Z286" s="191"/>
      <x:c r="AA286" s="191"/>
      <x:c r="AB286" s="191"/>
      <x:c r="AC286" s="191"/>
      <x:c r="AD286" s="191"/>
      <x:c r="AE286" s="191"/>
      <x:c r="AF286" s="191"/>
      <x:c r="AG286" s="191"/>
      <x:c r="AH286" s="191"/>
      <x:c r="AI286" s="191"/>
      <x:c r="AJ286" s="191"/>
      <x:c r="AK286" s="191"/>
    </x:row>
    <x:row r="287">
      <x:c r="A287" s="191"/>
      <x:c r="B287" s="191"/>
      <x:c r="C287" s="191"/>
      <x:c r="D287" s="191"/>
      <x:c r="E287" s="191"/>
      <x:c r="F287" s="191"/>
      <x:c r="G287" s="191"/>
      <x:c r="H287" s="191"/>
      <x:c r="I287" s="191"/>
      <x:c r="J287" s="191"/>
      <x:c r="K287" s="191"/>
      <x:c r="L287" s="191"/>
      <x:c r="M287" s="191"/>
      <x:c r="N287" s="191"/>
      <x:c r="O287" s="191"/>
      <x:c r="P287" s="191"/>
      <x:c r="Q287" s="191"/>
      <x:c r="R287" s="191"/>
      <x:c r="S287" s="191"/>
      <x:c r="T287" s="191"/>
      <x:c r="U287" s="191"/>
      <x:c r="V287" s="191"/>
      <x:c r="W287" s="191"/>
      <x:c r="X287" s="191"/>
      <x:c r="Y287" s="191"/>
      <x:c r="Z287" s="191"/>
      <x:c r="AA287" s="191"/>
      <x:c r="AB287" s="191"/>
      <x:c r="AC287" s="191"/>
      <x:c r="AD287" s="191"/>
      <x:c r="AE287" s="191"/>
      <x:c r="AF287" s="191"/>
      <x:c r="AG287" s="191"/>
      <x:c r="AH287" s="191"/>
      <x:c r="AI287" s="191"/>
      <x:c r="AJ287" s="191"/>
      <x:c r="AK287" s="191"/>
    </x:row>
    <x:row r="288">
      <x:c r="A288" s="191"/>
      <x:c r="B288" s="191"/>
      <x:c r="C288" s="191"/>
      <x:c r="D288" s="191"/>
      <x:c r="E288" s="191"/>
      <x:c r="F288" s="191"/>
      <x:c r="G288" s="191"/>
      <x:c r="H288" s="191"/>
      <x:c r="I288" s="191"/>
      <x:c r="J288" s="191"/>
      <x:c r="K288" s="191"/>
      <x:c r="L288" s="191"/>
      <x:c r="M288" s="191"/>
      <x:c r="N288" s="191"/>
      <x:c r="O288" s="191"/>
      <x:c r="P288" s="191"/>
      <x:c r="Q288" s="191"/>
      <x:c r="R288" s="191"/>
      <x:c r="S288" s="191"/>
      <x:c r="T288" s="191"/>
      <x:c r="U288" s="191"/>
      <x:c r="V288" s="191"/>
      <x:c r="W288" s="191"/>
      <x:c r="X288" s="191"/>
      <x:c r="Y288" s="191"/>
      <x:c r="Z288" s="191"/>
      <x:c r="AA288" s="191"/>
      <x:c r="AB288" s="191"/>
      <x:c r="AC288" s="191"/>
      <x:c r="AD288" s="191"/>
      <x:c r="AE288" s="191"/>
      <x:c r="AF288" s="191"/>
      <x:c r="AG288" s="191"/>
      <x:c r="AH288" s="191"/>
      <x:c r="AI288" s="191"/>
      <x:c r="AJ288" s="191"/>
      <x:c r="AK288" s="191"/>
    </x:row>
    <x:row r="289">
      <x:c r="A289" s="191"/>
      <x:c r="B289" s="191"/>
      <x:c r="C289" s="191"/>
      <x:c r="D289" s="191"/>
      <x:c r="E289" s="191"/>
      <x:c r="F289" s="191"/>
      <x:c r="G289" s="191"/>
      <x:c r="H289" s="191"/>
      <x:c r="I289" s="191"/>
      <x:c r="J289" s="191"/>
      <x:c r="K289" s="191"/>
      <x:c r="L289" s="191"/>
      <x:c r="M289" s="191"/>
      <x:c r="N289" s="191"/>
      <x:c r="O289" s="191"/>
      <x:c r="P289" s="191"/>
      <x:c r="Q289" s="191"/>
      <x:c r="R289" s="191"/>
      <x:c r="S289" s="191"/>
      <x:c r="T289" s="191"/>
      <x:c r="U289" s="191"/>
      <x:c r="V289" s="191"/>
      <x:c r="W289" s="191"/>
      <x:c r="X289" s="191"/>
      <x:c r="Y289" s="191"/>
      <x:c r="Z289" s="191"/>
      <x:c r="AA289" s="191"/>
      <x:c r="AB289" s="191"/>
      <x:c r="AC289" s="191"/>
      <x:c r="AD289" s="191"/>
      <x:c r="AE289" s="191"/>
      <x:c r="AF289" s="191"/>
      <x:c r="AG289" s="191"/>
      <x:c r="AH289" s="191"/>
      <x:c r="AI289" s="191"/>
      <x:c r="AJ289" s="191"/>
      <x:c r="AK289" s="191"/>
    </x:row>
    <x:row r="290">
      <x:c r="A290" s="191"/>
      <x:c r="B290" s="191"/>
      <x:c r="C290" s="191"/>
      <x:c r="D290" s="191"/>
      <x:c r="E290" s="191"/>
      <x:c r="F290" s="191"/>
      <x:c r="G290" s="191"/>
      <x:c r="H290" s="191"/>
      <x:c r="I290" s="191"/>
      <x:c r="J290" s="191"/>
      <x:c r="K290" s="191"/>
      <x:c r="L290" s="191"/>
      <x:c r="M290" s="191"/>
      <x:c r="N290" s="191"/>
      <x:c r="O290" s="191"/>
      <x:c r="P290" s="191"/>
      <x:c r="Q290" s="191"/>
      <x:c r="R290" s="191"/>
      <x:c r="S290" s="191"/>
      <x:c r="T290" s="191"/>
      <x:c r="U290" s="191"/>
      <x:c r="V290" s="191"/>
      <x:c r="W290" s="191"/>
      <x:c r="X290" s="191"/>
      <x:c r="Y290" s="191"/>
      <x:c r="Z290" s="191"/>
      <x:c r="AA290" s="191"/>
      <x:c r="AB290" s="191"/>
      <x:c r="AC290" s="191"/>
      <x:c r="AD290" s="191"/>
      <x:c r="AE290" s="191"/>
      <x:c r="AF290" s="191"/>
      <x:c r="AG290" s="191"/>
      <x:c r="AH290" s="191"/>
      <x:c r="AI290" s="191"/>
      <x:c r="AJ290" s="191"/>
      <x:c r="AK290" s="191"/>
    </x:row>
    <x:row r="291">
      <x:c r="A291" s="191"/>
      <x:c r="B291" s="191"/>
      <x:c r="C291" s="191"/>
      <x:c r="D291" s="191"/>
      <x:c r="E291" s="191"/>
      <x:c r="F291" s="191"/>
      <x:c r="G291" s="191"/>
      <x:c r="H291" s="191"/>
      <x:c r="I291" s="191"/>
      <x:c r="J291" s="191"/>
      <x:c r="K291" s="191"/>
      <x:c r="L291" s="191"/>
      <x:c r="M291" s="191"/>
      <x:c r="N291" s="191"/>
      <x:c r="O291" s="191"/>
      <x:c r="P291" s="191"/>
      <x:c r="Q291" s="191"/>
      <x:c r="R291" s="191"/>
      <x:c r="S291" s="191"/>
      <x:c r="T291" s="191"/>
      <x:c r="U291" s="191"/>
      <x:c r="V291" s="191"/>
      <x:c r="W291" s="191"/>
      <x:c r="X291" s="191"/>
      <x:c r="Y291" s="191"/>
      <x:c r="Z291" s="191"/>
      <x:c r="AA291" s="191"/>
      <x:c r="AB291" s="191"/>
      <x:c r="AC291" s="191"/>
      <x:c r="AD291" s="191"/>
      <x:c r="AE291" s="191"/>
      <x:c r="AF291" s="191"/>
      <x:c r="AG291" s="191"/>
      <x:c r="AH291" s="191"/>
      <x:c r="AI291" s="191"/>
      <x:c r="AJ291" s="191"/>
      <x:c r="AK291" s="191"/>
    </x:row>
    <x:row r="292">
      <x:c r="A292" s="191"/>
      <x:c r="B292" s="191"/>
      <x:c r="C292" s="191"/>
      <x:c r="D292" s="191"/>
      <x:c r="E292" s="191"/>
      <x:c r="F292" s="191"/>
      <x:c r="G292" s="191"/>
      <x:c r="H292" s="191"/>
      <x:c r="I292" s="191"/>
      <x:c r="J292" s="191"/>
      <x:c r="K292" s="191"/>
      <x:c r="L292" s="191"/>
      <x:c r="M292" s="191"/>
      <x:c r="N292" s="191"/>
      <x:c r="O292" s="191"/>
      <x:c r="P292" s="191"/>
      <x:c r="Q292" s="191"/>
      <x:c r="R292" s="191"/>
      <x:c r="S292" s="191"/>
      <x:c r="T292" s="191"/>
      <x:c r="U292" s="191"/>
      <x:c r="V292" s="191"/>
      <x:c r="W292" s="191"/>
      <x:c r="X292" s="191"/>
      <x:c r="Y292" s="191"/>
      <x:c r="Z292" s="191"/>
      <x:c r="AA292" s="191"/>
      <x:c r="AB292" s="191"/>
      <x:c r="AC292" s="191"/>
      <x:c r="AD292" s="191"/>
      <x:c r="AE292" s="191"/>
      <x:c r="AF292" s="191"/>
      <x:c r="AG292" s="191"/>
      <x:c r="AH292" s="191"/>
      <x:c r="AI292" s="191"/>
      <x:c r="AJ292" s="191"/>
      <x:c r="AK292" s="191"/>
    </x:row>
    <x:row r="293">
      <x:c r="A293" s="191"/>
      <x:c r="B293" s="191"/>
      <x:c r="C293" s="191"/>
      <x:c r="D293" s="191"/>
      <x:c r="E293" s="191"/>
      <x:c r="F293" s="191"/>
      <x:c r="G293" s="191"/>
      <x:c r="H293" s="191"/>
      <x:c r="I293" s="191"/>
      <x:c r="J293" s="191"/>
      <x:c r="K293" s="191"/>
      <x:c r="L293" s="191"/>
      <x:c r="M293" s="191"/>
      <x:c r="N293" s="191"/>
      <x:c r="O293" s="191"/>
      <x:c r="P293" s="191"/>
      <x:c r="Q293" s="191"/>
      <x:c r="R293" s="191"/>
      <x:c r="S293" s="191"/>
      <x:c r="T293" s="191"/>
      <x:c r="U293" s="191"/>
      <x:c r="V293" s="191"/>
      <x:c r="W293" s="191"/>
      <x:c r="X293" s="191"/>
      <x:c r="Y293" s="191"/>
      <x:c r="Z293" s="191"/>
      <x:c r="AA293" s="191"/>
      <x:c r="AB293" s="191"/>
      <x:c r="AC293" s="191"/>
      <x:c r="AD293" s="191"/>
      <x:c r="AE293" s="191"/>
      <x:c r="AF293" s="191"/>
      <x:c r="AG293" s="191"/>
      <x:c r="AH293" s="191"/>
      <x:c r="AI293" s="191"/>
      <x:c r="AJ293" s="191"/>
      <x:c r="AK293" s="191"/>
    </x:row>
    <x:row r="294">
      <x:c r="A294" s="191"/>
      <x:c r="B294" s="191"/>
      <x:c r="C294" s="191"/>
      <x:c r="D294" s="191"/>
      <x:c r="E294" s="191"/>
      <x:c r="F294" s="191"/>
      <x:c r="G294" s="191"/>
      <x:c r="H294" s="191"/>
      <x:c r="I294" s="191"/>
      <x:c r="J294" s="191"/>
      <x:c r="K294" s="191"/>
      <x:c r="L294" s="191"/>
      <x:c r="M294" s="191"/>
      <x:c r="N294" s="191"/>
      <x:c r="O294" s="191"/>
      <x:c r="P294" s="191"/>
      <x:c r="Q294" s="191"/>
      <x:c r="R294" s="191"/>
      <x:c r="S294" s="191"/>
      <x:c r="T294" s="191"/>
      <x:c r="U294" s="191"/>
      <x:c r="V294" s="191"/>
      <x:c r="W294" s="191"/>
      <x:c r="X294" s="191"/>
      <x:c r="Y294" s="191"/>
      <x:c r="Z294" s="191"/>
      <x:c r="AA294" s="191"/>
      <x:c r="AB294" s="191"/>
      <x:c r="AC294" s="191"/>
      <x:c r="AD294" s="191"/>
      <x:c r="AE294" s="191"/>
      <x:c r="AF294" s="191"/>
      <x:c r="AG294" s="191"/>
      <x:c r="AH294" s="191"/>
      <x:c r="AI294" s="191"/>
      <x:c r="AJ294" s="191"/>
      <x:c r="AK294" s="191"/>
    </x:row>
    <x:row r="295">
      <x:c r="A295" s="191"/>
      <x:c r="B295" s="191"/>
      <x:c r="C295" s="191"/>
      <x:c r="D295" s="191"/>
      <x:c r="E295" s="191"/>
      <x:c r="F295" s="191"/>
      <x:c r="G295" s="191"/>
      <x:c r="H295" s="191"/>
      <x:c r="I295" s="191"/>
      <x:c r="J295" s="191"/>
      <x:c r="K295" s="191"/>
      <x:c r="L295" s="191"/>
      <x:c r="M295" s="191"/>
      <x:c r="N295" s="191"/>
      <x:c r="O295" s="191"/>
      <x:c r="P295" s="191"/>
      <x:c r="Q295" s="191"/>
      <x:c r="R295" s="191"/>
      <x:c r="S295" s="191"/>
      <x:c r="T295" s="191"/>
      <x:c r="U295" s="191"/>
      <x:c r="V295" s="191"/>
      <x:c r="W295" s="191"/>
      <x:c r="X295" s="191"/>
      <x:c r="Y295" s="191"/>
      <x:c r="Z295" s="191"/>
      <x:c r="AA295" s="191"/>
      <x:c r="AB295" s="191"/>
      <x:c r="AC295" s="191"/>
      <x:c r="AD295" s="191"/>
      <x:c r="AE295" s="191"/>
      <x:c r="AF295" s="191"/>
      <x:c r="AG295" s="191"/>
      <x:c r="AH295" s="191"/>
      <x:c r="AI295" s="191"/>
      <x:c r="AJ295" s="191"/>
      <x:c r="AK295" s="191"/>
    </x:row>
    <x:row r="296">
      <x:c r="A296" s="191"/>
      <x:c r="B296" s="191"/>
      <x:c r="C296" s="191"/>
      <x:c r="D296" s="191"/>
      <x:c r="E296" s="191"/>
      <x:c r="F296" s="191"/>
      <x:c r="G296" s="191"/>
      <x:c r="H296" s="191"/>
      <x:c r="I296" s="191"/>
      <x:c r="J296" s="191"/>
      <x:c r="K296" s="191"/>
      <x:c r="L296" s="191"/>
      <x:c r="M296" s="191"/>
      <x:c r="N296" s="191"/>
      <x:c r="O296" s="191"/>
      <x:c r="P296" s="191"/>
      <x:c r="Q296" s="191"/>
      <x:c r="R296" s="191"/>
      <x:c r="S296" s="191"/>
      <x:c r="T296" s="191"/>
      <x:c r="U296" s="191"/>
      <x:c r="V296" s="191"/>
      <x:c r="W296" s="191"/>
      <x:c r="X296" s="191"/>
      <x:c r="Y296" s="191"/>
      <x:c r="Z296" s="191"/>
      <x:c r="AA296" s="191"/>
      <x:c r="AB296" s="191"/>
      <x:c r="AC296" s="191"/>
      <x:c r="AD296" s="191"/>
      <x:c r="AE296" s="191"/>
      <x:c r="AF296" s="191"/>
      <x:c r="AG296" s="191"/>
      <x:c r="AH296" s="191"/>
      <x:c r="AI296" s="191"/>
      <x:c r="AJ296" s="191"/>
      <x:c r="AK296" s="191"/>
    </x:row>
    <x:row r="297">
      <x:c r="A297" s="191"/>
      <x:c r="B297" s="191"/>
      <x:c r="C297" s="191"/>
      <x:c r="D297" s="191"/>
      <x:c r="E297" s="191"/>
      <x:c r="F297" s="191"/>
      <x:c r="G297" s="191"/>
      <x:c r="H297" s="191"/>
      <x:c r="I297" s="191"/>
      <x:c r="J297" s="191"/>
      <x:c r="K297" s="191"/>
      <x:c r="L297" s="191"/>
      <x:c r="M297" s="191"/>
      <x:c r="N297" s="191"/>
      <x:c r="O297" s="191"/>
      <x:c r="P297" s="191"/>
      <x:c r="Q297" s="191"/>
      <x:c r="R297" s="191"/>
      <x:c r="S297" s="191"/>
      <x:c r="T297" s="191"/>
      <x:c r="U297" s="191"/>
      <x:c r="V297" s="191"/>
      <x:c r="W297" s="191"/>
      <x:c r="X297" s="191"/>
      <x:c r="Y297" s="191"/>
      <x:c r="Z297" s="191"/>
      <x:c r="AA297" s="191"/>
      <x:c r="AB297" s="191"/>
      <x:c r="AC297" s="191"/>
      <x:c r="AD297" s="191"/>
      <x:c r="AE297" s="191"/>
      <x:c r="AF297" s="191"/>
      <x:c r="AG297" s="191"/>
      <x:c r="AH297" s="191"/>
      <x:c r="AI297" s="191"/>
      <x:c r="AJ297" s="191"/>
      <x:c r="AK297" s="191"/>
    </x:row>
    <x:row r="298">
      <x:c r="A298" s="191"/>
      <x:c r="B298" s="191"/>
      <x:c r="C298" s="191"/>
      <x:c r="D298" s="191"/>
      <x:c r="E298" s="191"/>
      <x:c r="F298" s="191"/>
      <x:c r="G298" s="191"/>
      <x:c r="H298" s="191"/>
      <x:c r="I298" s="191"/>
      <x:c r="J298" s="191"/>
      <x:c r="K298" s="191"/>
      <x:c r="L298" s="191"/>
      <x:c r="M298" s="191"/>
      <x:c r="N298" s="191"/>
      <x:c r="O298" s="191"/>
      <x:c r="P298" s="191"/>
      <x:c r="Q298" s="191"/>
      <x:c r="R298" s="191"/>
      <x:c r="S298" s="191"/>
      <x:c r="T298" s="191"/>
      <x:c r="U298" s="191"/>
      <x:c r="V298" s="191"/>
      <x:c r="W298" s="191"/>
      <x:c r="X298" s="191"/>
      <x:c r="Y298" s="191"/>
      <x:c r="Z298" s="191"/>
      <x:c r="AA298" s="191"/>
      <x:c r="AB298" s="191"/>
      <x:c r="AC298" s="191"/>
      <x:c r="AD298" s="191"/>
      <x:c r="AE298" s="191"/>
      <x:c r="AF298" s="191"/>
      <x:c r="AG298" s="191"/>
      <x:c r="AH298" s="191"/>
      <x:c r="AI298" s="191"/>
      <x:c r="AJ298" s="191"/>
      <x:c r="AK298" s="191"/>
    </x:row>
    <x:row r="299">
      <x:c r="A299" s="191"/>
      <x:c r="B299" s="191"/>
      <x:c r="C299" s="191"/>
      <x:c r="D299" s="191"/>
      <x:c r="E299" s="191"/>
      <x:c r="F299" s="191"/>
      <x:c r="G299" s="191"/>
      <x:c r="H299" s="191"/>
      <x:c r="I299" s="191"/>
      <x:c r="J299" s="191"/>
      <x:c r="K299" s="191"/>
      <x:c r="L299" s="191"/>
      <x:c r="M299" s="191"/>
      <x:c r="N299" s="191"/>
      <x:c r="O299" s="191"/>
      <x:c r="P299" s="191"/>
      <x:c r="Q299" s="191"/>
      <x:c r="R299" s="191"/>
      <x:c r="S299" s="191"/>
      <x:c r="T299" s="191"/>
      <x:c r="U299" s="191"/>
      <x:c r="V299" s="191"/>
      <x:c r="W299" s="191"/>
      <x:c r="X299" s="191"/>
      <x:c r="Y299" s="191"/>
      <x:c r="Z299" s="191"/>
      <x:c r="AA299" s="191"/>
      <x:c r="AB299" s="191"/>
      <x:c r="AC299" s="191"/>
      <x:c r="AD299" s="191"/>
      <x:c r="AE299" s="191"/>
      <x:c r="AF299" s="191"/>
      <x:c r="AG299" s="191"/>
      <x:c r="AH299" s="191"/>
      <x:c r="AI299" s="191"/>
      <x:c r="AJ299" s="191"/>
      <x:c r="AK299" s="191"/>
    </x:row>
    <x:row r="300">
      <x:c r="A300" s="191"/>
      <x:c r="B300" s="191"/>
      <x:c r="C300" s="191"/>
      <x:c r="D300" s="191"/>
      <x:c r="E300" s="191"/>
      <x:c r="F300" s="191"/>
      <x:c r="G300" s="191"/>
      <x:c r="H300" s="191"/>
      <x:c r="I300" s="191"/>
      <x:c r="J300" s="191"/>
      <x:c r="K300" s="191"/>
      <x:c r="L300" s="191"/>
      <x:c r="M300" s="191"/>
      <x:c r="N300" s="191"/>
      <x:c r="O300" s="191"/>
      <x:c r="P300" s="191"/>
      <x:c r="Q300" s="191"/>
      <x:c r="R300" s="191"/>
      <x:c r="S300" s="191"/>
      <x:c r="T300" s="191"/>
      <x:c r="U300" s="191"/>
      <x:c r="V300" s="191"/>
      <x:c r="W300" s="191"/>
      <x:c r="X300" s="191"/>
      <x:c r="Y300" s="191"/>
      <x:c r="Z300" s="191"/>
      <x:c r="AA300" s="191"/>
      <x:c r="AB300" s="191"/>
      <x:c r="AC300" s="191"/>
      <x:c r="AD300" s="191"/>
      <x:c r="AE300" s="191"/>
      <x:c r="AF300" s="191"/>
      <x:c r="AG300" s="191"/>
      <x:c r="AH300" s="191"/>
      <x:c r="AI300" s="191"/>
      <x:c r="AJ300" s="191"/>
      <x:c r="AK300" s="191"/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  <x:col min="3" max="3" width="10" hidden="0" customWidth="1"/>
    <x:col min="4" max="4" width="10" hidden="0" customWidth="1"/>
    <x:col min="5" max="5" width="11" hidden="0" customWidth="1"/>
    <x:col min="6" max="6" width="24" hidden="0" customWidth="1"/>
    <x:col min="7" max="7" width="23" hidden="0" customWidth="1"/>
    <x:col min="8" max="8" width="18" hidden="0" customWidth="1"/>
    <x:col min="9" max="9" width="12" hidden="0" customWidth="1"/>
    <x:col min="10" max="10" width="24" hidden="0" customWidth="1"/>
    <x:col min="11" max="11" width="3" hidden="0" customWidth="1"/>
    <x:col min="12" max="12" width="12" hidden="0" customWidth="1"/>
    <x:col min="13" max="13" width="12" hidden="0" customWidth="1"/>
    <x:col min="14" max="14" width="12" hidden="0" customWidth="1"/>
    <x:col min="15" max="15" width="16" hidden="0" customWidth="1"/>
    <x:col min="16" max="16" width="12" hidden="0" customWidth="1"/>
    <x:col min="17" max="17" width="21" hidden="0" customWidth="1"/>
    <x:col min="18" max="18" width="20" hidden="0" customWidth="1"/>
    <x:col min="19" max="19" width="18" hidden="0" customWidth="1"/>
    <x:col min="20" max="20" width="10" hidden="0" customWidth="1"/>
    <x:col min="21" max="21" width="24" hidden="0" customWidth="1"/>
    <x:col min="22" max="22" width="3" hidden="0" customWidth="1"/>
    <x:col min="23" max="23" width="8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7" hidden="0" customWidth="1"/>
  </x:cols>
  <x:sheetData>
    <x:row r="1" ht="28" customHeight="1">
      <x:c r="A1" s="5" t="str">
        <x:v>Illustrative Pricing-Response Helper — Replace with Approved Full-Revaluation NPV Function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191"/>
      <x:c r="W1" s="191"/>
      <x:c r="X1" s="191"/>
      <x:c r="Y1" s="191"/>
      <x:c r="Z1" s="191"/>
      <x:c r="AA1" s="191"/>
      <x:c r="AB1" s="191"/>
      <x:c r="AC1" s="191"/>
      <x:c r="AD1" s="191"/>
      <x:c r="AE1" s="191"/>
      <x:c r="AF1" s="191"/>
      <x:c r="AG1" s="191"/>
      <x:c r="AH1" s="191"/>
      <x:c r="AI1" s="191"/>
      <x:c r="AJ1" s="191"/>
      <x:c r="AK1" s="191"/>
    </x:row>
    <x:row r="2">
      <x:c r="A2" s="191"/>
      <x:c r="B2" s="191"/>
      <x:c r="C2" s="191"/>
      <x:c r="D2" s="191"/>
      <x:c r="E2" s="191"/>
      <x:c r="F2" s="191"/>
      <x:c r="G2" s="191"/>
      <x:c r="H2" s="191"/>
      <x:c r="I2" s="191"/>
      <x:c r="J2" s="191"/>
      <x:c r="K2" s="191"/>
      <x:c r="L2" s="191"/>
      <x:c r="M2" s="191"/>
      <x:c r="N2" s="191"/>
      <x:c r="O2" s="191"/>
      <x:c r="P2" s="191"/>
      <x:c r="Q2" s="191"/>
      <x:c r="R2" s="191"/>
      <x:c r="S2" s="191"/>
      <x:c r="T2" s="191"/>
      <x:c r="U2" s="191"/>
      <x:c r="V2" s="191"/>
      <x:c r="W2" s="191"/>
      <x:c r="X2" s="191"/>
      <x:c r="Y2" s="191"/>
      <x:c r="Z2" s="191"/>
      <x:c r="AA2" s="191"/>
      <x:c r="AB2" s="191"/>
      <x:c r="AC2" s="191"/>
      <x:c r="AD2" s="191"/>
      <x:c r="AE2" s="191"/>
      <x:c r="AF2" s="191"/>
      <x:c r="AG2" s="191"/>
      <x:c r="AH2" s="191"/>
      <x:c r="AI2" s="191"/>
      <x:c r="AJ2" s="191"/>
      <x:c r="AK2" s="191"/>
    </x:row>
    <x:row r="3" ht="22" customHeight="1">
      <x:c r="A3" s="45" t="str">
        <x:v>Curve</x:v>
      </x:c>
      <x:c r="B3" s="45" t="str">
        <x:v>Normalized Class</x:v>
      </x:c>
      <x:c r="C3" s="45" t="str">
        <x:v>Apply Step</x:v>
      </x:c>
      <x:c r="D3" s="45" t="str">
        <x:v>Tenor</x:v>
      </x:c>
      <x:c r="E3" s="45" t="str">
        <x:v>Shock (bp)</x:v>
      </x:c>
      <x:c r="F3" s="45" t="str">
        <x:v>Illustrative 1st-order Coeff ($/bp)</x:v>
      </x:c>
      <x:c r="G3" s="45" t="str">
        <x:v>Illustrative Convexity ($/bp²)</x:v>
      </x:c>
      <x:c r="H3" s="45" t="str">
        <x:v>Incremental P&amp;L ($)</x:v>
      </x:c>
      <x:c r="I3" s="45" t="str">
        <x:v>Curve Source Row</x:v>
      </x:c>
      <x:c r="J3" s="45" t="str">
        <x:v>Status</x:v>
      </x:c>
      <x:c r="K3" s="191"/>
      <x:c r="L3" s="45" t="str">
        <x:v>Parameter</x:v>
      </x:c>
      <x:c r="M3" s="45" t="str">
        <x:v>Expiry Step</x:v>
      </x:c>
      <x:c r="N3" s="45" t="str">
        <x:v>Expiry</x:v>
      </x:c>
      <x:c r="O3" s="45" t="str">
        <x:v>Underlying Tenor</x:v>
      </x:c>
      <x:c r="P3" s="45" t="str">
        <x:v>Shock</x:v>
      </x:c>
      <x:c r="Q3" s="45" t="str">
        <x:v>1st-order Coeff ($/unit)</x:v>
      </x:c>
      <x:c r="R3" s="45" t="str">
        <x:v>Convexity ($/unit²)</x:v>
      </x:c>
      <x:c r="S3" s="45" t="str">
        <x:v>Incremental P&amp;L ($)</x:v>
      </x:c>
      <x:c r="T3" s="45" t="str">
        <x:v>Risk Class</x:v>
      </x:c>
      <x:c r="U3" s="45" t="str">
        <x:v>Status</x:v>
      </x:c>
      <x:c r="V3" s="191"/>
      <x:c r="W3" s="21" t="str">
        <x:v>Cumulative P&amp;L contribution by build step</x:v>
      </x:c>
      <x:c r="X3" s="21"/>
      <x:c r="Y3" s="21"/>
      <x:c r="Z3" s="21"/>
      <x:c r="AA3" s="21"/>
      <x:c r="AB3" s="21"/>
      <x:c r="AC3" s="21"/>
      <x:c r="AD3" s="191"/>
      <x:c r="AE3" s="191"/>
      <x:c r="AF3" s="191"/>
      <x:c r="AG3" s="191"/>
      <x:c r="AH3" s="191"/>
      <x:c r="AI3" s="191"/>
      <x:c r="AJ3" s="191"/>
      <x:c r="AK3" s="191"/>
    </x:row>
    <x:row r="4">
      <x:c r="A4" s="198" t="str">
        <x:v>Agency_FNMA</x:v>
      </x:c>
      <x:c r="B4" s="198" t="str">
        <x:v>Credit</x:v>
      </x:c>
      <x:c r="C4" s="198" t="n">
        <x:v>1</x:v>
      </x:c>
      <x:c r="D4" s="198" t="str">
        <x:v>3M</x:v>
      </x:c>
      <x:c r="E4" s="265" t="n">
        <x:f>'03_Curve_Base_Shocks'!J4</x:f>
        <x:v>40</x:v>
      </x:c>
      <x:c r="F4" s="201" t="n">
        <x:v>-500</x:v>
      </x:c>
      <x:c r="G4" s="201" t="n">
        <x:v>-0.4</x:v>
      </x:c>
      <x:c r="H4" s="254" t="n">
        <x:f>F4*E4+0.5*G4*E4^2</x:f>
        <x:v>-20320</x:v>
      </x:c>
      <x:c r="I4" s="191" t="n">
        <x:v>4</x:v>
      </x:c>
      <x:c r="J4" s="191" t="str">
        <x:v>Illustrative surrogate only</x:v>
      </x:c>
      <x:c r="K4" s="191"/>
      <x:c r="L4" s="198" t="str">
        <x:v>ATM</x:v>
      </x:c>
      <x:c r="M4" s="198" t="n">
        <x:v>1</x:v>
      </x:c>
      <x:c r="N4" s="198" t="str">
        <x:v>1M</x:v>
      </x:c>
      <x:c r="O4" s="198" t="str">
        <x:v>1M</x:v>
      </x:c>
      <x:c r="P4" s="266" t="n">
        <x:v>0.015</x:v>
      </x:c>
      <x:c r="Q4" s="201" t="n">
        <x:v>23400</x:v>
      </x:c>
      <x:c r="R4" s="267" t="n">
        <x:v>4000</x:v>
      </x:c>
      <x:c r="S4" s="254" t="n">
        <x:f>Q4*P4+0.5*R4*P4^2</x:f>
        <x:v>351.45</x:v>
      </x:c>
      <x:c r="T4" s="191" t="str">
        <x:v>IR</x:v>
      </x:c>
      <x:c r="U4" s="191" t="str">
        <x:v>Illustrative surrogate only</x:v>
      </x:c>
      <x:c r="V4" s="191"/>
      <x:c r="W4" s="45" t="str">
        <x:v>Step</x:v>
      </x:c>
      <x:c r="X4" s="45" t="str">
        <x:v>IR Curve</x:v>
      </x:c>
      <x:c r="Y4" s="45" t="str">
        <x:v>IR Vol</x:v>
      </x:c>
      <x:c r="Z4" s="45" t="str">
        <x:v>Total IR</x:v>
      </x:c>
      <x:c r="AA4" s="45" t="str">
        <x:v>Credit</x:v>
      </x:c>
      <x:c r="AB4" s="45" t="str">
        <x:v>FX</x:v>
      </x:c>
      <x:c r="AC4" s="45" t="str">
        <x:v>Standalone Sum</x:v>
      </x:c>
      <x:c r="AD4" s="191"/>
      <x:c r="AE4" s="191"/>
      <x:c r="AF4" s="191"/>
      <x:c r="AG4" s="191"/>
      <x:c r="AH4" s="191"/>
      <x:c r="AI4" s="191"/>
      <x:c r="AJ4" s="191"/>
      <x:c r="AK4" s="191"/>
    </x:row>
    <x:row r="5">
      <x:c r="A5" s="198" t="str">
        <x:v>Agency_FNMA</x:v>
      </x:c>
      <x:c r="B5" s="198" t="str">
        <x:v>Credit</x:v>
      </x:c>
      <x:c r="C5" s="198" t="n">
        <x:v>2</x:v>
      </x:c>
      <x:c r="D5" s="198" t="str">
        <x:v>6M</x:v>
      </x:c>
      <x:c r="E5" s="265" t="n">
        <x:f>'03_Curve_Base_Shocks'!J5</x:f>
        <x:v>65</x:v>
      </x:c>
      <x:c r="F5" s="201" t="n">
        <x:v>-650</x:v>
      </x:c>
      <x:c r="G5" s="201" t="n">
        <x:v>-0.4</x:v>
      </x:c>
      <x:c r="H5" s="254" t="n">
        <x:f>F5*E5+0.5*G5*E5^2</x:f>
        <x:v>-43095</x:v>
      </x:c>
      <x:c r="I5" s="191" t="n">
        <x:v>5</x:v>
      </x:c>
      <x:c r="J5" s="191" t="str">
        <x:v>Illustrative surrogate only</x:v>
      </x:c>
      <x:c r="K5" s="191"/>
      <x:c r="L5" s="198" t="str">
        <x:v>ATM</x:v>
      </x:c>
      <x:c r="M5" s="198" t="n">
        <x:v>1</x:v>
      </x:c>
      <x:c r="N5" s="198" t="str">
        <x:v>1M</x:v>
      </x:c>
      <x:c r="O5" s="198" t="str">
        <x:v>3M</x:v>
      </x:c>
      <x:c r="P5" s="266" t="n">
        <x:v>0.016</x:v>
      </x:c>
      <x:c r="Q5" s="201" t="n">
        <x:v>23900</x:v>
      </x:c>
      <x:c r="R5" s="267" t="n">
        <x:v>4000</x:v>
      </x:c>
      <x:c r="S5" s="254" t="n">
        <x:f>Q5*P5+0.5*R5*P5^2</x:f>
        <x:v>382.91200000000003</x:v>
      </x:c>
      <x:c r="T5" s="191" t="str">
        <x:v>IR</x:v>
      </x:c>
      <x:c r="U5" s="191" t="str">
        <x:v>Illustrative surrogate only</x:v>
      </x:c>
      <x:c r="V5" s="191"/>
      <x:c r="W5" s="191" t="n">
        <x:v>0</x:v>
      </x:c>
      <x:c r="X5" s="254" t="n">
        <x:f>SUMIFS($H$4:$H$57,$B$4:$B$57,"IR",$C$4:$C$57,"&lt;="&amp;W5)</x:f>
        <x:v>0</x:v>
      </x:c>
      <x:c r="Y5" s="254" t="n">
        <x:f>SUMIFS($S$4:$S$303,$M$4:$M$303,"&lt;="&amp;W5)</x:f>
        <x:v>0</x:v>
      </x:c>
      <x:c r="Z5" s="254" t="n">
        <x:f>X5+Y5</x:f>
        <x:v>0</x:v>
      </x:c>
      <x:c r="AA5" s="254" t="n">
        <x:f>SUMIFS($H$4:$H$57,$B$4:$B$57,"Credit",$C$4:$C$57,"&lt;="&amp;W5)</x:f>
        <x:v>0</x:v>
      </x:c>
      <x:c r="AB5" s="254" t="n">
        <x:f>SUMIFS($H$4:$H$57,$B$4:$B$57,"FX",$C$4:$C$57,"&lt;="&amp;W5)</x:f>
        <x:v>0</x:v>
      </x:c>
      <x:c r="AC5" s="254" t="n">
        <x:f>Z5+AA5+AB5</x:f>
        <x:v>0</x:v>
      </x:c>
      <x:c r="AD5" s="191"/>
      <x:c r="AE5" s="191"/>
      <x:c r="AF5" s="191"/>
      <x:c r="AG5" s="191"/>
      <x:c r="AH5" s="191"/>
      <x:c r="AI5" s="191"/>
      <x:c r="AJ5" s="191"/>
      <x:c r="AK5" s="191"/>
    </x:row>
    <x:row r="6">
      <x:c r="A6" s="198" t="str">
        <x:v>Agency_FNMA</x:v>
      </x:c>
      <x:c r="B6" s="198" t="str">
        <x:v>Credit</x:v>
      </x:c>
      <x:c r="C6" s="198" t="n">
        <x:v>3</x:v>
      </x:c>
      <x:c r="D6" s="198" t="str">
        <x:v>1Y</x:v>
      </x:c>
      <x:c r="E6" s="265" t="n">
        <x:f>'03_Curve_Base_Shocks'!J6</x:f>
        <x:v>90</x:v>
      </x:c>
      <x:c r="F6" s="201" t="n">
        <x:v>-800</x:v>
      </x:c>
      <x:c r="G6" s="201" t="n">
        <x:v>-0.4</x:v>
      </x:c>
      <x:c r="H6" s="254" t="n">
        <x:f>F6*E6+0.5*G6*E6^2</x:f>
        <x:v>-73620</x:v>
      </x:c>
      <x:c r="I6" s="191" t="n">
        <x:v>6</x:v>
      </x:c>
      <x:c r="J6" s="191" t="str">
        <x:v>Illustrative surrogate only</x:v>
      </x:c>
      <x:c r="K6" s="191"/>
      <x:c r="L6" s="198" t="str">
        <x:v>ATM</x:v>
      </x:c>
      <x:c r="M6" s="198" t="n">
        <x:v>1</x:v>
      </x:c>
      <x:c r="N6" s="198" t="str">
        <x:v>1M</x:v>
      </x:c>
      <x:c r="O6" s="198" t="str">
        <x:v>6M</x:v>
      </x:c>
      <x:c r="P6" s="266" t="n">
        <x:v>0.017</x:v>
      </x:c>
      <x:c r="Q6" s="201" t="n">
        <x:v>24400</x:v>
      </x:c>
      <x:c r="R6" s="267" t="n">
        <x:v>4000</x:v>
      </x:c>
      <x:c r="S6" s="254" t="n">
        <x:f>Q6*P6+0.5*R6*P6^2</x:f>
        <x:v>415.378</x:v>
      </x:c>
      <x:c r="T6" s="191" t="str">
        <x:v>IR</x:v>
      </x:c>
      <x:c r="U6" s="191" t="str">
        <x:v>Illustrative surrogate only</x:v>
      </x:c>
      <x:c r="V6" s="191"/>
      <x:c r="W6" s="191" t="n">
        <x:v>1</x:v>
      </x:c>
      <x:c r="X6" s="254" t="n">
        <x:f>SUMIFS($H$4:$H$57,$B$4:$B$57,"IR",$C$4:$C$57,"&lt;="&amp;W6)</x:f>
        <x:v>-15200</x:v>
      </x:c>
      <x:c r="Y6" s="254" t="n">
        <x:f>SUMIFS($S$4:$S$303,$M$4:$M$303,"&lt;="&amp;W6)</x:f>
        <x:v>7919.347500000001</x:v>
      </x:c>
      <x:c r="Z6" s="254" t="n">
        <x:f>X6+Y6</x:f>
        <x:v>-7280.652499999999</x:v>
      </x:c>
      <x:c r="AA6" s="254" t="n">
        <x:f>SUMIFS($H$4:$H$57,$B$4:$B$57,"Credit",$C$4:$C$57,"&lt;="&amp;W6)</x:f>
        <x:v>33250</x:v>
      </x:c>
      <x:c r="AB6" s="254" t="n">
        <x:f>SUMIFS($H$4:$H$57,$B$4:$B$57,"FX",$C$4:$C$57,"&lt;="&amp;W6)</x:f>
        <x:v>-3519</x:v>
      </x:c>
      <x:c r="AC6" s="254" t="n">
        <x:f>Z6+AA6+AB6</x:f>
        <x:v>22450.3475</x:v>
      </x:c>
      <x:c r="AD6" s="191"/>
      <x:c r="AE6" s="191"/>
      <x:c r="AF6" s="191"/>
      <x:c r="AG6" s="191"/>
      <x:c r="AH6" s="191"/>
      <x:c r="AI6" s="191"/>
      <x:c r="AJ6" s="191"/>
      <x:c r="AK6" s="191"/>
    </x:row>
    <x:row r="7">
      <x:c r="A7" s="198" t="str">
        <x:v>Agency_FNMA</x:v>
      </x:c>
      <x:c r="B7" s="198" t="str">
        <x:v>Credit</x:v>
      </x:c>
      <x:c r="C7" s="198" t="n">
        <x:v>4</x:v>
      </x:c>
      <x:c r="D7" s="198" t="str">
        <x:v>2Y</x:v>
      </x:c>
      <x:c r="E7" s="265" t="n">
        <x:f>'03_Curve_Base_Shocks'!J7</x:f>
        <x:v>130</x:v>
      </x:c>
      <x:c r="F7" s="201" t="n">
        <x:v>-950</x:v>
      </x:c>
      <x:c r="G7" s="201" t="n">
        <x:v>-0.4</x:v>
      </x:c>
      <x:c r="H7" s="254" t="n">
        <x:f>F7*E7+0.5*G7*E7^2</x:f>
        <x:v>-126880</x:v>
      </x:c>
      <x:c r="I7" s="191" t="n">
        <x:v>7</x:v>
      </x:c>
      <x:c r="J7" s="191" t="str">
        <x:v>Illustrative surrogate only</x:v>
      </x:c>
      <x:c r="K7" s="191"/>
      <x:c r="L7" s="198" t="str">
        <x:v>ATM</x:v>
      </x:c>
      <x:c r="M7" s="198" t="n">
        <x:v>1</x:v>
      </x:c>
      <x:c r="N7" s="198" t="str">
        <x:v>1M</x:v>
      </x:c>
      <x:c r="O7" s="198" t="str">
        <x:v>1Y</x:v>
      </x:c>
      <x:c r="P7" s="266" t="n">
        <x:v>0.018000000000000002</x:v>
      </x:c>
      <x:c r="Q7" s="201" t="n">
        <x:v>24900</x:v>
      </x:c>
      <x:c r="R7" s="267" t="n">
        <x:v>4000</x:v>
      </x:c>
      <x:c r="S7" s="254" t="n">
        <x:f>Q7*P7+0.5*R7*P7^2</x:f>
        <x:v>448.84800000000007</x:v>
      </x:c>
      <x:c r="T7" s="191" t="str">
        <x:v>IR</x:v>
      </x:c>
      <x:c r="U7" s="191" t="str">
        <x:v>Illustrative surrogate only</x:v>
      </x:c>
      <x:c r="V7" s="191"/>
      <x:c r="W7" s="191" t="n">
        <x:v>2</x:v>
      </x:c>
      <x:c r="X7" s="254" t="n">
        <x:f>SUMIFS($H$4:$H$57,$B$4:$B$57,"IR",$C$4:$C$57,"&lt;="&amp;W7)</x:f>
        <x:v>-45661.875</x:v>
      </x:c>
      <x:c r="Y7" s="254" t="n">
        <x:f>SUMIFS($S$4:$S$303,$M$4:$M$303,"&lt;="&amp;W7)</x:f>
        <x:v>17191.577499999996</x:v>
      </x:c>
      <x:c r="Z7" s="254" t="n">
        <x:f>X7+Y7</x:f>
        <x:v>-28470.297500000004</x:v>
      </x:c>
      <x:c r="AA7" s="254" t="n">
        <x:f>SUMIFS($H$4:$H$57,$B$4:$B$57,"Credit",$C$4:$C$57,"&lt;="&amp;W7)</x:f>
        <x:v>72536.875</x:v>
      </x:c>
      <x:c r="AB7" s="254" t="n">
        <x:f>SUMIFS($H$4:$H$57,$B$4:$B$57,"FX",$C$4:$C$57,"&lt;="&amp;W7)</x:f>
        <x:v>-9448</x:v>
      </x:c>
      <x:c r="AC7" s="254" t="n">
        <x:f>Z7+AA7+AB7</x:f>
        <x:v>34618.5775</x:v>
      </x:c>
      <x:c r="AD7" s="191"/>
      <x:c r="AE7" s="191"/>
      <x:c r="AF7" s="191"/>
      <x:c r="AG7" s="191"/>
      <x:c r="AH7" s="191"/>
      <x:c r="AI7" s="191"/>
      <x:c r="AJ7" s="191"/>
      <x:c r="AK7" s="191"/>
    </x:row>
    <x:row r="8">
      <x:c r="A8" s="198" t="str">
        <x:v>Agency_FNMA</x:v>
      </x:c>
      <x:c r="B8" s="198" t="str">
        <x:v>Credit</x:v>
      </x:c>
      <x:c r="C8" s="198" t="n">
        <x:v>5</x:v>
      </x:c>
      <x:c r="D8" s="198" t="str">
        <x:v>3Y</x:v>
      </x:c>
      <x:c r="E8" s="265" t="n">
        <x:f>'03_Curve_Base_Shocks'!J8</x:f>
        <x:v>160</x:v>
      </x:c>
      <x:c r="F8" s="201" t="n">
        <x:v>-1100</x:v>
      </x:c>
      <x:c r="G8" s="201" t="n">
        <x:v>-0.4</x:v>
      </x:c>
      <x:c r="H8" s="254" t="n">
        <x:f>F8*E8+0.5*G8*E8^2</x:f>
        <x:v>-181120</x:v>
      </x:c>
      <x:c r="I8" s="191" t="n">
        <x:v>8</x:v>
      </x:c>
      <x:c r="J8" s="191" t="str">
        <x:v>Illustrative surrogate only</x:v>
      </x:c>
      <x:c r="K8" s="191"/>
      <x:c r="L8" s="198" t="str">
        <x:v>ATM</x:v>
      </x:c>
      <x:c r="M8" s="198" t="n">
        <x:v>1</x:v>
      </x:c>
      <x:c r="N8" s="198" t="str">
        <x:v>1M</x:v>
      </x:c>
      <x:c r="O8" s="198" t="str">
        <x:v>2Y</x:v>
      </x:c>
      <x:c r="P8" s="266" t="n">
        <x:v>0.019</x:v>
      </x:c>
      <x:c r="Q8" s="201" t="n">
        <x:v>25400</x:v>
      </x:c>
      <x:c r="R8" s="267" t="n">
        <x:v>4000</x:v>
      </x:c>
      <x:c r="S8" s="254" t="n">
        <x:f>Q8*P8+0.5*R8*P8^2</x:f>
        <x:v>483.32199999999995</x:v>
      </x:c>
      <x:c r="T8" s="191" t="str">
        <x:v>IR</x:v>
      </x:c>
      <x:c r="U8" s="191" t="str">
        <x:v>Illustrative surrogate only</x:v>
      </x:c>
      <x:c r="V8" s="191"/>
      <x:c r="W8" s="191" t="n">
        <x:v>3</x:v>
      </x:c>
      <x:c r="X8" s="254" t="n">
        <x:f>SUMIFS($H$4:$H$57,$B$4:$B$57,"IR",$C$4:$C$57,"&lt;="&amp;W8)</x:f>
        <x:v>-93909.375</x:v>
      </x:c>
      <x:c r="Y8" s="254" t="n">
        <x:f>SUMIFS($S$4:$S$303,$M$4:$M$303,"&lt;="&amp;W8)</x:f>
        <x:v>27883.074999999993</x:v>
      </x:c>
      <x:c r="Z8" s="254" t="n">
        <x:f>X8+Y8</x:f>
        <x:v>-66026.3</x:v>
      </x:c>
      <x:c r="AA8" s="254" t="n">
        <x:f>SUMIFS($H$4:$H$57,$B$4:$B$57,"Credit",$C$4:$C$57,"&lt;="&amp;W8)</x:f>
        <x:v>114827.5</x:v>
      </x:c>
      <x:c r="AB8" s="254" t="n">
        <x:f>SUMIFS($H$4:$H$57,$B$4:$B$57,"FX",$C$4:$C$57,"&lt;="&amp;W8)</x:f>
        <x:v>-18379</x:v>
      </x:c>
      <x:c r="AC8" s="254" t="n">
        <x:f>Z8+AA8+AB8</x:f>
        <x:v>30422.199999999997</x:v>
      </x:c>
      <x:c r="AD8" s="191"/>
      <x:c r="AE8" s="191"/>
      <x:c r="AF8" s="191"/>
      <x:c r="AG8" s="191"/>
      <x:c r="AH8" s="191"/>
      <x:c r="AI8" s="191"/>
      <x:c r="AJ8" s="191"/>
      <x:c r="AK8" s="191"/>
    </x:row>
    <x:row r="9">
      <x:c r="A9" s="198" t="str">
        <x:v>Agency_FNMA</x:v>
      </x:c>
      <x:c r="B9" s="198" t="str">
        <x:v>Credit</x:v>
      </x:c>
      <x:c r="C9" s="198" t="n">
        <x:v>6</x:v>
      </x:c>
      <x:c r="D9" s="198" t="str">
        <x:v>5Y</x:v>
      </x:c>
      <x:c r="E9" s="265" t="n">
        <x:f>'03_Curve_Base_Shocks'!J9</x:f>
        <x:v>190</x:v>
      </x:c>
      <x:c r="F9" s="201" t="n">
        <x:v>-1250</x:v>
      </x:c>
      <x:c r="G9" s="201" t="n">
        <x:v>-0.4</x:v>
      </x:c>
      <x:c r="H9" s="254" t="n">
        <x:f>F9*E9+0.5*G9*E9^2</x:f>
        <x:v>-244720</x:v>
      </x:c>
      <x:c r="I9" s="191" t="n">
        <x:v>9</x:v>
      </x:c>
      <x:c r="J9" s="191" t="str">
        <x:v>Illustrative surrogate only</x:v>
      </x:c>
      <x:c r="K9" s="191"/>
      <x:c r="L9" s="198" t="str">
        <x:v>ATM</x:v>
      </x:c>
      <x:c r="M9" s="198" t="n">
        <x:v>1</x:v>
      </x:c>
      <x:c r="N9" s="198" t="str">
        <x:v>1M</x:v>
      </x:c>
      <x:c r="O9" s="198" t="str">
        <x:v>3Y</x:v>
      </x:c>
      <x:c r="P9" s="266" t="n">
        <x:v>0.02</x:v>
      </x:c>
      <x:c r="Q9" s="201" t="n">
        <x:v>25900</x:v>
      </x:c>
      <x:c r="R9" s="267" t="n">
        <x:v>4000</x:v>
      </x:c>
      <x:c r="S9" s="254" t="n">
        <x:f>Q9*P9+0.5*R9*P9^2</x:f>
        <x:v>518.8</x:v>
      </x:c>
      <x:c r="T9" s="191" t="str">
        <x:v>IR</x:v>
      </x:c>
      <x:c r="U9" s="191" t="str">
        <x:v>Illustrative surrogate only</x:v>
      </x:c>
      <x:c r="V9" s="191"/>
      <x:c r="W9" s="191" t="n">
        <x:v>4</x:v>
      </x:c>
      <x:c r="X9" s="254" t="n">
        <x:f>SUMIFS($H$4:$H$57,$B$4:$B$57,"IR",$C$4:$C$57,"&lt;="&amp;W9)</x:f>
        <x:v>-162466.25</x:v>
      </x:c>
      <x:c r="Y9" s="254" t="n">
        <x:f>SUMIFS($S$4:$S$303,$M$4:$M$303,"&lt;="&amp;W9)</x:f>
        <x:v>40060.225</x:v>
      </x:c>
      <x:c r="Z9" s="254" t="n">
        <x:f>X9+Y9</x:f>
        <x:v>-122406.025</x:v>
      </x:c>
      <x:c r="AA9" s="254" t="n">
        <x:f>SUMIFS($H$4:$H$57,$B$4:$B$57,"Credit",$C$4:$C$57,"&lt;="&amp;W9)</x:f>
        <x:v>142229.375</x:v>
      </x:c>
      <x:c r="AB9" s="254" t="n">
        <x:f>SUMIFS($H$4:$H$57,$B$4:$B$57,"FX",$C$4:$C$57,"&lt;="&amp;W9)</x:f>
        <x:v>-30904</x:v>
      </x:c>
      <x:c r="AC9" s="254" t="n">
        <x:f>Z9+AA9+AB9</x:f>
        <x:v>-11080.649999999994</x:v>
      </x:c>
      <x:c r="AD9" s="191"/>
      <x:c r="AE9" s="191"/>
      <x:c r="AF9" s="191"/>
      <x:c r="AG9" s="191"/>
      <x:c r="AH9" s="191"/>
      <x:c r="AI9" s="191"/>
      <x:c r="AJ9" s="191"/>
      <x:c r="AK9" s="191"/>
    </x:row>
    <x:row r="10">
      <x:c r="A10" s="198" t="str">
        <x:v>Agency_FNMA</x:v>
      </x:c>
      <x:c r="B10" s="198" t="str">
        <x:v>Credit</x:v>
      </x:c>
      <x:c r="C10" s="198" t="n">
        <x:v>7</x:v>
      </x:c>
      <x:c r="D10" s="198" t="str">
        <x:v>10Y</x:v>
      </x:c>
      <x:c r="E10" s="265" t="n">
        <x:f>'03_Curve_Base_Shocks'!J10</x:f>
        <x:v>210</x:v>
      </x:c>
      <x:c r="F10" s="201" t="n">
        <x:v>-1400</x:v>
      </x:c>
      <x:c r="G10" s="201" t="n">
        <x:v>-0.4</x:v>
      </x:c>
      <x:c r="H10" s="254" t="n">
        <x:f>F10*E10+0.5*G10*E10^2</x:f>
        <x:v>-302820</x:v>
      </x:c>
      <x:c r="I10" s="191" t="n">
        <x:v>10</x:v>
      </x:c>
      <x:c r="J10" s="191" t="str">
        <x:v>Illustrative surrogate only</x:v>
      </x:c>
      <x:c r="K10" s="191"/>
      <x:c r="L10" s="198" t="str">
        <x:v>ATM</x:v>
      </x:c>
      <x:c r="M10" s="198" t="n">
        <x:v>1</x:v>
      </x:c>
      <x:c r="N10" s="198" t="str">
        <x:v>1M</x:v>
      </x:c>
      <x:c r="O10" s="198" t="str">
        <x:v>5Y</x:v>
      </x:c>
      <x:c r="P10" s="266" t="n">
        <x:v>0.021</x:v>
      </x:c>
      <x:c r="Q10" s="201" t="n">
        <x:v>26400</x:v>
      </x:c>
      <x:c r="R10" s="267" t="n">
        <x:v>4000</x:v>
      </x:c>
      <x:c r="S10" s="254" t="n">
        <x:f>Q10*P10+0.5*R10*P10^2</x:f>
        <x:v>555.282</x:v>
      </x:c>
      <x:c r="T10" s="191" t="str">
        <x:v>IR</x:v>
      </x:c>
      <x:c r="U10" s="191" t="str">
        <x:v>Illustrative surrogate only</x:v>
      </x:c>
      <x:c r="V10" s="191"/>
      <x:c r="W10" s="191" t="n">
        <x:v>5</x:v>
      </x:c>
      <x:c r="X10" s="254" t="n">
        <x:f>SUMIFS($H$4:$H$57,$B$4:$B$57,"IR",$C$4:$C$57,"&lt;="&amp;W10)</x:f>
        <x:v>-251985.625</x:v>
      </x:c>
      <x:c r="Y10" s="254" t="n">
        <x:f>SUMIFS($S$4:$S$303,$M$4:$M$303,"&lt;="&amp;W10)</x:f>
        <x:v>53789.41249999999</x:v>
      </x:c>
      <x:c r="Z10" s="254" t="n">
        <x:f>X10+Y10</x:f>
        <x:v>-198196.21250000002</x:v>
      </x:c>
      <x:c r="AA10" s="254" t="n">
        <x:f>SUMIFS($H$4:$H$57,$B$4:$B$57,"Credit",$C$4:$C$57,"&lt;="&amp;W10)</x:f>
        <x:v>151419.375</x:v>
      </x:c>
      <x:c r="AB10" s="254" t="n">
        <x:f>SUMIFS($H$4:$H$57,$B$4:$B$57,"FX",$C$4:$C$57,"&lt;="&amp;W10)</x:f>
        <x:v>-47615</x:v>
      </x:c>
      <x:c r="AC10" s="254" t="n">
        <x:f>Z10+AA10+AB10</x:f>
        <x:v>-94391.83750000002</x:v>
      </x:c>
      <x:c r="AD10" s="191"/>
      <x:c r="AE10" s="191"/>
      <x:c r="AF10" s="191"/>
      <x:c r="AG10" s="191"/>
      <x:c r="AH10" s="191"/>
      <x:c r="AI10" s="191"/>
      <x:c r="AJ10" s="191"/>
      <x:c r="AK10" s="191"/>
    </x:row>
    <x:row r="11">
      <x:c r="A11" s="198" t="str">
        <x:v>Agency_FNMA</x:v>
      </x:c>
      <x:c r="B11" s="198" t="str">
        <x:v>Credit</x:v>
      </x:c>
      <x:c r="C11" s="198" t="n">
        <x:v>8</x:v>
      </x:c>
      <x:c r="D11" s="198" t="str">
        <x:v>20Y</x:v>
      </x:c>
      <x:c r="E11" s="265" t="n">
        <x:f>'03_Curve_Base_Shocks'!J11</x:f>
        <x:v>225</x:v>
      </x:c>
      <x:c r="F11" s="201" t="n">
        <x:v>-1550</x:v>
      </x:c>
      <x:c r="G11" s="201" t="n">
        <x:v>-0.4</x:v>
      </x:c>
      <x:c r="H11" s="254" t="n">
        <x:f>F11*E11+0.5*G11*E11^2</x:f>
        <x:v>-358875</x:v>
      </x:c>
      <x:c r="I11" s="191" t="n">
        <x:v>11</x:v>
      </x:c>
      <x:c r="J11" s="191" t="str">
        <x:v>Illustrative surrogate only</x:v>
      </x:c>
      <x:c r="K11" s="191"/>
      <x:c r="L11" s="198" t="str">
        <x:v>ATM</x:v>
      </x:c>
      <x:c r="M11" s="198" t="n">
        <x:v>1</x:v>
      </x:c>
      <x:c r="N11" s="198" t="str">
        <x:v>1M</x:v>
      </x:c>
      <x:c r="O11" s="198" t="str">
        <x:v>10Y</x:v>
      </x:c>
      <x:c r="P11" s="266" t="n">
        <x:v>0.022</x:v>
      </x:c>
      <x:c r="Q11" s="201" t="n">
        <x:v>26900</x:v>
      </x:c>
      <x:c r="R11" s="267" t="n">
        <x:v>4000</x:v>
      </x:c>
      <x:c r="S11" s="254" t="n">
        <x:f>Q11*P11+0.5*R11*P11^2</x:f>
        <x:v>592.7679999999999</x:v>
      </x:c>
      <x:c r="T11" s="191" t="str">
        <x:v>IR</x:v>
      </x:c>
      <x:c r="U11" s="191" t="str">
        <x:v>Illustrative surrogate only</x:v>
      </x:c>
      <x:c r="V11" s="191"/>
      <x:c r="W11" s="191" t="n">
        <x:v>6</x:v>
      </x:c>
      <x:c r="X11" s="254" t="n">
        <x:f>SUMIFS($H$4:$H$57,$B$4:$B$57,"IR",$C$4:$C$57,"&lt;="&amp;W11)</x:f>
        <x:v>-361875.625</x:v>
      </x:c>
      <x:c r="Y11" s="254" t="n">
        <x:f>SUMIFS($S$4:$S$303,$M$4:$M$303,"&lt;="&amp;W11)</x:f>
        <x:v>69137.02249999998</x:v>
      </x:c>
      <x:c r="Z11" s="254" t="n">
        <x:f>X11+Y11</x:f>
        <x:v>-292738.60250000004</x:v>
      </x:c>
      <x:c r="AA11" s="254" t="n">
        <x:f>SUMIFS($H$4:$H$57,$B$4:$B$57,"Credit",$C$4:$C$57,"&lt;="&amp;W11)</x:f>
        <x:v>130312.5</x:v>
      </x:c>
      <x:c r="AB11" s="254" t="n">
        <x:f>SUMIFS($H$4:$H$57,$B$4:$B$57,"FX",$C$4:$C$57,"&lt;="&amp;W11)</x:f>
        <x:v>-69104</x:v>
      </x:c>
      <x:c r="AC11" s="254" t="n">
        <x:f>Z11+AA11+AB11</x:f>
        <x:v>-231530.10250000004</x:v>
      </x:c>
      <x:c r="AD11" s="191"/>
      <x:c r="AE11" s="191"/>
      <x:c r="AF11" s="191"/>
      <x:c r="AG11" s="191"/>
      <x:c r="AH11" s="191"/>
      <x:c r="AI11" s="191"/>
      <x:c r="AJ11" s="191"/>
      <x:c r="AK11" s="191"/>
    </x:row>
    <x:row r="12">
      <x:c r="A12" s="198" t="str">
        <x:v>Agency_FNMA</x:v>
      </x:c>
      <x:c r="B12" s="198" t="str">
        <x:v>Credit</x:v>
      </x:c>
      <x:c r="C12" s="198" t="n">
        <x:v>9</x:v>
      </x:c>
      <x:c r="D12" s="198" t="str">
        <x:v>30Y</x:v>
      </x:c>
      <x:c r="E12" s="265" t="n">
        <x:f>'03_Curve_Base_Shocks'!J12</x:f>
        <x:v>235</x:v>
      </x:c>
      <x:c r="F12" s="201" t="n">
        <x:v>-1700</x:v>
      </x:c>
      <x:c r="G12" s="201" t="n">
        <x:v>-0.4</x:v>
      </x:c>
      <x:c r="H12" s="254" t="n">
        <x:f>F12*E12+0.5*G12*E12^2</x:f>
        <x:v>-410545</x:v>
      </x:c>
      <x:c r="I12" s="191" t="n">
        <x:v>12</x:v>
      </x:c>
      <x:c r="J12" s="191" t="str">
        <x:v>Illustrative surrogate only</x:v>
      </x:c>
      <x:c r="K12" s="191"/>
      <x:c r="L12" s="198" t="str">
        <x:v>ATM</x:v>
      </x:c>
      <x:c r="M12" s="198" t="n">
        <x:v>1</x:v>
      </x:c>
      <x:c r="N12" s="198" t="str">
        <x:v>1M</x:v>
      </x:c>
      <x:c r="O12" s="198" t="str">
        <x:v>20Y</x:v>
      </x:c>
      <x:c r="P12" s="266" t="n">
        <x:v>0.023</x:v>
      </x:c>
      <x:c r="Q12" s="201" t="n">
        <x:v>27400</x:v>
      </x:c>
      <x:c r="R12" s="267" t="n">
        <x:v>4000</x:v>
      </x:c>
      <x:c r="S12" s="254" t="n">
        <x:f>Q12*P12+0.5*R12*P12^2</x:f>
        <x:v>631.258</x:v>
      </x:c>
      <x:c r="T12" s="191" t="str">
        <x:v>IR</x:v>
      </x:c>
      <x:c r="U12" s="191" t="str">
        <x:v>Illustrative surrogate only</x:v>
      </x:c>
      <x:c r="V12" s="191"/>
      <x:c r="W12" s="191" t="n">
        <x:v>7</x:v>
      </x:c>
      <x:c r="X12" s="254" t="n">
        <x:f>SUMIFS($H$4:$H$57,$B$4:$B$57,"IR",$C$4:$C$57,"&lt;="&amp;W12)</x:f>
        <x:v>-484763.125</x:v>
      </x:c>
      <x:c r="Y12" s="254" t="n">
        <x:f>SUMIFS($S$4:$S$303,$M$4:$M$303,"&lt;="&amp;W12)</x:f>
        <x:v>86169.43999999999</x:v>
      </x:c>
      <x:c r="Z12" s="254" t="n">
        <x:f>X12+Y12</x:f>
        <x:v>-398593.685</x:v>
      </x:c>
      <x:c r="AA12" s="254" t="n">
        <x:f>SUMIFS($H$4:$H$57,$B$4:$B$57,"Credit",$C$4:$C$57,"&lt;="&amp;W12)</x:f>
        <x:v>75322.5</x:v>
      </x:c>
      <x:c r="AB12" s="254" t="n">
        <x:f>SUMIFS($H$4:$H$57,$B$4:$B$57,"FX",$C$4:$C$57,"&lt;="&amp;W12)</x:f>
        <x:v>-95963</x:v>
      </x:c>
      <x:c r="AC12" s="254" t="n">
        <x:f>Z12+AA12+AB12</x:f>
        <x:v>-419234.185</x:v>
      </x:c>
      <x:c r="AD12" s="191"/>
      <x:c r="AE12" s="191"/>
      <x:c r="AF12" s="191"/>
      <x:c r="AG12" s="191"/>
      <x:c r="AH12" s="191"/>
      <x:c r="AI12" s="191"/>
      <x:c r="AJ12" s="191"/>
      <x:c r="AK12" s="191"/>
    </x:row>
    <x:row r="13">
      <x:c r="A13" s="198" t="str">
        <x:v>Eur_Govt</x:v>
      </x:c>
      <x:c r="B13" s="198" t="str">
        <x:v>Credit</x:v>
      </x:c>
      <x:c r="C13" s="198" t="n">
        <x:v>1</x:v>
      </x:c>
      <x:c r="D13" s="198" t="str">
        <x:v>3M</x:v>
      </x:c>
      <x:c r="E13" s="265" t="n">
        <x:f>'03_Curve_Base_Shocks'!J13</x:f>
        <x:v>20</x:v>
      </x:c>
      <x:c r="F13" s="201" t="n">
        <x:v>300</x:v>
      </x:c>
      <x:c r="G13" s="201" t="n">
        <x:v>0.2</x:v>
      </x:c>
      <x:c r="H13" s="254" t="n">
        <x:f>F13*E13+0.5*G13*E13^2</x:f>
        <x:v>6040</x:v>
      </x:c>
      <x:c r="I13" s="191" t="n">
        <x:v>13</x:v>
      </x:c>
      <x:c r="J13" s="191" t="str">
        <x:v>Illustrative surrogate only</x:v>
      </x:c>
      <x:c r="K13" s="191"/>
      <x:c r="L13" s="198" t="str">
        <x:v>ATM</x:v>
      </x:c>
      <x:c r="M13" s="198" t="n">
        <x:v>1</x:v>
      </x:c>
      <x:c r="N13" s="198" t="str">
        <x:v>1M</x:v>
      </x:c>
      <x:c r="O13" s="198" t="str">
        <x:v>30Y</x:v>
      </x:c>
      <x:c r="P13" s="266" t="n">
        <x:v>0.024</x:v>
      </x:c>
      <x:c r="Q13" s="201" t="n">
        <x:v>27900</x:v>
      </x:c>
      <x:c r="R13" s="267" t="n">
        <x:v>4000</x:v>
      </x:c>
      <x:c r="S13" s="254" t="n">
        <x:f>Q13*P13+0.5*R13*P13^2</x:f>
        <x:v>670.7520000000001</x:v>
      </x:c>
      <x:c r="T13" s="191" t="str">
        <x:v>IR</x:v>
      </x:c>
      <x:c r="U13" s="191" t="str">
        <x:v>Illustrative surrogate only</x:v>
      </x:c>
      <x:c r="V13" s="191"/>
      <x:c r="W13" s="191" t="n">
        <x:v>8</x:v>
      </x:c>
      <x:c r="X13" s="254" t="n">
        <x:f>SUMIFS($H$4:$H$57,$B$4:$B$57,"IR",$C$4:$C$57,"&lt;="&amp;W13)</x:f>
        <x:v>-605940.625</x:v>
      </x:c>
      <x:c r="Y13" s="254" t="n">
        <x:f>SUMIFS($S$4:$S$303,$M$4:$M$303,"&lt;="&amp;W13)</x:f>
        <x:v>104953.04999999997</x:v>
      </x:c>
      <x:c r="Z13" s="254" t="n">
        <x:f>X13+Y13</x:f>
        <x:v>-500987.575</x:v>
      </x:c>
      <x:c r="AA13" s="254" t="n">
        <x:f>SUMIFS($H$4:$H$57,$B$4:$B$57,"Credit",$C$4:$C$57,"&lt;="&amp;W13)</x:f>
        <x:v>-17075.625</x:v>
      </x:c>
      <x:c r="AB13" s="254" t="n">
        <x:f>SUMIFS($H$4:$H$57,$B$4:$B$57,"FX",$C$4:$C$57,"&lt;="&amp;W13)</x:f>
        <x:v>-128081.75</x:v>
      </x:c>
      <x:c r="AC13" s="254" t="n">
        <x:f>Z13+AA13+AB13</x:f>
        <x:v>-646144.95</x:v>
      </x:c>
      <x:c r="AD13" s="191"/>
      <x:c r="AE13" s="191"/>
      <x:c r="AF13" s="191"/>
      <x:c r="AG13" s="191"/>
      <x:c r="AH13" s="191"/>
      <x:c r="AI13" s="191"/>
      <x:c r="AJ13" s="191"/>
      <x:c r="AK13" s="191"/>
    </x:row>
    <x:row r="14">
      <x:c r="A14" s="198" t="str">
        <x:v>Eur_Govt</x:v>
      </x:c>
      <x:c r="B14" s="198" t="str">
        <x:v>Credit</x:v>
      </x:c>
      <x:c r="C14" s="198" t="n">
        <x:v>2</x:v>
      </x:c>
      <x:c r="D14" s="198" t="str">
        <x:v>6M</x:v>
      </x:c>
      <x:c r="E14" s="265" t="n">
        <x:f>'03_Curve_Base_Shocks'!J14</x:f>
        <x:v>30</x:v>
      </x:c>
      <x:c r="F14" s="201" t="n">
        <x:v>381.25</x:v>
      </x:c>
      <x:c r="G14" s="201" t="n">
        <x:v>0.2</x:v>
      </x:c>
      <x:c r="H14" s="254" t="n">
        <x:f>F14*E14+0.5*G14*E14^2</x:f>
        <x:v>11527.5</x:v>
      </x:c>
      <x:c r="I14" s="191" t="n">
        <x:v>14</x:v>
      </x:c>
      <x:c r="J14" s="191" t="str">
        <x:v>Illustrative surrogate only</x:v>
      </x:c>
      <x:c r="K14" s="191"/>
      <x:c r="L14" s="198" t="str">
        <x:v>ATM</x:v>
      </x:c>
      <x:c r="M14" s="198" t="n">
        <x:v>2</x:v>
      </x:c>
      <x:c r="N14" s="198" t="str">
        <x:v>3M</x:v>
      </x:c>
      <x:c r="O14" s="198" t="str">
        <x:v>1M</x:v>
      </x:c>
      <x:c r="P14" s="266" t="n">
        <x:v>0.017</x:v>
      </x:c>
      <x:c r="Q14" s="201" t="n">
        <x:v>24300</x:v>
      </x:c>
      <x:c r="R14" s="267" t="n">
        <x:v>4000</x:v>
      </x:c>
      <x:c r="S14" s="254" t="n">
        <x:f>Q14*P14+0.5*R14*P14^2</x:f>
        <x:v>413.678</x:v>
      </x:c>
      <x:c r="T14" s="191" t="str">
        <x:v>IR</x:v>
      </x:c>
      <x:c r="U14" s="191" t="str">
        <x:v>Illustrative surrogate only</x:v>
      </x:c>
      <x:c r="V14" s="191"/>
      <x:c r="W14" s="191" t="n">
        <x:v>9</x:v>
      </x:c>
      <x:c r="X14" s="254" t="n">
        <x:f>SUMIFS($H$4:$H$57,$B$4:$B$57,"IR",$C$4:$C$57,"&lt;="&amp;W14)</x:f>
        <x:v>-720388.125</x:v>
      </x:c>
      <x:c r="Y14" s="254" t="n">
        <x:f>SUMIFS($S$4:$S$303,$M$4:$M$303,"&lt;="&amp;W14)</x:f>
        <x:v>125554.23749999999</x:v>
      </x:c>
      <x:c r="Z14" s="254" t="n">
        <x:f>X14+Y14</x:f>
        <x:v>-594833.8875</x:v>
      </x:c>
      <x:c r="AA14" s="254" t="n">
        <x:f>SUMIFS($H$4:$H$57,$B$4:$B$57,"Credit",$C$4:$C$57,"&lt;="&amp;W14)</x:f>
        <x:v>-155720</x:v>
      </x:c>
      <x:c r="AB14" s="254" t="n">
        <x:f>SUMIFS($H$4:$H$57,$B$4:$B$57,"FX",$C$4:$C$57,"&lt;="&amp;W14)</x:f>
        <x:v>-165905.75</x:v>
      </x:c>
      <x:c r="AC14" s="254" t="n">
        <x:f>Z14+AA14+AB14</x:f>
        <x:v>-916459.6375</x:v>
      </x:c>
      <x:c r="AD14" s="191"/>
      <x:c r="AE14" s="191"/>
      <x:c r="AF14" s="191"/>
      <x:c r="AG14" s="191"/>
      <x:c r="AH14" s="191"/>
      <x:c r="AI14" s="191"/>
      <x:c r="AJ14" s="191"/>
      <x:c r="AK14" s="191"/>
    </x:row>
    <x:row r="15">
      <x:c r="A15" s="198" t="str">
        <x:v>Eur_Govt</x:v>
      </x:c>
      <x:c r="B15" s="198" t="str">
        <x:v>Credit</x:v>
      </x:c>
      <x:c r="C15" s="198" t="n">
        <x:v>3</x:v>
      </x:c>
      <x:c r="D15" s="198" t="str">
        <x:v>1Y</x:v>
      </x:c>
      <x:c r="E15" s="265" t="n">
        <x:f>'03_Curve_Base_Shocks'!J15</x:f>
        <x:v>45</x:v>
      </x:c>
      <x:c r="F15" s="201" t="n">
        <x:v>462.5</x:v>
      </x:c>
      <x:c r="G15" s="201" t="n">
        <x:v>0.2</x:v>
      </x:c>
      <x:c r="H15" s="254" t="n">
        <x:f>F15*E15+0.5*G15*E15^2</x:f>
        <x:v>21015</x:v>
      </x:c>
      <x:c r="I15" s="191" t="n">
        <x:v>15</x:v>
      </x:c>
      <x:c r="J15" s="191" t="str">
        <x:v>Illustrative surrogate only</x:v>
      </x:c>
      <x:c r="K15" s="191"/>
      <x:c r="L15" s="198" t="str">
        <x:v>ATM</x:v>
      </x:c>
      <x:c r="M15" s="198" t="n">
        <x:v>2</x:v>
      </x:c>
      <x:c r="N15" s="198" t="str">
        <x:v>3M</x:v>
      </x:c>
      <x:c r="O15" s="198" t="str">
        <x:v>3M</x:v>
      </x:c>
      <x:c r="P15" s="266" t="n">
        <x:v>0.018000000000000002</x:v>
      </x:c>
      <x:c r="Q15" s="201" t="n">
        <x:v>24800</x:v>
      </x:c>
      <x:c r="R15" s="267" t="n">
        <x:v>4000</x:v>
      </x:c>
      <x:c r="S15" s="254" t="n">
        <x:f>Q15*P15+0.5*R15*P15^2</x:f>
        <x:v>447.04800000000006</x:v>
      </x:c>
      <x:c r="T15" s="191" t="str">
        <x:v>IR</x:v>
      </x:c>
      <x:c r="U15" s="191" t="str">
        <x:v>Illustrative surrogate only</x:v>
      </x:c>
      <x:c r="V15" s="191"/>
      <x:c r="W15" s="257" t="n">
        <x:v>10</x:v>
      </x:c>
      <x:c r="X15" s="258" t="n">
        <x:f>SUMIFS($H$4:$H$57,$B$4:$B$57,"IR",$C$4:$C$57,"&lt;="&amp;W15)</x:f>
        <x:v>-720388.125</x:v>
      </x:c>
      <x:c r="Y15" s="258" t="n">
        <x:f>SUMIFS($S$4:$S$303,$M$4:$M$303,"&lt;="&amp;W15)</x:f>
        <x:v>148039.38750000004</x:v>
      </x:c>
      <x:c r="Z15" s="258" t="n">
        <x:f>X15+Y15</x:f>
        <x:v>-572348.7374999999</x:v>
      </x:c>
      <x:c r="AA15" s="258" t="n">
        <x:f>SUMIFS($H$4:$H$57,$B$4:$B$57,"Credit",$C$4:$C$57,"&lt;="&amp;W15)</x:f>
        <x:v>-155720</x:v>
      </x:c>
      <x:c r="AB15" s="258" t="n">
        <x:f>SUMIFS($H$4:$H$57,$B$4:$B$57,"FX",$C$4:$C$57,"&lt;="&amp;W15)</x:f>
        <x:v>-165905.75</x:v>
      </x:c>
      <x:c r="AC15" s="258" t="n">
        <x:f>Z15+AA15+AB15</x:f>
        <x:v>-893974.4874999999</x:v>
      </x:c>
      <x:c r="AD15" s="191"/>
      <x:c r="AE15" s="191"/>
      <x:c r="AF15" s="191"/>
      <x:c r="AG15" s="191"/>
      <x:c r="AH15" s="191"/>
      <x:c r="AI15" s="191"/>
      <x:c r="AJ15" s="191"/>
      <x:c r="AK15" s="191"/>
    </x:row>
    <x:row r="16">
      <x:c r="A16" s="198" t="str">
        <x:v>Eur_Govt</x:v>
      </x:c>
      <x:c r="B16" s="198" t="str">
        <x:v>Credit</x:v>
      </x:c>
      <x:c r="C16" s="198" t="n">
        <x:v>4</x:v>
      </x:c>
      <x:c r="D16" s="198" t="str">
        <x:v>2Y</x:v>
      </x:c>
      <x:c r="E16" s="265" t="n">
        <x:f>'03_Curve_Base_Shocks'!J16</x:f>
        <x:v>60</x:v>
      </x:c>
      <x:c r="F16" s="201" t="n">
        <x:v>543.75</x:v>
      </x:c>
      <x:c r="G16" s="201" t="n">
        <x:v>0.2</x:v>
      </x:c>
      <x:c r="H16" s="254" t="n">
        <x:f>F16*E16+0.5*G16*E16^2</x:f>
        <x:v>32985</x:v>
      </x:c>
      <x:c r="I16" s="191" t="n">
        <x:v>16</x:v>
      </x:c>
      <x:c r="J16" s="191" t="str">
        <x:v>Illustrative surrogate only</x:v>
      </x:c>
      <x:c r="K16" s="191"/>
      <x:c r="L16" s="198" t="str">
        <x:v>ATM</x:v>
      </x:c>
      <x:c r="M16" s="198" t="n">
        <x:v>2</x:v>
      </x:c>
      <x:c r="N16" s="198" t="str">
        <x:v>3M</x:v>
      </x:c>
      <x:c r="O16" s="198" t="str">
        <x:v>6M</x:v>
      </x:c>
      <x:c r="P16" s="266" t="n">
        <x:v>0.019</x:v>
      </x:c>
      <x:c r="Q16" s="201" t="n">
        <x:v>25300</x:v>
      </x:c>
      <x:c r="R16" s="267" t="n">
        <x:v>4000</x:v>
      </x:c>
      <x:c r="S16" s="254" t="n">
        <x:f>Q16*P16+0.5*R16*P16^2</x:f>
        <x:v>481.42199999999997</x:v>
      </x:c>
      <x:c r="T16" s="191" t="str">
        <x:v>IR</x:v>
      </x:c>
      <x:c r="U16" s="191" t="str">
        <x:v>Illustrative surrogate only</x:v>
      </x:c>
      <x:c r="V16" s="191"/>
      <x:c r="W16" s="191"/>
      <x:c r="X16" s="191"/>
      <x:c r="Y16" s="191"/>
      <x:c r="Z16" s="191"/>
      <x:c r="AA16" s="191"/>
      <x:c r="AB16" s="191"/>
      <x:c r="AC16" s="191"/>
      <x:c r="AD16" s="191"/>
      <x:c r="AE16" s="191"/>
      <x:c r="AF16" s="191"/>
      <x:c r="AG16" s="191"/>
      <x:c r="AH16" s="191"/>
      <x:c r="AI16" s="191"/>
      <x:c r="AJ16" s="191"/>
      <x:c r="AK16" s="191"/>
    </x:row>
    <x:row r="17">
      <x:c r="A17" s="198" t="str">
        <x:v>Eur_Govt</x:v>
      </x:c>
      <x:c r="B17" s="198" t="str">
        <x:v>Credit</x:v>
      </x:c>
      <x:c r="C17" s="198" t="n">
        <x:v>5</x:v>
      </x:c>
      <x:c r="D17" s="198" t="str">
        <x:v>3Y</x:v>
      </x:c>
      <x:c r="E17" s="265" t="n">
        <x:f>'03_Curve_Base_Shocks'!J17</x:f>
        <x:v>70</x:v>
      </x:c>
      <x:c r="F17" s="201" t="n">
        <x:v>625</x:v>
      </x:c>
      <x:c r="G17" s="201" t="n">
        <x:v>0.2</x:v>
      </x:c>
      <x:c r="H17" s="254" t="n">
        <x:f>F17*E17+0.5*G17*E17^2</x:f>
        <x:v>44240</x:v>
      </x:c>
      <x:c r="I17" s="191" t="n">
        <x:v>17</x:v>
      </x:c>
      <x:c r="J17" s="191" t="str">
        <x:v>Illustrative surrogate only</x:v>
      </x:c>
      <x:c r="K17" s="191"/>
      <x:c r="L17" s="198" t="str">
        <x:v>ATM</x:v>
      </x:c>
      <x:c r="M17" s="198" t="n">
        <x:v>2</x:v>
      </x:c>
      <x:c r="N17" s="198" t="str">
        <x:v>3M</x:v>
      </x:c>
      <x:c r="O17" s="198" t="str">
        <x:v>1Y</x:v>
      </x:c>
      <x:c r="P17" s="266" t="n">
        <x:v>0.02</x:v>
      </x:c>
      <x:c r="Q17" s="201" t="n">
        <x:v>25800</x:v>
      </x:c>
      <x:c r="R17" s="267" t="n">
        <x:v>4000</x:v>
      </x:c>
      <x:c r="S17" s="254" t="n">
        <x:f>Q17*P17+0.5*R17*P17^2</x:f>
        <x:v>516.8</x:v>
      </x:c>
      <x:c r="T17" s="191" t="str">
        <x:v>IR</x:v>
      </x:c>
      <x:c r="U17" s="191" t="str">
        <x:v>Illustrative surrogate only</x:v>
      </x:c>
      <x:c r="V17" s="191"/>
      <x:c r="W17" s="191"/>
      <x:c r="X17" s="191"/>
      <x:c r="Y17" s="191"/>
      <x:c r="Z17" s="191"/>
      <x:c r="AA17" s="191"/>
      <x:c r="AB17" s="191"/>
      <x:c r="AC17" s="191"/>
      <x:c r="AD17" s="191"/>
      <x:c r="AE17" s="191"/>
      <x:c r="AF17" s="191"/>
      <x:c r="AG17" s="191"/>
      <x:c r="AH17" s="191"/>
      <x:c r="AI17" s="191"/>
      <x:c r="AJ17" s="191"/>
      <x:c r="AK17" s="191"/>
    </x:row>
    <x:row r="18">
      <x:c r="A18" s="198" t="str">
        <x:v>Eur_Govt</x:v>
      </x:c>
      <x:c r="B18" s="198" t="str">
        <x:v>Credit</x:v>
      </x:c>
      <x:c r="C18" s="198" t="n">
        <x:v>6</x:v>
      </x:c>
      <x:c r="D18" s="198" t="str">
        <x:v>5Y</x:v>
      </x:c>
      <x:c r="E18" s="265" t="n">
        <x:f>'03_Curve_Base_Shocks'!J18</x:f>
        <x:v>85</x:v>
      </x:c>
      <x:c r="F18" s="201" t="n">
        <x:v>706.25</x:v>
      </x:c>
      <x:c r="G18" s="201" t="n">
        <x:v>0.2</x:v>
      </x:c>
      <x:c r="H18" s="254" t="n">
        <x:f>F18*E18+0.5*G18*E18^2</x:f>
        <x:v>60753.75</x:v>
      </x:c>
      <x:c r="I18" s="191" t="n">
        <x:v>18</x:v>
      </x:c>
      <x:c r="J18" s="191" t="str">
        <x:v>Illustrative surrogate only</x:v>
      </x:c>
      <x:c r="K18" s="191"/>
      <x:c r="L18" s="198" t="str">
        <x:v>ATM</x:v>
      </x:c>
      <x:c r="M18" s="198" t="n">
        <x:v>2</x:v>
      </x:c>
      <x:c r="N18" s="198" t="str">
        <x:v>3M</x:v>
      </x:c>
      <x:c r="O18" s="198" t="str">
        <x:v>2Y</x:v>
      </x:c>
      <x:c r="P18" s="266" t="n">
        <x:v>0.021</x:v>
      </x:c>
      <x:c r="Q18" s="201" t="n">
        <x:v>26300</x:v>
      </x:c>
      <x:c r="R18" s="267" t="n">
        <x:v>4000</x:v>
      </x:c>
      <x:c r="S18" s="254" t="n">
        <x:f>Q18*P18+0.5*R18*P18^2</x:f>
        <x:v>553.182</x:v>
      </x:c>
      <x:c r="T18" s="191" t="str">
        <x:v>IR</x:v>
      </x:c>
      <x:c r="U18" s="191" t="str">
        <x:v>Illustrative surrogate only</x:v>
      </x:c>
      <x:c r="V18" s="191"/>
      <x:c r="W18" s="191"/>
      <x:c r="X18" s="191"/>
      <x:c r="Y18" s="191"/>
      <x:c r="Z18" s="191"/>
      <x:c r="AA18" s="191"/>
      <x:c r="AB18" s="191"/>
      <x:c r="AC18" s="191"/>
      <x:c r="AD18" s="191"/>
      <x:c r="AE18" s="191"/>
      <x:c r="AF18" s="191"/>
      <x:c r="AG18" s="191"/>
      <x:c r="AH18" s="191"/>
      <x:c r="AI18" s="191"/>
      <x:c r="AJ18" s="191"/>
      <x:c r="AK18" s="191"/>
    </x:row>
    <x:row r="19">
      <x:c r="A19" s="198" t="str">
        <x:v>Eur_Govt</x:v>
      </x:c>
      <x:c r="B19" s="198" t="str">
        <x:v>Credit</x:v>
      </x:c>
      <x:c r="C19" s="198" t="n">
        <x:v>7</x:v>
      </x:c>
      <x:c r="D19" s="198" t="str">
        <x:v>10Y</x:v>
      </x:c>
      <x:c r="E19" s="265" t="n">
        <x:f>'03_Curve_Base_Shocks'!J19</x:f>
        <x:v>100</x:v>
      </x:c>
      <x:c r="F19" s="201" t="n">
        <x:v>787.5</x:v>
      </x:c>
      <x:c r="G19" s="201" t="n">
        <x:v>0.2</x:v>
      </x:c>
      <x:c r="H19" s="254" t="n">
        <x:f>F19*E19+0.5*G19*E19^2</x:f>
        <x:v>79750</x:v>
      </x:c>
      <x:c r="I19" s="191" t="n">
        <x:v>19</x:v>
      </x:c>
      <x:c r="J19" s="191" t="str">
        <x:v>Illustrative surrogate only</x:v>
      </x:c>
      <x:c r="K19" s="191"/>
      <x:c r="L19" s="198" t="str">
        <x:v>ATM</x:v>
      </x:c>
      <x:c r="M19" s="198" t="n">
        <x:v>2</x:v>
      </x:c>
      <x:c r="N19" s="198" t="str">
        <x:v>3M</x:v>
      </x:c>
      <x:c r="O19" s="198" t="str">
        <x:v>3Y</x:v>
      </x:c>
      <x:c r="P19" s="266" t="n">
        <x:v>0.022</x:v>
      </x:c>
      <x:c r="Q19" s="201" t="n">
        <x:v>26800</x:v>
      </x:c>
      <x:c r="R19" s="267" t="n">
        <x:v>4000</x:v>
      </x:c>
      <x:c r="S19" s="254" t="n">
        <x:f>Q19*P19+0.5*R19*P19^2</x:f>
        <x:v>590.5679999999999</x:v>
      </x:c>
      <x:c r="T19" s="191" t="str">
        <x:v>IR</x:v>
      </x:c>
      <x:c r="U19" s="191" t="str">
        <x:v>Illustrative surrogate only</x:v>
      </x:c>
      <x:c r="V19" s="191"/>
      <x:c r="W19" s="191"/>
      <x:c r="X19" s="191"/>
      <x:c r="Y19" s="191"/>
      <x:c r="Z19" s="191"/>
      <x:c r="AA19" s="191"/>
      <x:c r="AB19" s="191"/>
      <x:c r="AC19" s="191"/>
      <x:c r="AD19" s="191"/>
      <x:c r="AE19" s="191"/>
      <x:c r="AF19" s="191"/>
      <x:c r="AG19" s="191"/>
      <x:c r="AH19" s="191"/>
      <x:c r="AI19" s="191"/>
      <x:c r="AJ19" s="191"/>
      <x:c r="AK19" s="191"/>
    </x:row>
    <x:row r="20">
      <x:c r="A20" s="198" t="str">
        <x:v>Eur_Govt</x:v>
      </x:c>
      <x:c r="B20" s="198" t="str">
        <x:v>Credit</x:v>
      </x:c>
      <x:c r="C20" s="198" t="n">
        <x:v>8</x:v>
      </x:c>
      <x:c r="D20" s="198" t="str">
        <x:v>20Y</x:v>
      </x:c>
      <x:c r="E20" s="265" t="n">
        <x:f>'03_Curve_Base_Shocks'!J20</x:f>
        <x:v>110</x:v>
      </x:c>
      <x:c r="F20" s="201" t="n">
        <x:v>868.75</x:v>
      </x:c>
      <x:c r="G20" s="201" t="n">
        <x:v>0.2</x:v>
      </x:c>
      <x:c r="H20" s="254" t="n">
        <x:f>F20*E20+0.5*G20*E20^2</x:f>
        <x:v>96772.5</x:v>
      </x:c>
      <x:c r="I20" s="191" t="n">
        <x:v>20</x:v>
      </x:c>
      <x:c r="J20" s="191" t="str">
        <x:v>Illustrative surrogate only</x:v>
      </x:c>
      <x:c r="K20" s="191"/>
      <x:c r="L20" s="198" t="str">
        <x:v>ATM</x:v>
      </x:c>
      <x:c r="M20" s="198" t="n">
        <x:v>2</x:v>
      </x:c>
      <x:c r="N20" s="198" t="str">
        <x:v>3M</x:v>
      </x:c>
      <x:c r="O20" s="198" t="str">
        <x:v>5Y</x:v>
      </x:c>
      <x:c r="P20" s="266" t="n">
        <x:v>0.023</x:v>
      </x:c>
      <x:c r="Q20" s="201" t="n">
        <x:v>27300</x:v>
      </x:c>
      <x:c r="R20" s="267" t="n">
        <x:v>4000</x:v>
      </x:c>
      <x:c r="S20" s="254" t="n">
        <x:f>Q20*P20+0.5*R20*P20^2</x:f>
        <x:v>628.958</x:v>
      </x:c>
      <x:c r="T20" s="191" t="str">
        <x:v>IR</x:v>
      </x:c>
      <x:c r="U20" s="191" t="str">
        <x:v>Illustrative surrogate only</x:v>
      </x:c>
      <x:c r="V20" s="191"/>
      <x:c r="W20" s="191"/>
      <x:c r="X20" s="191"/>
      <x:c r="Y20" s="191"/>
      <x:c r="Z20" s="191"/>
      <x:c r="AA20" s="191"/>
      <x:c r="AB20" s="191"/>
      <x:c r="AC20" s="191"/>
      <x:c r="AD20" s="191"/>
      <x:c r="AE20" s="191"/>
      <x:c r="AF20" s="191"/>
      <x:c r="AG20" s="191"/>
      <x:c r="AH20" s="191"/>
      <x:c r="AI20" s="191"/>
      <x:c r="AJ20" s="191"/>
      <x:c r="AK20" s="191"/>
    </x:row>
    <x:row r="21">
      <x:c r="A21" s="198" t="str">
        <x:v>Eur_Govt</x:v>
      </x:c>
      <x:c r="B21" s="198" t="str">
        <x:v>Credit</x:v>
      </x:c>
      <x:c r="C21" s="198" t="n">
        <x:v>9</x:v>
      </x:c>
      <x:c r="D21" s="198" t="str">
        <x:v>30Y</x:v>
      </x:c>
      <x:c r="E21" s="265" t="n">
        <x:f>'03_Curve_Base_Shocks'!J21</x:f>
        <x:v>115</x:v>
      </x:c>
      <x:c r="F21" s="201" t="n">
        <x:v>950</x:v>
      </x:c>
      <x:c r="G21" s="201" t="n">
        <x:v>0.2</x:v>
      </x:c>
      <x:c r="H21" s="254" t="n">
        <x:f>F21*E21+0.5*G21*E21^2</x:f>
        <x:v>110572.5</x:v>
      </x:c>
      <x:c r="I21" s="191" t="n">
        <x:v>21</x:v>
      </x:c>
      <x:c r="J21" s="191" t="str">
        <x:v>Illustrative surrogate only</x:v>
      </x:c>
      <x:c r="K21" s="191"/>
      <x:c r="L21" s="198" t="str">
        <x:v>ATM</x:v>
      </x:c>
      <x:c r="M21" s="198" t="n">
        <x:v>2</x:v>
      </x:c>
      <x:c r="N21" s="198" t="str">
        <x:v>3M</x:v>
      </x:c>
      <x:c r="O21" s="198" t="str">
        <x:v>10Y</x:v>
      </x:c>
      <x:c r="P21" s="266" t="n">
        <x:v>0.024</x:v>
      </x:c>
      <x:c r="Q21" s="201" t="n">
        <x:v>27800</x:v>
      </x:c>
      <x:c r="R21" s="267" t="n">
        <x:v>4000</x:v>
      </x:c>
      <x:c r="S21" s="254" t="n">
        <x:f>Q21*P21+0.5*R21*P21^2</x:f>
        <x:v>668.3520000000001</x:v>
      </x:c>
      <x:c r="T21" s="191" t="str">
        <x:v>IR</x:v>
      </x:c>
      <x:c r="U21" s="191" t="str">
        <x:v>Illustrative surrogate only</x:v>
      </x:c>
      <x:c r="V21" s="191"/>
      <x:c r="W21" s="191"/>
      <x:c r="X21" s="191"/>
      <x:c r="Y21" s="191"/>
      <x:c r="Z21" s="191"/>
      <x:c r="AA21" s="191"/>
      <x:c r="AB21" s="191"/>
      <x:c r="AC21" s="191"/>
      <x:c r="AD21" s="191"/>
      <x:c r="AE21" s="191"/>
      <x:c r="AF21" s="191"/>
      <x:c r="AG21" s="191"/>
      <x:c r="AH21" s="191"/>
      <x:c r="AI21" s="191"/>
      <x:c r="AJ21" s="191"/>
      <x:c r="AK21" s="191"/>
    </x:row>
    <x:row r="22">
      <x:c r="A22" s="198" t="str">
        <x:v>SOFR</x:v>
      </x:c>
      <x:c r="B22" s="198" t="str">
        <x:v>IR</x:v>
      </x:c>
      <x:c r="C22" s="198" t="n">
        <x:v>1</x:v>
      </x:c>
      <x:c r="D22" s="198" t="str">
        <x:v>3M</x:v>
      </x:c>
      <x:c r="E22" s="265" t="n">
        <x:f>'03_Curve_Base_Shocks'!J22</x:f>
        <x:v>-120</x:v>
      </x:c>
      <x:c r="F22" s="201" t="n">
        <x:v>400</x:v>
      </x:c>
      <x:c r="G22" s="201" t="n">
        <x:v>0.25</x:v>
      </x:c>
      <x:c r="H22" s="254" t="n">
        <x:f>F22*E22+0.5*G22*E22^2</x:f>
        <x:v>-46200</x:v>
      </x:c>
      <x:c r="I22" s="191" t="n">
        <x:v>22</x:v>
      </x:c>
      <x:c r="J22" s="191" t="str">
        <x:v>Illustrative surrogate only</x:v>
      </x:c>
      <x:c r="K22" s="191"/>
      <x:c r="L22" s="198" t="str">
        <x:v>ATM</x:v>
      </x:c>
      <x:c r="M22" s="198" t="n">
        <x:v>2</x:v>
      </x:c>
      <x:c r="N22" s="198" t="str">
        <x:v>3M</x:v>
      </x:c>
      <x:c r="O22" s="198" t="str">
        <x:v>20Y</x:v>
      </x:c>
      <x:c r="P22" s="266" t="n">
        <x:v>0.025</x:v>
      </x:c>
      <x:c r="Q22" s="201" t="n">
        <x:v>28300</x:v>
      </x:c>
      <x:c r="R22" s="267" t="n">
        <x:v>4000</x:v>
      </x:c>
      <x:c r="S22" s="254" t="n">
        <x:f>Q22*P22+0.5*R22*P22^2</x:f>
        <x:v>708.75</x:v>
      </x:c>
      <x:c r="T22" s="191" t="str">
        <x:v>IR</x:v>
      </x:c>
      <x:c r="U22" s="191" t="str">
        <x:v>Illustrative surrogate only</x:v>
      </x:c>
      <x:c r="V22" s="191"/>
      <x:c r="W22" s="191"/>
      <x:c r="X22" s="191"/>
      <x:c r="Y22" s="191"/>
      <x:c r="Z22" s="191"/>
      <x:c r="AA22" s="191"/>
      <x:c r="AB22" s="191"/>
      <x:c r="AC22" s="191"/>
      <x:c r="AD22" s="191"/>
      <x:c r="AE22" s="191"/>
      <x:c r="AF22" s="191"/>
      <x:c r="AG22" s="191"/>
      <x:c r="AH22" s="191"/>
      <x:c r="AI22" s="191"/>
      <x:c r="AJ22" s="191"/>
      <x:c r="AK22" s="191"/>
    </x:row>
    <x:row r="23">
      <x:c r="A23" s="198" t="str">
        <x:v>SOFR</x:v>
      </x:c>
      <x:c r="B23" s="198" t="str">
        <x:v>IR</x:v>
      </x:c>
      <x:c r="C23" s="198" t="n">
        <x:v>2</x:v>
      </x:c>
      <x:c r="D23" s="198" t="str">
        <x:v>6M</x:v>
      </x:c>
      <x:c r="E23" s="265" t="n">
        <x:f>'03_Curve_Base_Shocks'!J23</x:f>
        <x:v>-135</x:v>
      </x:c>
      <x:c r="F23" s="201" t="n">
        <x:v>625</x:v>
      </x:c>
      <x:c r="G23" s="201" t="n">
        <x:v>0.25</x:v>
      </x:c>
      <x:c r="H23" s="254" t="n">
        <x:f>F23*E23+0.5*G23*E23^2</x:f>
        <x:v>-82096.875</x:v>
      </x:c>
      <x:c r="I23" s="191" t="n">
        <x:v>23</x:v>
      </x:c>
      <x:c r="J23" s="191" t="str">
        <x:v>Illustrative surrogate only</x:v>
      </x:c>
      <x:c r="K23" s="191"/>
      <x:c r="L23" s="198" t="str">
        <x:v>ATM</x:v>
      </x:c>
      <x:c r="M23" s="198" t="n">
        <x:v>2</x:v>
      </x:c>
      <x:c r="N23" s="198" t="str">
        <x:v>3M</x:v>
      </x:c>
      <x:c r="O23" s="198" t="str">
        <x:v>30Y</x:v>
      </x:c>
      <x:c r="P23" s="266" t="n">
        <x:v>0.026000000000000002</x:v>
      </x:c>
      <x:c r="Q23" s="201" t="n">
        <x:v>28800</x:v>
      </x:c>
      <x:c r="R23" s="267" t="n">
        <x:v>4000</x:v>
      </x:c>
      <x:c r="S23" s="254" t="n">
        <x:f>Q23*P23+0.5*R23*P23^2</x:f>
        <x:v>750.152</x:v>
      </x:c>
      <x:c r="T23" s="191" t="str">
        <x:v>IR</x:v>
      </x:c>
      <x:c r="U23" s="191" t="str">
        <x:v>Illustrative surrogate only</x:v>
      </x:c>
      <x:c r="V23" s="191"/>
      <x:c r="W23" s="191"/>
      <x:c r="X23" s="191"/>
      <x:c r="Y23" s="191"/>
      <x:c r="Z23" s="191"/>
      <x:c r="AA23" s="191"/>
      <x:c r="AB23" s="191"/>
      <x:c r="AC23" s="191"/>
      <x:c r="AD23" s="191"/>
      <x:c r="AE23" s="191"/>
      <x:c r="AF23" s="191"/>
      <x:c r="AG23" s="191"/>
      <x:c r="AH23" s="191"/>
      <x:c r="AI23" s="191"/>
      <x:c r="AJ23" s="191"/>
      <x:c r="AK23" s="191"/>
    </x:row>
    <x:row r="24">
      <x:c r="A24" s="198" t="str">
        <x:v>SOFR</x:v>
      </x:c>
      <x:c r="B24" s="198" t="str">
        <x:v>IR</x:v>
      </x:c>
      <x:c r="C24" s="198" t="n">
        <x:v>3</x:v>
      </x:c>
      <x:c r="D24" s="198" t="str">
        <x:v>1Y</x:v>
      </x:c>
      <x:c r="E24" s="265" t="n">
        <x:f>'03_Curve_Base_Shocks'!J24</x:f>
        <x:v>-150</x:v>
      </x:c>
      <x:c r="F24" s="201" t="n">
        <x:v>850</x:v>
      </x:c>
      <x:c r="G24" s="201" t="n">
        <x:v>0.25</x:v>
      </x:c>
      <x:c r="H24" s="254" t="n">
        <x:f>F24*E24+0.5*G24*E24^2</x:f>
        <x:v>-124687.5</x:v>
      </x:c>
      <x:c r="I24" s="191" t="n">
        <x:v>24</x:v>
      </x:c>
      <x:c r="J24" s="191" t="str">
        <x:v>Illustrative surrogate only</x:v>
      </x:c>
      <x:c r="K24" s="191"/>
      <x:c r="L24" s="198" t="str">
        <x:v>ATM</x:v>
      </x:c>
      <x:c r="M24" s="198" t="n">
        <x:v>3</x:v>
      </x:c>
      <x:c r="N24" s="198" t="str">
        <x:v>6M</x:v>
      </x:c>
      <x:c r="O24" s="198" t="str">
        <x:v>1M</x:v>
      </x:c>
      <x:c r="P24" s="266" t="n">
        <x:v>0.019000000000000003</x:v>
      </x:c>
      <x:c r="Q24" s="201" t="n">
        <x:v>25200</x:v>
      </x:c>
      <x:c r="R24" s="267" t="n">
        <x:v>4000</x:v>
      </x:c>
      <x:c r="S24" s="254" t="n">
        <x:f>Q24*P24+0.5*R24*P24^2</x:f>
        <x:v>479.52200000000005</x:v>
      </x:c>
      <x:c r="T24" s="191" t="str">
        <x:v>IR</x:v>
      </x:c>
      <x:c r="U24" s="191" t="str">
        <x:v>Illustrative surrogate only</x:v>
      </x:c>
      <x:c r="V24" s="191"/>
      <x:c r="W24" s="191"/>
      <x:c r="X24" s="191"/>
      <x:c r="Y24" s="191"/>
      <x:c r="Z24" s="191"/>
      <x:c r="AA24" s="191"/>
      <x:c r="AB24" s="191"/>
      <x:c r="AC24" s="191"/>
      <x:c r="AD24" s="191"/>
      <x:c r="AE24" s="191"/>
      <x:c r="AF24" s="191"/>
      <x:c r="AG24" s="191"/>
      <x:c r="AH24" s="191"/>
      <x:c r="AI24" s="191"/>
      <x:c r="AJ24" s="191"/>
      <x:c r="AK24" s="191"/>
    </x:row>
    <x:row r="25">
      <x:c r="A25" s="198" t="str">
        <x:v>SOFR</x:v>
      </x:c>
      <x:c r="B25" s="198" t="str">
        <x:v>IR</x:v>
      </x:c>
      <x:c r="C25" s="198" t="n">
        <x:v>4</x:v>
      </x:c>
      <x:c r="D25" s="198" t="str">
        <x:v>2Y</x:v>
      </x:c>
      <x:c r="E25" s="265" t="n">
        <x:f>'03_Curve_Base_Shocks'!J25</x:f>
        <x:v>-165</x:v>
      </x:c>
      <x:c r="F25" s="201" t="n">
        <x:v>1075</x:v>
      </x:c>
      <x:c r="G25" s="201" t="n">
        <x:v>0.25</x:v>
      </x:c>
      <x:c r="H25" s="254" t="n">
        <x:f>F25*E25+0.5*G25*E25^2</x:f>
        <x:v>-173971.875</x:v>
      </x:c>
      <x:c r="I25" s="191" t="n">
        <x:v>25</x:v>
      </x:c>
      <x:c r="J25" s="191" t="str">
        <x:v>Illustrative surrogate only</x:v>
      </x:c>
      <x:c r="K25" s="191"/>
      <x:c r="L25" s="198" t="str">
        <x:v>ATM</x:v>
      </x:c>
      <x:c r="M25" s="198" t="n">
        <x:v>3</x:v>
      </x:c>
      <x:c r="N25" s="198" t="str">
        <x:v>6M</x:v>
      </x:c>
      <x:c r="O25" s="198" t="str">
        <x:v>3M</x:v>
      </x:c>
      <x:c r="P25" s="266" t="n">
        <x:v>0.020000000000000004</x:v>
      </x:c>
      <x:c r="Q25" s="201" t="n">
        <x:v>25700</x:v>
      </x:c>
      <x:c r="R25" s="267" t="n">
        <x:v>4000</x:v>
      </x:c>
      <x:c r="S25" s="254" t="n">
        <x:f>Q25*P25+0.5*R25*P25^2</x:f>
        <x:v>514.8000000000001</x:v>
      </x:c>
      <x:c r="T25" s="191" t="str">
        <x:v>IR</x:v>
      </x:c>
      <x:c r="U25" s="191" t="str">
        <x:v>Illustrative surrogate only</x:v>
      </x:c>
      <x:c r="V25" s="191"/>
      <x:c r="W25" s="191"/>
      <x:c r="X25" s="191"/>
      <x:c r="Y25" s="191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</x:row>
    <x:row r="26">
      <x:c r="A26" s="198" t="str">
        <x:v>SOFR</x:v>
      </x:c>
      <x:c r="B26" s="198" t="str">
        <x:v>IR</x:v>
      </x:c>
      <x:c r="C26" s="198" t="n">
        <x:v>5</x:v>
      </x:c>
      <x:c r="D26" s="198" t="str">
        <x:v>3Y</x:v>
      </x:c>
      <x:c r="E26" s="265" t="n">
        <x:f>'03_Curve_Base_Shocks'!J26</x:f>
        <x:v>-175</x:v>
      </x:c>
      <x:c r="F26" s="201" t="n">
        <x:v>1300</x:v>
      </x:c>
      <x:c r="G26" s="201" t="n">
        <x:v>0.25</x:v>
      </x:c>
      <x:c r="H26" s="254" t="n">
        <x:f>F26*E26+0.5*G26*E26^2</x:f>
        <x:v>-223671.875</x:v>
      </x:c>
      <x:c r="I26" s="191" t="n">
        <x:v>26</x:v>
      </x:c>
      <x:c r="J26" s="191" t="str">
        <x:v>Illustrative surrogate only</x:v>
      </x:c>
      <x:c r="K26" s="191"/>
      <x:c r="L26" s="198" t="str">
        <x:v>ATM</x:v>
      </x:c>
      <x:c r="M26" s="198" t="n">
        <x:v>3</x:v>
      </x:c>
      <x:c r="N26" s="198" t="str">
        <x:v>6M</x:v>
      </x:c>
      <x:c r="O26" s="198" t="str">
        <x:v>6M</x:v>
      </x:c>
      <x:c r="P26" s="266" t="n">
        <x:v>0.021</x:v>
      </x:c>
      <x:c r="Q26" s="201" t="n">
        <x:v>26200</x:v>
      </x:c>
      <x:c r="R26" s="267" t="n">
        <x:v>4000</x:v>
      </x:c>
      <x:c r="S26" s="254" t="n">
        <x:f>Q26*P26+0.5*R26*P26^2</x:f>
        <x:v>551.082</x:v>
      </x:c>
      <x:c r="T26" s="191" t="str">
        <x:v>IR</x:v>
      </x:c>
      <x:c r="U26" s="191" t="str">
        <x:v>Illustrative surrogate only</x:v>
      </x:c>
      <x:c r="V26" s="191"/>
      <x:c r="W26" s="191"/>
      <x:c r="X26" s="191"/>
      <x:c r="Y26" s="191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</x:row>
    <x:row r="27">
      <x:c r="A27" s="198" t="str">
        <x:v>SOFR</x:v>
      </x:c>
      <x:c r="B27" s="198" t="str">
        <x:v>IR</x:v>
      </x:c>
      <x:c r="C27" s="198" t="n">
        <x:v>6</x:v>
      </x:c>
      <x:c r="D27" s="198" t="str">
        <x:v>5Y</x:v>
      </x:c>
      <x:c r="E27" s="265" t="n">
        <x:f>'03_Curve_Base_Shocks'!J27</x:f>
        <x:v>-180</x:v>
      </x:c>
      <x:c r="F27" s="201" t="n">
        <x:v>1525</x:v>
      </x:c>
      <x:c r="G27" s="201" t="n">
        <x:v>0.25</x:v>
      </x:c>
      <x:c r="H27" s="254" t="n">
        <x:f>F27*E27+0.5*G27*E27^2</x:f>
        <x:v>-270450</x:v>
      </x:c>
      <x:c r="I27" s="191" t="n">
        <x:v>27</x:v>
      </x:c>
      <x:c r="J27" s="191" t="str">
        <x:v>Illustrative surrogate only</x:v>
      </x:c>
      <x:c r="K27" s="191"/>
      <x:c r="L27" s="198" t="str">
        <x:v>ATM</x:v>
      </x:c>
      <x:c r="M27" s="198" t="n">
        <x:v>3</x:v>
      </x:c>
      <x:c r="N27" s="198" t="str">
        <x:v>6M</x:v>
      </x:c>
      <x:c r="O27" s="198" t="str">
        <x:v>1Y</x:v>
      </x:c>
      <x:c r="P27" s="266" t="n">
        <x:v>0.022000000000000002</x:v>
      </x:c>
      <x:c r="Q27" s="201" t="n">
        <x:v>26700</x:v>
      </x:c>
      <x:c r="R27" s="267" t="n">
        <x:v>4000</x:v>
      </x:c>
      <x:c r="S27" s="254" t="n">
        <x:f>Q27*P27+0.5*R27*P27^2</x:f>
        <x:v>588.368</x:v>
      </x:c>
      <x:c r="T27" s="191" t="str">
        <x:v>IR</x:v>
      </x:c>
      <x:c r="U27" s="191" t="str">
        <x:v>Illustrative surrogate only</x:v>
      </x:c>
      <x:c r="V27" s="191"/>
      <x:c r="W27" s="191"/>
      <x:c r="X27" s="191"/>
      <x:c r="Y27" s="191"/>
      <x:c r="Z27" s="191"/>
      <x:c r="AA27" s="191"/>
      <x:c r="AB27" s="191"/>
      <x:c r="AC27" s="191"/>
      <x:c r="AD27" s="191"/>
      <x:c r="AE27" s="191"/>
      <x:c r="AF27" s="191"/>
      <x:c r="AG27" s="191"/>
      <x:c r="AH27" s="191"/>
      <x:c r="AI27" s="191"/>
      <x:c r="AJ27" s="191"/>
      <x:c r="AK27" s="191"/>
    </x:row>
    <x:row r="28">
      <x:c r="A28" s="198" t="str">
        <x:v>SOFR</x:v>
      </x:c>
      <x:c r="B28" s="198" t="str">
        <x:v>IR</x:v>
      </x:c>
      <x:c r="C28" s="198" t="n">
        <x:v>7</x:v>
      </x:c>
      <x:c r="D28" s="198" t="str">
        <x:v>10Y</x:v>
      </x:c>
      <x:c r="E28" s="265" t="n">
        <x:f>'03_Curve_Base_Shocks'!J28</x:f>
        <x:v>-170</x:v>
      </x:c>
      <x:c r="F28" s="201" t="n">
        <x:v>1750</x:v>
      </x:c>
      <x:c r="G28" s="201" t="n">
        <x:v>0.25</x:v>
      </x:c>
      <x:c r="H28" s="254" t="n">
        <x:f>F28*E28+0.5*G28*E28^2</x:f>
        <x:v>-293887.5</x:v>
      </x:c>
      <x:c r="I28" s="191" t="n">
        <x:v>28</x:v>
      </x:c>
      <x:c r="J28" s="191" t="str">
        <x:v>Illustrative surrogate only</x:v>
      </x:c>
      <x:c r="K28" s="191"/>
      <x:c r="L28" s="198" t="str">
        <x:v>ATM</x:v>
      </x:c>
      <x:c r="M28" s="198" t="n">
        <x:v>3</x:v>
      </x:c>
      <x:c r="N28" s="198" t="str">
        <x:v>6M</x:v>
      </x:c>
      <x:c r="O28" s="198" t="str">
        <x:v>2Y</x:v>
      </x:c>
      <x:c r="P28" s="266" t="n">
        <x:v>0.023000000000000003</x:v>
      </x:c>
      <x:c r="Q28" s="201" t="n">
        <x:v>27200</x:v>
      </x:c>
      <x:c r="R28" s="267" t="n">
        <x:v>4000</x:v>
      </x:c>
      <x:c r="S28" s="254" t="n">
        <x:f>Q28*P28+0.5*R28*P28^2</x:f>
        <x:v>626.6580000000001</x:v>
      </x:c>
      <x:c r="T28" s="191" t="str">
        <x:v>IR</x:v>
      </x:c>
      <x:c r="U28" s="191" t="str">
        <x:v>Illustrative surrogate only</x:v>
      </x:c>
      <x:c r="V28" s="191"/>
      <x:c r="W28" s="191"/>
      <x:c r="X28" s="191"/>
      <x:c r="Y28" s="191"/>
      <x:c r="Z28" s="191"/>
      <x:c r="AA28" s="191"/>
      <x:c r="AB28" s="191"/>
      <x:c r="AC28" s="191"/>
      <x:c r="AD28" s="191"/>
      <x:c r="AE28" s="191"/>
      <x:c r="AF28" s="191"/>
      <x:c r="AG28" s="191"/>
      <x:c r="AH28" s="191"/>
      <x:c r="AI28" s="191"/>
      <x:c r="AJ28" s="191"/>
      <x:c r="AK28" s="191"/>
    </x:row>
    <x:row r="29">
      <x:c r="A29" s="198" t="str">
        <x:v>SOFR</x:v>
      </x:c>
      <x:c r="B29" s="198" t="str">
        <x:v>IR</x:v>
      </x:c>
      <x:c r="C29" s="198" t="n">
        <x:v>8</x:v>
      </x:c>
      <x:c r="D29" s="198" t="str">
        <x:v>20Y</x:v>
      </x:c>
      <x:c r="E29" s="265" t="n">
        <x:f>'03_Curve_Base_Shocks'!J29</x:f>
        <x:v>-150</x:v>
      </x:c>
      <x:c r="F29" s="201" t="n">
        <x:v>1975</x:v>
      </x:c>
      <x:c r="G29" s="201" t="n">
        <x:v>0.25</x:v>
      </x:c>
      <x:c r="H29" s="254" t="n">
        <x:f>F29*E29+0.5*G29*E29^2</x:f>
        <x:v>-293437.5</x:v>
      </x:c>
      <x:c r="I29" s="191" t="n">
        <x:v>29</x:v>
      </x:c>
      <x:c r="J29" s="191" t="str">
        <x:v>Illustrative surrogate only</x:v>
      </x:c>
      <x:c r="K29" s="191"/>
      <x:c r="L29" s="198" t="str">
        <x:v>ATM</x:v>
      </x:c>
      <x:c r="M29" s="198" t="n">
        <x:v>3</x:v>
      </x:c>
      <x:c r="N29" s="198" t="str">
        <x:v>6M</x:v>
      </x:c>
      <x:c r="O29" s="198" t="str">
        <x:v>3Y</x:v>
      </x:c>
      <x:c r="P29" s="266" t="n">
        <x:v>0.024</x:v>
      </x:c>
      <x:c r="Q29" s="201" t="n">
        <x:v>27700</x:v>
      </x:c>
      <x:c r="R29" s="267" t="n">
        <x:v>4000</x:v>
      </x:c>
      <x:c r="S29" s="254" t="n">
        <x:f>Q29*P29+0.5*R29*P29^2</x:f>
        <x:v>665.9520000000001</x:v>
      </x:c>
      <x:c r="T29" s="191" t="str">
        <x:v>IR</x:v>
      </x:c>
      <x:c r="U29" s="191" t="str">
        <x:v>Illustrative surrogate only</x:v>
      </x:c>
      <x:c r="V29" s="191"/>
      <x:c r="W29" s="191"/>
      <x:c r="X29" s="191"/>
      <x:c r="Y29" s="191"/>
      <x:c r="Z29" s="191"/>
      <x:c r="AA29" s="191"/>
      <x:c r="AB29" s="191"/>
      <x:c r="AC29" s="191"/>
      <x:c r="AD29" s="191"/>
      <x:c r="AE29" s="191"/>
      <x:c r="AF29" s="191"/>
      <x:c r="AG29" s="191"/>
      <x:c r="AH29" s="191"/>
      <x:c r="AI29" s="191"/>
      <x:c r="AJ29" s="191"/>
      <x:c r="AK29" s="191"/>
    </x:row>
    <x:row r="30">
      <x:c r="A30" s="198" t="str">
        <x:v>SOFR</x:v>
      </x:c>
      <x:c r="B30" s="198" t="str">
        <x:v>IR</x:v>
      </x:c>
      <x:c r="C30" s="198" t="n">
        <x:v>9</x:v>
      </x:c>
      <x:c r="D30" s="198" t="str">
        <x:v>30Y</x:v>
      </x:c>
      <x:c r="E30" s="265" t="n">
        <x:f>'03_Curve_Base_Shocks'!J30</x:f>
        <x:v>-130</x:v>
      </x:c>
      <x:c r="F30" s="201" t="n">
        <x:v>2200</x:v>
      </x:c>
      <x:c r="G30" s="201" t="n">
        <x:v>0.25</x:v>
      </x:c>
      <x:c r="H30" s="254" t="n">
        <x:f>F30*E30+0.5*G30*E30^2</x:f>
        <x:v>-283887.5</x:v>
      </x:c>
      <x:c r="I30" s="191" t="n">
        <x:v>30</x:v>
      </x:c>
      <x:c r="J30" s="191" t="str">
        <x:v>Illustrative surrogate only</x:v>
      </x:c>
      <x:c r="K30" s="191"/>
      <x:c r="L30" s="198" t="str">
        <x:v>ATM</x:v>
      </x:c>
      <x:c r="M30" s="198" t="n">
        <x:v>3</x:v>
      </x:c>
      <x:c r="N30" s="198" t="str">
        <x:v>6M</x:v>
      </x:c>
      <x:c r="O30" s="198" t="str">
        <x:v>5Y</x:v>
      </x:c>
      <x:c r="P30" s="266" t="n">
        <x:v>0.025</x:v>
      </x:c>
      <x:c r="Q30" s="201" t="n">
        <x:v>28200</x:v>
      </x:c>
      <x:c r="R30" s="267" t="n">
        <x:v>4000</x:v>
      </x:c>
      <x:c r="S30" s="254" t="n">
        <x:f>Q30*P30+0.5*R30*P30^2</x:f>
        <x:v>706.25</x:v>
      </x:c>
      <x:c r="T30" s="191" t="str">
        <x:v>IR</x:v>
      </x:c>
      <x:c r="U30" s="191" t="str">
        <x:v>Illustrative surrogate only</x:v>
      </x:c>
      <x:c r="V30" s="191"/>
      <x:c r="W30" s="191"/>
      <x:c r="X30" s="191"/>
      <x:c r="Y30" s="191"/>
      <x:c r="Z30" s="191"/>
      <x:c r="AA30" s="191"/>
      <x:c r="AB30" s="191"/>
      <x:c r="AC30" s="191"/>
      <x:c r="AD30" s="191"/>
      <x:c r="AE30" s="191"/>
      <x:c r="AF30" s="191"/>
      <x:c r="AG30" s="191"/>
      <x:c r="AH30" s="191"/>
      <x:c r="AI30" s="191"/>
      <x:c r="AJ30" s="191"/>
      <x:c r="AK30" s="191"/>
    </x:row>
    <x:row r="31">
      <x:c r="A31" s="198" t="str">
        <x:v>Treasury</x:v>
      </x:c>
      <x:c r="B31" s="198" t="str">
        <x:v>Credit</x:v>
      </x:c>
      <x:c r="C31" s="198" t="n">
        <x:v>1</x:v>
      </x:c>
      <x:c r="D31" s="198" t="str">
        <x:v>3M</x:v>
      </x:c>
      <x:c r="E31" s="265" t="n">
        <x:f>'03_Curve_Base_Shocks'!J31</x:f>
        <x:v>-140</x:v>
      </x:c>
      <x:c r="F31" s="201" t="n">
        <x:v>-350</x:v>
      </x:c>
      <x:c r="G31" s="201" t="n">
        <x:v>-0.15</x:v>
      </x:c>
      <x:c r="H31" s="254" t="n">
        <x:f>F31*E31+0.5*G31*E31^2</x:f>
        <x:v>47530</x:v>
      </x:c>
      <x:c r="I31" s="191" t="n">
        <x:v>31</x:v>
      </x:c>
      <x:c r="J31" s="191" t="str">
        <x:v>Illustrative surrogate only</x:v>
      </x:c>
      <x:c r="K31" s="191"/>
      <x:c r="L31" s="198" t="str">
        <x:v>ATM</x:v>
      </x:c>
      <x:c r="M31" s="198" t="n">
        <x:v>3</x:v>
      </x:c>
      <x:c r="N31" s="198" t="str">
        <x:v>6M</x:v>
      </x:c>
      <x:c r="O31" s="198" t="str">
        <x:v>10Y</x:v>
      </x:c>
      <x:c r="P31" s="266" t="n">
        <x:v>0.026000000000000002</x:v>
      </x:c>
      <x:c r="Q31" s="201" t="n">
        <x:v>28700</x:v>
      </x:c>
      <x:c r="R31" s="267" t="n">
        <x:v>4000</x:v>
      </x:c>
      <x:c r="S31" s="254" t="n">
        <x:f>Q31*P31+0.5*R31*P31^2</x:f>
        <x:v>747.552</x:v>
      </x:c>
      <x:c r="T31" s="191" t="str">
        <x:v>IR</x:v>
      </x:c>
      <x:c r="U31" s="191" t="str">
        <x:v>Illustrative surrogate only</x:v>
      </x:c>
      <x:c r="V31" s="191"/>
      <x:c r="W31" s="191"/>
      <x:c r="X31" s="191"/>
      <x:c r="Y31" s="191"/>
      <x:c r="Z31" s="191"/>
      <x:c r="AA31" s="191"/>
      <x:c r="AB31" s="191"/>
      <x:c r="AC31" s="191"/>
      <x:c r="AD31" s="191"/>
      <x:c r="AE31" s="191"/>
      <x:c r="AF31" s="191"/>
      <x:c r="AG31" s="191"/>
      <x:c r="AH31" s="191"/>
      <x:c r="AI31" s="191"/>
      <x:c r="AJ31" s="191"/>
      <x:c r="AK31" s="191"/>
    </x:row>
    <x:row r="32">
      <x:c r="A32" s="198" t="str">
        <x:v>Treasury</x:v>
      </x:c>
      <x:c r="B32" s="198" t="str">
        <x:v>Credit</x:v>
      </x:c>
      <x:c r="C32" s="198" t="n">
        <x:v>2</x:v>
      </x:c>
      <x:c r="D32" s="198" t="str">
        <x:v>6M</x:v>
      </x:c>
      <x:c r="E32" s="265" t="n">
        <x:f>'03_Curve_Base_Shocks'!J32</x:f>
        <x:v>-155</x:v>
      </x:c>
      <x:c r="F32" s="201" t="n">
        <x:v>-468.75</x:v>
      </x:c>
      <x:c r="G32" s="201" t="n">
        <x:v>-0.15</x:v>
      </x:c>
      <x:c r="H32" s="254" t="n">
        <x:f>F32*E32+0.5*G32*E32^2</x:f>
        <x:v>70854.375</x:v>
      </x:c>
      <x:c r="I32" s="191" t="n">
        <x:v>32</x:v>
      </x:c>
      <x:c r="J32" s="191" t="str">
        <x:v>Illustrative surrogate only</x:v>
      </x:c>
      <x:c r="K32" s="191"/>
      <x:c r="L32" s="198" t="str">
        <x:v>ATM</x:v>
      </x:c>
      <x:c r="M32" s="198" t="n">
        <x:v>3</x:v>
      </x:c>
      <x:c r="N32" s="198" t="str">
        <x:v>6M</x:v>
      </x:c>
      <x:c r="O32" s="198" t="str">
        <x:v>20Y</x:v>
      </x:c>
      <x:c r="P32" s="266" t="n">
        <x:v>0.027000000000000003</x:v>
      </x:c>
      <x:c r="Q32" s="201" t="n">
        <x:v>29200</x:v>
      </x:c>
      <x:c r="R32" s="267" t="n">
        <x:v>4000</x:v>
      </x:c>
      <x:c r="S32" s="254" t="n">
        <x:f>Q32*P32+0.5*R32*P32^2</x:f>
        <x:v>789.8580000000001</x:v>
      </x:c>
      <x:c r="T32" s="191" t="str">
        <x:v>IR</x:v>
      </x:c>
      <x:c r="U32" s="191" t="str">
        <x:v>Illustrative surrogate only</x:v>
      </x:c>
      <x:c r="V32" s="191"/>
      <x:c r="W32" s="191"/>
      <x:c r="X32" s="191"/>
      <x:c r="Y32" s="191"/>
      <x:c r="Z32" s="191"/>
      <x:c r="AA32" s="191"/>
      <x:c r="AB32" s="191"/>
      <x:c r="AC32" s="191"/>
      <x:c r="AD32" s="191"/>
      <x:c r="AE32" s="191"/>
      <x:c r="AF32" s="191"/>
      <x:c r="AG32" s="191"/>
      <x:c r="AH32" s="191"/>
      <x:c r="AI32" s="191"/>
      <x:c r="AJ32" s="191"/>
      <x:c r="AK32" s="191"/>
    </x:row>
    <x:row r="33">
      <x:c r="A33" s="198" t="str">
        <x:v>Treasury</x:v>
      </x:c>
      <x:c r="B33" s="198" t="str">
        <x:v>Credit</x:v>
      </x:c>
      <x:c r="C33" s="198" t="n">
        <x:v>3</x:v>
      </x:c>
      <x:c r="D33" s="198" t="str">
        <x:v>1Y</x:v>
      </x:c>
      <x:c r="E33" s="265" t="n">
        <x:f>'03_Curve_Base_Shocks'!J33</x:f>
        <x:v>-165</x:v>
      </x:c>
      <x:c r="F33" s="201" t="n">
        <x:v>-587.5</x:v>
      </x:c>
      <x:c r="G33" s="201" t="n">
        <x:v>-0.15</x:v>
      </x:c>
      <x:c r="H33" s="254" t="n">
        <x:f>F33*E33+0.5*G33*E33^2</x:f>
        <x:v>94895.625</x:v>
      </x:c>
      <x:c r="I33" s="191" t="n">
        <x:v>33</x:v>
      </x:c>
      <x:c r="J33" s="191" t="str">
        <x:v>Illustrative surrogate only</x:v>
      </x:c>
      <x:c r="K33" s="191"/>
      <x:c r="L33" s="198" t="str">
        <x:v>ATM</x:v>
      </x:c>
      <x:c r="M33" s="198" t="n">
        <x:v>3</x:v>
      </x:c>
      <x:c r="N33" s="198" t="str">
        <x:v>6M</x:v>
      </x:c>
      <x:c r="O33" s="198" t="str">
        <x:v>30Y</x:v>
      </x:c>
      <x:c r="P33" s="266" t="n">
        <x:v>0.028000000000000004</x:v>
      </x:c>
      <x:c r="Q33" s="201" t="n">
        <x:v>29700</x:v>
      </x:c>
      <x:c r="R33" s="267" t="n">
        <x:v>4000</x:v>
      </x:c>
      <x:c r="S33" s="254" t="n">
        <x:f>Q33*P33+0.5*R33*P33^2</x:f>
        <x:v>833.1680000000001</x:v>
      </x:c>
      <x:c r="T33" s="191" t="str">
        <x:v>IR</x:v>
      </x:c>
      <x:c r="U33" s="191" t="str">
        <x:v>Illustrative surrogate only</x:v>
      </x:c>
      <x:c r="V33" s="191"/>
      <x:c r="W33" s="191"/>
      <x:c r="X33" s="191"/>
      <x:c r="Y33" s="191"/>
      <x:c r="Z33" s="191"/>
      <x:c r="AA33" s="191"/>
      <x:c r="AB33" s="191"/>
      <x:c r="AC33" s="191"/>
      <x:c r="AD33" s="191"/>
      <x:c r="AE33" s="191"/>
      <x:c r="AF33" s="191"/>
      <x:c r="AG33" s="191"/>
      <x:c r="AH33" s="191"/>
      <x:c r="AI33" s="191"/>
      <x:c r="AJ33" s="191"/>
      <x:c r="AK33" s="191"/>
    </x:row>
    <x:row r="34">
      <x:c r="A34" s="198" t="str">
        <x:v>Treasury</x:v>
      </x:c>
      <x:c r="B34" s="198" t="str">
        <x:v>Credit</x:v>
      </x:c>
      <x:c r="C34" s="198" t="n">
        <x:v>4</x:v>
      </x:c>
      <x:c r="D34" s="198" t="str">
        <x:v>2Y</x:v>
      </x:c>
      <x:c r="E34" s="265" t="n">
        <x:f>'03_Curve_Base_Shocks'!J34</x:f>
        <x:v>-175</x:v>
      </x:c>
      <x:c r="F34" s="201" t="n">
        <x:v>-706.25</x:v>
      </x:c>
      <x:c r="G34" s="201" t="n">
        <x:v>-0.15</x:v>
      </x:c>
      <x:c r="H34" s="254" t="n">
        <x:f>F34*E34+0.5*G34*E34^2</x:f>
        <x:v>121296.875</x:v>
      </x:c>
      <x:c r="I34" s="191" t="n">
        <x:v>34</x:v>
      </x:c>
      <x:c r="J34" s="191" t="str">
        <x:v>Illustrative surrogate only</x:v>
      </x:c>
      <x:c r="K34" s="191"/>
      <x:c r="L34" s="198" t="str">
        <x:v>ATM</x:v>
      </x:c>
      <x:c r="M34" s="198" t="n">
        <x:v>4</x:v>
      </x:c>
      <x:c r="N34" s="198" t="str">
        <x:v>1Y</x:v>
      </x:c>
      <x:c r="O34" s="198" t="str">
        <x:v>1M</x:v>
      </x:c>
      <x:c r="P34" s="266" t="n">
        <x:v>0.021</x:v>
      </x:c>
      <x:c r="Q34" s="201" t="n">
        <x:v>26100</x:v>
      </x:c>
      <x:c r="R34" s="267" t="n">
        <x:v>4000</x:v>
      </x:c>
      <x:c r="S34" s="254" t="n">
        <x:f>Q34*P34+0.5*R34*P34^2</x:f>
        <x:v>548.982</x:v>
      </x:c>
      <x:c r="T34" s="191" t="str">
        <x:v>IR</x:v>
      </x:c>
      <x:c r="U34" s="191" t="str">
        <x:v>Illustrative surrogate only</x:v>
      </x:c>
      <x:c r="V34" s="191"/>
      <x:c r="W34" s="191"/>
      <x:c r="X34" s="191"/>
      <x:c r="Y34" s="191"/>
      <x:c r="Z34" s="191"/>
      <x:c r="AA34" s="191"/>
      <x:c r="AB34" s="191"/>
      <x:c r="AC34" s="191"/>
      <x:c r="AD34" s="191"/>
      <x:c r="AE34" s="191"/>
      <x:c r="AF34" s="191"/>
      <x:c r="AG34" s="191"/>
      <x:c r="AH34" s="191"/>
      <x:c r="AI34" s="191"/>
      <x:c r="AJ34" s="191"/>
      <x:c r="AK34" s="191"/>
    </x:row>
    <x:row r="35">
      <x:c r="A35" s="198" t="str">
        <x:v>Treasury</x:v>
      </x:c>
      <x:c r="B35" s="198" t="str">
        <x:v>Credit</x:v>
      </x:c>
      <x:c r="C35" s="198" t="n">
        <x:v>5</x:v>
      </x:c>
      <x:c r="D35" s="198" t="str">
        <x:v>3Y</x:v>
      </x:c>
      <x:c r="E35" s="265" t="n">
        <x:f>'03_Curve_Base_Shocks'!J35</x:f>
        <x:v>-180</x:v>
      </x:c>
      <x:c r="F35" s="201" t="n">
        <x:v>-825</x:v>
      </x:c>
      <x:c r="G35" s="201" t="n">
        <x:v>-0.15</x:v>
      </x:c>
      <x:c r="H35" s="254" t="n">
        <x:f>F35*E35+0.5*G35*E35^2</x:f>
        <x:v>146070</x:v>
      </x:c>
      <x:c r="I35" s="191" t="n">
        <x:v>35</x:v>
      </x:c>
      <x:c r="J35" s="191" t="str">
        <x:v>Illustrative surrogate only</x:v>
      </x:c>
      <x:c r="K35" s="191"/>
      <x:c r="L35" s="198" t="str">
        <x:v>ATM</x:v>
      </x:c>
      <x:c r="M35" s="198" t="n">
        <x:v>4</x:v>
      </x:c>
      <x:c r="N35" s="198" t="str">
        <x:v>1Y</x:v>
      </x:c>
      <x:c r="O35" s="198" t="str">
        <x:v>3M</x:v>
      </x:c>
      <x:c r="P35" s="266" t="n">
        <x:v>0.022</x:v>
      </x:c>
      <x:c r="Q35" s="201" t="n">
        <x:v>26600</x:v>
      </x:c>
      <x:c r="R35" s="267" t="n">
        <x:v>4000</x:v>
      </x:c>
      <x:c r="S35" s="254" t="n">
        <x:f>Q35*P35+0.5*R35*P35^2</x:f>
        <x:v>586.1679999999999</x:v>
      </x:c>
      <x:c r="T35" s="191" t="str">
        <x:v>IR</x:v>
      </x:c>
      <x:c r="U35" s="191" t="str">
        <x:v>Illustrative surrogate only</x:v>
      </x:c>
      <x:c r="V35" s="191"/>
      <x:c r="W35" s="191"/>
      <x:c r="X35" s="191"/>
      <x:c r="Y35" s="191"/>
      <x:c r="Z35" s="191"/>
      <x:c r="AA35" s="191"/>
      <x:c r="AB35" s="191"/>
      <x:c r="AC35" s="191"/>
      <x:c r="AD35" s="191"/>
      <x:c r="AE35" s="191"/>
      <x:c r="AF35" s="191"/>
      <x:c r="AG35" s="191"/>
      <x:c r="AH35" s="191"/>
      <x:c r="AI35" s="191"/>
      <x:c r="AJ35" s="191"/>
      <x:c r="AK35" s="191"/>
    </x:row>
    <x:row r="36">
      <x:c r="A36" s="198" t="str">
        <x:v>Treasury</x:v>
      </x:c>
      <x:c r="B36" s="198" t="str">
        <x:v>Credit</x:v>
      </x:c>
      <x:c r="C36" s="198" t="n">
        <x:v>6</x:v>
      </x:c>
      <x:c r="D36" s="198" t="str">
        <x:v>5Y</x:v>
      </x:c>
      <x:c r="E36" s="265" t="n">
        <x:f>'03_Curve_Base_Shocks'!J36</x:f>
        <x:v>-175</x:v>
      </x:c>
      <x:c r="F36" s="201" t="n">
        <x:v>-943.75</x:v>
      </x:c>
      <x:c r="G36" s="201" t="n">
        <x:v>-0.15</x:v>
      </x:c>
      <x:c r="H36" s="254" t="n">
        <x:f>F36*E36+0.5*G36*E36^2</x:f>
        <x:v>162859.375</x:v>
      </x:c>
      <x:c r="I36" s="191" t="n">
        <x:v>36</x:v>
      </x:c>
      <x:c r="J36" s="191" t="str">
        <x:v>Illustrative surrogate only</x:v>
      </x:c>
      <x:c r="K36" s="191"/>
      <x:c r="L36" s="198" t="str">
        <x:v>ATM</x:v>
      </x:c>
      <x:c r="M36" s="198" t="n">
        <x:v>4</x:v>
      </x:c>
      <x:c r="N36" s="198" t="str">
        <x:v>1Y</x:v>
      </x:c>
      <x:c r="O36" s="198" t="str">
        <x:v>6M</x:v>
      </x:c>
      <x:c r="P36" s="266" t="n">
        <x:v>0.023</x:v>
      </x:c>
      <x:c r="Q36" s="201" t="n">
        <x:v>27100</x:v>
      </x:c>
      <x:c r="R36" s="267" t="n">
        <x:v>4000</x:v>
      </x:c>
      <x:c r="S36" s="254" t="n">
        <x:f>Q36*P36+0.5*R36*P36^2</x:f>
        <x:v>624.358</x:v>
      </x:c>
      <x:c r="T36" s="191" t="str">
        <x:v>IR</x:v>
      </x:c>
      <x:c r="U36" s="191" t="str">
        <x:v>Illustrative surrogate only</x:v>
      </x:c>
      <x:c r="V36" s="191"/>
      <x:c r="W36" s="191"/>
      <x:c r="X36" s="191"/>
      <x:c r="Y36" s="191"/>
      <x:c r="Z36" s="191"/>
      <x:c r="AA36" s="191"/>
      <x:c r="AB36" s="191"/>
      <x:c r="AC36" s="191"/>
      <x:c r="AD36" s="191"/>
      <x:c r="AE36" s="191"/>
      <x:c r="AF36" s="191"/>
      <x:c r="AG36" s="191"/>
      <x:c r="AH36" s="191"/>
      <x:c r="AI36" s="191"/>
      <x:c r="AJ36" s="191"/>
      <x:c r="AK36" s="191"/>
    </x:row>
    <x:row r="37">
      <x:c r="A37" s="198" t="str">
        <x:v>Treasury</x:v>
      </x:c>
      <x:c r="B37" s="198" t="str">
        <x:v>Credit</x:v>
      </x:c>
      <x:c r="C37" s="198" t="n">
        <x:v>7</x:v>
      </x:c>
      <x:c r="D37" s="198" t="str">
        <x:v>10Y</x:v>
      </x:c>
      <x:c r="E37" s="265" t="n">
        <x:f>'03_Curve_Base_Shocks'!J37</x:f>
        <x:v>-160</x:v>
      </x:c>
      <x:c r="F37" s="201" t="n">
        <x:v>-1062.5</x:v>
      </x:c>
      <x:c r="G37" s="201" t="n">
        <x:v>-0.15</x:v>
      </x:c>
      <x:c r="H37" s="254" t="n">
        <x:f>F37*E37+0.5*G37*E37^2</x:f>
        <x:v>168080</x:v>
      </x:c>
      <x:c r="I37" s="191" t="n">
        <x:v>37</x:v>
      </x:c>
      <x:c r="J37" s="191" t="str">
        <x:v>Illustrative surrogate only</x:v>
      </x:c>
      <x:c r="K37" s="191"/>
      <x:c r="L37" s="198" t="str">
        <x:v>ATM</x:v>
      </x:c>
      <x:c r="M37" s="198" t="n">
        <x:v>4</x:v>
      </x:c>
      <x:c r="N37" s="198" t="str">
        <x:v>1Y</x:v>
      </x:c>
      <x:c r="O37" s="198" t="str">
        <x:v>1Y</x:v>
      </x:c>
      <x:c r="P37" s="266" t="n">
        <x:v>0.024</x:v>
      </x:c>
      <x:c r="Q37" s="201" t="n">
        <x:v>27600</x:v>
      </x:c>
      <x:c r="R37" s="267" t="n">
        <x:v>4000</x:v>
      </x:c>
      <x:c r="S37" s="254" t="n">
        <x:f>Q37*P37+0.5*R37*P37^2</x:f>
        <x:v>663.552</x:v>
      </x:c>
      <x:c r="T37" s="191" t="str">
        <x:v>IR</x:v>
      </x:c>
      <x:c r="U37" s="191" t="str">
        <x:v>Illustrative surrogate only</x:v>
      </x:c>
      <x:c r="V37" s="191"/>
      <x:c r="W37" s="191"/>
      <x:c r="X37" s="191"/>
      <x:c r="Y37" s="191"/>
      <x:c r="Z37" s="191"/>
      <x:c r="AA37" s="191"/>
      <x:c r="AB37" s="191"/>
      <x:c r="AC37" s="191"/>
      <x:c r="AD37" s="191"/>
      <x:c r="AE37" s="191"/>
      <x:c r="AF37" s="191"/>
      <x:c r="AG37" s="191"/>
      <x:c r="AH37" s="191"/>
      <x:c r="AI37" s="191"/>
      <x:c r="AJ37" s="191"/>
      <x:c r="AK37" s="191"/>
    </x:row>
    <x:row r="38">
      <x:c r="A38" s="198" t="str">
        <x:v>Treasury</x:v>
      </x:c>
      <x:c r="B38" s="198" t="str">
        <x:v>Credit</x:v>
      </x:c>
      <x:c r="C38" s="198" t="n">
        <x:v>8</x:v>
      </x:c>
      <x:c r="D38" s="198" t="str">
        <x:v>20Y</x:v>
      </x:c>
      <x:c r="E38" s="265" t="n">
        <x:f>'03_Curve_Base_Shocks'!J38</x:f>
        <x:v>-145</x:v>
      </x:c>
      <x:c r="F38" s="201" t="n">
        <x:v>-1181.25</x:v>
      </x:c>
      <x:c r="G38" s="201" t="n">
        <x:v>-0.15</x:v>
      </x:c>
      <x:c r="H38" s="254" t="n">
        <x:f>F38*E38+0.5*G38*E38^2</x:f>
        <x:v>169704.375</x:v>
      </x:c>
      <x:c r="I38" s="191" t="n">
        <x:v>38</x:v>
      </x:c>
      <x:c r="J38" s="191" t="str">
        <x:v>Illustrative surrogate only</x:v>
      </x:c>
      <x:c r="K38" s="191"/>
      <x:c r="L38" s="198" t="str">
        <x:v>ATM</x:v>
      </x:c>
      <x:c r="M38" s="198" t="n">
        <x:v>4</x:v>
      </x:c>
      <x:c r="N38" s="198" t="str">
        <x:v>1Y</x:v>
      </x:c>
      <x:c r="O38" s="198" t="str">
        <x:v>2Y</x:v>
      </x:c>
      <x:c r="P38" s="266" t="n">
        <x:v>0.025</x:v>
      </x:c>
      <x:c r="Q38" s="201" t="n">
        <x:v>28100</x:v>
      </x:c>
      <x:c r="R38" s="267" t="n">
        <x:v>4000</x:v>
      </x:c>
      <x:c r="S38" s="254" t="n">
        <x:f>Q38*P38+0.5*R38*P38^2</x:f>
        <x:v>703.75</x:v>
      </x:c>
      <x:c r="T38" s="191" t="str">
        <x:v>IR</x:v>
      </x:c>
      <x:c r="U38" s="191" t="str">
        <x:v>Illustrative surrogate only</x:v>
      </x:c>
      <x:c r="V38" s="191"/>
      <x:c r="W38" s="191"/>
      <x:c r="X38" s="191"/>
      <x:c r="Y38" s="191"/>
      <x:c r="Z38" s="191"/>
      <x:c r="AA38" s="191"/>
      <x:c r="AB38" s="191"/>
      <x:c r="AC38" s="191"/>
      <x:c r="AD38" s="191"/>
      <x:c r="AE38" s="191"/>
      <x:c r="AF38" s="191"/>
      <x:c r="AG38" s="191"/>
      <x:c r="AH38" s="191"/>
      <x:c r="AI38" s="191"/>
      <x:c r="AJ38" s="191"/>
      <x:c r="AK38" s="191"/>
    </x:row>
    <x:row r="39">
      <x:c r="A39" s="198" t="str">
        <x:v>Treasury</x:v>
      </x:c>
      <x:c r="B39" s="198" t="str">
        <x:v>Credit</x:v>
      </x:c>
      <x:c r="C39" s="198" t="n">
        <x:v>9</x:v>
      </x:c>
      <x:c r="D39" s="198" t="str">
        <x:v>30Y</x:v>
      </x:c>
      <x:c r="E39" s="265" t="n">
        <x:f>'03_Curve_Base_Shocks'!J39</x:f>
        <x:v>-125</x:v>
      </x:c>
      <x:c r="F39" s="201" t="n">
        <x:v>-1300</x:v>
      </x:c>
      <x:c r="G39" s="201" t="n">
        <x:v>-0.15</x:v>
      </x:c>
      <x:c r="H39" s="254" t="n">
        <x:f>F39*E39+0.5*G39*E39^2</x:f>
        <x:v>161328.125</x:v>
      </x:c>
      <x:c r="I39" s="191" t="n">
        <x:v>39</x:v>
      </x:c>
      <x:c r="J39" s="191" t="str">
        <x:v>Illustrative surrogate only</x:v>
      </x:c>
      <x:c r="K39" s="191"/>
      <x:c r="L39" s="198" t="str">
        <x:v>ATM</x:v>
      </x:c>
      <x:c r="M39" s="198" t="n">
        <x:v>4</x:v>
      </x:c>
      <x:c r="N39" s="198" t="str">
        <x:v>1Y</x:v>
      </x:c>
      <x:c r="O39" s="198" t="str">
        <x:v>3Y</x:v>
      </x:c>
      <x:c r="P39" s="266" t="n">
        <x:v>0.026000000000000002</x:v>
      </x:c>
      <x:c r="Q39" s="201" t="n">
        <x:v>28600</x:v>
      </x:c>
      <x:c r="R39" s="267" t="n">
        <x:v>4000</x:v>
      </x:c>
      <x:c r="S39" s="254" t="n">
        <x:f>Q39*P39+0.5*R39*P39^2</x:f>
        <x:v>744.952</x:v>
      </x:c>
      <x:c r="T39" s="191" t="str">
        <x:v>IR</x:v>
      </x:c>
      <x:c r="U39" s="191" t="str">
        <x:v>Illustrative surrogate only</x:v>
      </x:c>
      <x:c r="V39" s="191"/>
      <x:c r="W39" s="191"/>
      <x:c r="X39" s="191"/>
      <x:c r="Y39" s="191"/>
      <x:c r="Z39" s="191"/>
      <x:c r="AA39" s="191"/>
      <x:c r="AB39" s="191"/>
      <x:c r="AC39" s="191"/>
      <x:c r="AD39" s="191"/>
      <x:c r="AE39" s="191"/>
      <x:c r="AF39" s="191"/>
      <x:c r="AG39" s="191"/>
      <x:c r="AH39" s="191"/>
      <x:c r="AI39" s="191"/>
      <x:c r="AJ39" s="191"/>
      <x:c r="AK39" s="191"/>
    </x:row>
    <x:row r="40">
      <x:c r="A40" s="198" t="str">
        <x:v>EURUSD</x:v>
      </x:c>
      <x:c r="B40" s="198" t="str">
        <x:v>FX</x:v>
      </x:c>
      <x:c r="C40" s="198" t="n">
        <x:v>1</x:v>
      </x:c>
      <x:c r="D40" s="198" t="str">
        <x:v>3M</x:v>
      </x:c>
      <x:c r="E40" s="265" t="n">
        <x:f>'03_Curve_Base_Shocks'!J40</x:f>
        <x:v>-180</x:v>
      </x:c>
      <x:c r="F40" s="201" t="n">
        <x:v>20</x:v>
      </x:c>
      <x:c r="G40" s="201" t="n">
        <x:v>0.005</x:v>
      </x:c>
      <x:c r="H40" s="254" t="n">
        <x:f>F40*E40+0.5*G40*E40^2</x:f>
        <x:v>-3519</x:v>
      </x:c>
      <x:c r="I40" s="191" t="n">
        <x:v>40</x:v>
      </x:c>
      <x:c r="J40" s="191" t="str">
        <x:v>Illustrative surrogate only</x:v>
      </x:c>
      <x:c r="K40" s="191"/>
      <x:c r="L40" s="198" t="str">
        <x:v>ATM</x:v>
      </x:c>
      <x:c r="M40" s="198" t="n">
        <x:v>4</x:v>
      </x:c>
      <x:c r="N40" s="198" t="str">
        <x:v>1Y</x:v>
      </x:c>
      <x:c r="O40" s="198" t="str">
        <x:v>5Y</x:v>
      </x:c>
      <x:c r="P40" s="266" t="n">
        <x:v>0.027</x:v>
      </x:c>
      <x:c r="Q40" s="201" t="n">
        <x:v>29100</x:v>
      </x:c>
      <x:c r="R40" s="267" t="n">
        <x:v>4000</x:v>
      </x:c>
      <x:c r="S40" s="254" t="n">
        <x:f>Q40*P40+0.5*R40*P40^2</x:f>
        <x:v>787.158</x:v>
      </x:c>
      <x:c r="T40" s="191" t="str">
        <x:v>IR</x:v>
      </x:c>
      <x:c r="U40" s="191" t="str">
        <x:v>Illustrative surrogate only</x:v>
      </x:c>
      <x:c r="V40" s="191"/>
      <x:c r="W40" s="191"/>
      <x:c r="X40" s="191"/>
      <x:c r="Y40" s="191"/>
      <x:c r="Z40" s="191"/>
      <x:c r="AA40" s="191"/>
      <x:c r="AB40" s="191"/>
      <x:c r="AC40" s="191"/>
      <x:c r="AD40" s="191"/>
      <x:c r="AE40" s="191"/>
      <x:c r="AF40" s="191"/>
      <x:c r="AG40" s="191"/>
      <x:c r="AH40" s="191"/>
      <x:c r="AI40" s="191"/>
      <x:c r="AJ40" s="191"/>
      <x:c r="AK40" s="191"/>
    </x:row>
    <x:row r="41">
      <x:c r="A41" s="198" t="str">
        <x:v>EURUSD</x:v>
      </x:c>
      <x:c r="B41" s="198" t="str">
        <x:v>FX</x:v>
      </x:c>
      <x:c r="C41" s="198" t="n">
        <x:v>2</x:v>
      </x:c>
      <x:c r="D41" s="198" t="str">
        <x:v>6M</x:v>
      </x:c>
      <x:c r="E41" s="265" t="n">
        <x:f>'03_Curve_Base_Shocks'!J41</x:f>
        <x:v>-220</x:v>
      </x:c>
      <x:c r="F41" s="201" t="n">
        <x:v>27.5</x:v>
      </x:c>
      <x:c r="G41" s="201" t="n">
        <x:v>0.005</x:v>
      </x:c>
      <x:c r="H41" s="254" t="n">
        <x:f>F41*E41+0.5*G41*E41^2</x:f>
        <x:v>-5929</x:v>
      </x:c>
      <x:c r="I41" s="191" t="n">
        <x:v>41</x:v>
      </x:c>
      <x:c r="J41" s="191" t="str">
        <x:v>Illustrative surrogate only</x:v>
      </x:c>
      <x:c r="K41" s="191"/>
      <x:c r="L41" s="198" t="str">
        <x:v>ATM</x:v>
      </x:c>
      <x:c r="M41" s="198" t="n">
        <x:v>4</x:v>
      </x:c>
      <x:c r="N41" s="198" t="str">
        <x:v>1Y</x:v>
      </x:c>
      <x:c r="O41" s="198" t="str">
        <x:v>10Y</x:v>
      </x:c>
      <x:c r="P41" s="266" t="n">
        <x:v>0.028</x:v>
      </x:c>
      <x:c r="Q41" s="201" t="n">
        <x:v>29600</x:v>
      </x:c>
      <x:c r="R41" s="267" t="n">
        <x:v>4000</x:v>
      </x:c>
      <x:c r="S41" s="254" t="n">
        <x:f>Q41*P41+0.5*R41*P41^2</x:f>
        <x:v>830.368</x:v>
      </x:c>
      <x:c r="T41" s="191" t="str">
        <x:v>IR</x:v>
      </x:c>
      <x:c r="U41" s="191" t="str">
        <x:v>Illustrative surrogate only</x:v>
      </x:c>
      <x:c r="V41" s="191"/>
      <x:c r="W41" s="191"/>
      <x:c r="X41" s="191"/>
      <x:c r="Y41" s="191"/>
      <x:c r="Z41" s="191"/>
      <x:c r="AA41" s="191"/>
      <x:c r="AB41" s="191"/>
      <x:c r="AC41" s="191"/>
      <x:c r="AD41" s="191"/>
      <x:c r="AE41" s="191"/>
      <x:c r="AF41" s="191"/>
      <x:c r="AG41" s="191"/>
      <x:c r="AH41" s="191"/>
      <x:c r="AI41" s="191"/>
      <x:c r="AJ41" s="191"/>
      <x:c r="AK41" s="191"/>
    </x:row>
    <x:row r="42">
      <x:c r="A42" s="198" t="str">
        <x:v>EURUSD</x:v>
      </x:c>
      <x:c r="B42" s="198" t="str">
        <x:v>FX</x:v>
      </x:c>
      <x:c r="C42" s="198" t="n">
        <x:v>3</x:v>
      </x:c>
      <x:c r="D42" s="198" t="str">
        <x:v>1Y</x:v>
      </x:c>
      <x:c r="E42" s="265" t="n">
        <x:f>'03_Curve_Base_Shocks'!J42</x:f>
        <x:v>-260</x:v>
      </x:c>
      <x:c r="F42" s="201" t="n">
        <x:v>35</x:v>
      </x:c>
      <x:c r="G42" s="201" t="n">
        <x:v>0.005</x:v>
      </x:c>
      <x:c r="H42" s="254" t="n">
        <x:f>F42*E42+0.5*G42*E42^2</x:f>
        <x:v>-8931</x:v>
      </x:c>
      <x:c r="I42" s="191" t="n">
        <x:v>42</x:v>
      </x:c>
      <x:c r="J42" s="191" t="str">
        <x:v>Illustrative surrogate only</x:v>
      </x:c>
      <x:c r="K42" s="191"/>
      <x:c r="L42" s="198" t="str">
        <x:v>ATM</x:v>
      </x:c>
      <x:c r="M42" s="198" t="n">
        <x:v>4</x:v>
      </x:c>
      <x:c r="N42" s="198" t="str">
        <x:v>1Y</x:v>
      </x:c>
      <x:c r="O42" s="198" t="str">
        <x:v>20Y</x:v>
      </x:c>
      <x:c r="P42" s="266" t="n">
        <x:v>0.029</x:v>
      </x:c>
      <x:c r="Q42" s="201" t="n">
        <x:v>30100</x:v>
      </x:c>
      <x:c r="R42" s="267" t="n">
        <x:v>4000</x:v>
      </x:c>
      <x:c r="S42" s="254" t="n">
        <x:f>Q42*P42+0.5*R42*P42^2</x:f>
        <x:v>874.5820000000001</x:v>
      </x:c>
      <x:c r="T42" s="191" t="str">
        <x:v>IR</x:v>
      </x:c>
      <x:c r="U42" s="191" t="str">
        <x:v>Illustrative surrogate only</x:v>
      </x:c>
      <x:c r="V42" s="191"/>
      <x:c r="W42" s="191"/>
      <x:c r="X42" s="191"/>
      <x:c r="Y42" s="191"/>
      <x:c r="Z42" s="191"/>
      <x:c r="AA42" s="191"/>
      <x:c r="AB42" s="191"/>
      <x:c r="AC42" s="191"/>
      <x:c r="AD42" s="191"/>
      <x:c r="AE42" s="191"/>
      <x:c r="AF42" s="191"/>
      <x:c r="AG42" s="191"/>
      <x:c r="AH42" s="191"/>
      <x:c r="AI42" s="191"/>
      <x:c r="AJ42" s="191"/>
      <x:c r="AK42" s="191"/>
    </x:row>
    <x:row r="43">
      <x:c r="A43" s="198" t="str">
        <x:v>EURUSD</x:v>
      </x:c>
      <x:c r="B43" s="198" t="str">
        <x:v>FX</x:v>
      </x:c>
      <x:c r="C43" s="198" t="n">
        <x:v>4</x:v>
      </x:c>
      <x:c r="D43" s="198" t="str">
        <x:v>2Y</x:v>
      </x:c>
      <x:c r="E43" s="265" t="n">
        <x:f>'03_Curve_Base_Shocks'!J43</x:f>
        <x:v>-300</x:v>
      </x:c>
      <x:c r="F43" s="201" t="n">
        <x:v>42.5</x:v>
      </x:c>
      <x:c r="G43" s="201" t="n">
        <x:v>0.005</x:v>
      </x:c>
      <x:c r="H43" s="254" t="n">
        <x:f>F43*E43+0.5*G43*E43^2</x:f>
        <x:v>-12525</x:v>
      </x:c>
      <x:c r="I43" s="191" t="n">
        <x:v>43</x:v>
      </x:c>
      <x:c r="J43" s="191" t="str">
        <x:v>Illustrative surrogate only</x:v>
      </x:c>
      <x:c r="K43" s="191"/>
      <x:c r="L43" s="198" t="str">
        <x:v>ATM</x:v>
      </x:c>
      <x:c r="M43" s="198" t="n">
        <x:v>4</x:v>
      </x:c>
      <x:c r="N43" s="198" t="str">
        <x:v>1Y</x:v>
      </x:c>
      <x:c r="O43" s="198" t="str">
        <x:v>30Y</x:v>
      </x:c>
      <x:c r="P43" s="266" t="n">
        <x:v>0.03</x:v>
      </x:c>
      <x:c r="Q43" s="201" t="n">
        <x:v>30600</x:v>
      </x:c>
      <x:c r="R43" s="267" t="n">
        <x:v>4000</x:v>
      </x:c>
      <x:c r="S43" s="254" t="n">
        <x:f>Q43*P43+0.5*R43*P43^2</x:f>
        <x:v>919.8</x:v>
      </x:c>
      <x:c r="T43" s="191" t="str">
        <x:v>IR</x:v>
      </x:c>
      <x:c r="U43" s="191" t="str">
        <x:v>Illustrative surrogate only</x:v>
      </x:c>
      <x:c r="V43" s="191"/>
      <x:c r="W43" s="191"/>
      <x:c r="X43" s="191"/>
      <x:c r="Y43" s="191"/>
      <x:c r="Z43" s="191"/>
      <x:c r="AA43" s="191"/>
      <x:c r="AB43" s="191"/>
      <x:c r="AC43" s="191"/>
      <x:c r="AD43" s="191"/>
      <x:c r="AE43" s="191"/>
      <x:c r="AF43" s="191"/>
      <x:c r="AG43" s="191"/>
      <x:c r="AH43" s="191"/>
      <x:c r="AI43" s="191"/>
      <x:c r="AJ43" s="191"/>
      <x:c r="AK43" s="191"/>
    </x:row>
    <x:row r="44">
      <x:c r="A44" s="198" t="str">
        <x:v>EURUSD</x:v>
      </x:c>
      <x:c r="B44" s="198" t="str">
        <x:v>FX</x:v>
      </x:c>
      <x:c r="C44" s="198" t="n">
        <x:v>5</x:v>
      </x:c>
      <x:c r="D44" s="198" t="str">
        <x:v>3Y</x:v>
      </x:c>
      <x:c r="E44" s="265" t="n">
        <x:f>'03_Curve_Base_Shocks'!J44</x:f>
        <x:v>-340</x:v>
      </x:c>
      <x:c r="F44" s="201" t="n">
        <x:v>50</x:v>
      </x:c>
      <x:c r="G44" s="201" t="n">
        <x:v>0.005</x:v>
      </x:c>
      <x:c r="H44" s="254" t="n">
        <x:f>F44*E44+0.5*G44*E44^2</x:f>
        <x:v>-16711</x:v>
      </x:c>
      <x:c r="I44" s="191" t="n">
        <x:v>44</x:v>
      </x:c>
      <x:c r="J44" s="191" t="str">
        <x:v>Illustrative surrogate only</x:v>
      </x:c>
      <x:c r="K44" s="191"/>
      <x:c r="L44" s="198" t="str">
        <x:v>ATM</x:v>
      </x:c>
      <x:c r="M44" s="198" t="n">
        <x:v>5</x:v>
      </x:c>
      <x:c r="N44" s="198" t="str">
        <x:v>2Y</x:v>
      </x:c>
      <x:c r="O44" s="198" t="str">
        <x:v>1M</x:v>
      </x:c>
      <x:c r="P44" s="266" t="n">
        <x:v>0.023</x:v>
      </x:c>
      <x:c r="Q44" s="201" t="n">
        <x:v>27000</x:v>
      </x:c>
      <x:c r="R44" s="267" t="n">
        <x:v>4000</x:v>
      </x:c>
      <x:c r="S44" s="254" t="n">
        <x:f>Q44*P44+0.5*R44*P44^2</x:f>
        <x:v>622.058</x:v>
      </x:c>
      <x:c r="T44" s="191" t="str">
        <x:v>IR</x:v>
      </x:c>
      <x:c r="U44" s="191" t="str">
        <x:v>Illustrative surrogate only</x:v>
      </x:c>
      <x:c r="V44" s="191"/>
      <x:c r="W44" s="191"/>
      <x:c r="X44" s="191"/>
      <x:c r="Y44" s="191"/>
      <x:c r="Z44" s="191"/>
      <x:c r="AA44" s="191"/>
      <x:c r="AB44" s="191"/>
      <x:c r="AC44" s="191"/>
      <x:c r="AD44" s="191"/>
      <x:c r="AE44" s="191"/>
      <x:c r="AF44" s="191"/>
      <x:c r="AG44" s="191"/>
      <x:c r="AH44" s="191"/>
      <x:c r="AI44" s="191"/>
      <x:c r="AJ44" s="191"/>
      <x:c r="AK44" s="191"/>
    </x:row>
    <x:row r="45">
      <x:c r="A45" s="198" t="str">
        <x:v>EURUSD</x:v>
      </x:c>
      <x:c r="B45" s="198" t="str">
        <x:v>FX</x:v>
      </x:c>
      <x:c r="C45" s="198" t="n">
        <x:v>6</x:v>
      </x:c>
      <x:c r="D45" s="198" t="str">
        <x:v>5Y</x:v>
      </x:c>
      <x:c r="E45" s="265" t="n">
        <x:f>'03_Curve_Base_Shocks'!J45</x:f>
        <x:v>-380</x:v>
      </x:c>
      <x:c r="F45" s="201" t="n">
        <x:v>57.5</x:v>
      </x:c>
      <x:c r="G45" s="201" t="n">
        <x:v>0.005</x:v>
      </x:c>
      <x:c r="H45" s="254" t="n">
        <x:f>F45*E45+0.5*G45*E45^2</x:f>
        <x:v>-21489</x:v>
      </x:c>
      <x:c r="I45" s="191" t="n">
        <x:v>45</x:v>
      </x:c>
      <x:c r="J45" s="191" t="str">
        <x:v>Illustrative surrogate only</x:v>
      </x:c>
      <x:c r="K45" s="191"/>
      <x:c r="L45" s="198" t="str">
        <x:v>ATM</x:v>
      </x:c>
      <x:c r="M45" s="198" t="n">
        <x:v>5</x:v>
      </x:c>
      <x:c r="N45" s="198" t="str">
        <x:v>2Y</x:v>
      </x:c>
      <x:c r="O45" s="198" t="str">
        <x:v>3M</x:v>
      </x:c>
      <x:c r="P45" s="266" t="n">
        <x:v>0.024</x:v>
      </x:c>
      <x:c r="Q45" s="201" t="n">
        <x:v>27500</x:v>
      </x:c>
      <x:c r="R45" s="267" t="n">
        <x:v>4000</x:v>
      </x:c>
      <x:c r="S45" s="254" t="n">
        <x:f>Q45*P45+0.5*R45*P45^2</x:f>
        <x:v>661.152</x:v>
      </x:c>
      <x:c r="T45" s="191" t="str">
        <x:v>IR</x:v>
      </x:c>
      <x:c r="U45" s="191" t="str">
        <x:v>Illustrative surrogate only</x:v>
      </x:c>
      <x:c r="V45" s="191"/>
      <x:c r="W45" s="191"/>
      <x:c r="X45" s="191"/>
      <x:c r="Y45" s="191"/>
      <x:c r="Z45" s="191"/>
      <x:c r="AA45" s="191"/>
      <x:c r="AB45" s="191"/>
      <x:c r="AC45" s="191"/>
      <x:c r="AD45" s="191"/>
      <x:c r="AE45" s="191"/>
      <x:c r="AF45" s="191"/>
      <x:c r="AG45" s="191"/>
      <x:c r="AH45" s="191"/>
      <x:c r="AI45" s="191"/>
      <x:c r="AJ45" s="191"/>
      <x:c r="AK45" s="191"/>
    </x:row>
    <x:row r="46">
      <x:c r="A46" s="198" t="str">
        <x:v>EURUSD</x:v>
      </x:c>
      <x:c r="B46" s="198" t="str">
        <x:v>FX</x:v>
      </x:c>
      <x:c r="C46" s="198" t="n">
        <x:v>7</x:v>
      </x:c>
      <x:c r="D46" s="198" t="str">
        <x:v>10Y</x:v>
      </x:c>
      <x:c r="E46" s="265" t="n">
        <x:f>'03_Curve_Base_Shocks'!J46</x:f>
        <x:v>-420</x:v>
      </x:c>
      <x:c r="F46" s="201" t="n">
        <x:v>65</x:v>
      </x:c>
      <x:c r="G46" s="201" t="n">
        <x:v>0.005</x:v>
      </x:c>
      <x:c r="H46" s="254" t="n">
        <x:f>F46*E46+0.5*G46*E46^2</x:f>
        <x:v>-26859</x:v>
      </x:c>
      <x:c r="I46" s="191" t="n">
        <x:v>46</x:v>
      </x:c>
      <x:c r="J46" s="191" t="str">
        <x:v>Illustrative surrogate only</x:v>
      </x:c>
      <x:c r="K46" s="191"/>
      <x:c r="L46" s="198" t="str">
        <x:v>ATM</x:v>
      </x:c>
      <x:c r="M46" s="198" t="n">
        <x:v>5</x:v>
      </x:c>
      <x:c r="N46" s="198" t="str">
        <x:v>2Y</x:v>
      </x:c>
      <x:c r="O46" s="198" t="str">
        <x:v>6M</x:v>
      </x:c>
      <x:c r="P46" s="266" t="n">
        <x:v>0.024999999999999998</x:v>
      </x:c>
      <x:c r="Q46" s="201" t="n">
        <x:v>28000</x:v>
      </x:c>
      <x:c r="R46" s="267" t="n">
        <x:v>4000</x:v>
      </x:c>
      <x:c r="S46" s="254" t="n">
        <x:f>Q46*P46+0.5*R46*P46^2</x:f>
        <x:v>701.2499999999999</x:v>
      </x:c>
      <x:c r="T46" s="191" t="str">
        <x:v>IR</x:v>
      </x:c>
      <x:c r="U46" s="191" t="str">
        <x:v>Illustrative surrogate only</x:v>
      </x:c>
      <x:c r="V46" s="191"/>
      <x:c r="W46" s="191"/>
      <x:c r="X46" s="191"/>
      <x:c r="Y46" s="191"/>
      <x:c r="Z46" s="191"/>
      <x:c r="AA46" s="191"/>
      <x:c r="AB46" s="191"/>
      <x:c r="AC46" s="191"/>
      <x:c r="AD46" s="191"/>
      <x:c r="AE46" s="191"/>
      <x:c r="AF46" s="191"/>
      <x:c r="AG46" s="191"/>
      <x:c r="AH46" s="191"/>
      <x:c r="AI46" s="191"/>
      <x:c r="AJ46" s="191"/>
      <x:c r="AK46" s="191"/>
    </x:row>
    <x:row r="47">
      <x:c r="A47" s="198" t="str">
        <x:v>EURUSD</x:v>
      </x:c>
      <x:c r="B47" s="198" t="str">
        <x:v>FX</x:v>
      </x:c>
      <x:c r="C47" s="198" t="n">
        <x:v>8</x:v>
      </x:c>
      <x:c r="D47" s="198" t="str">
        <x:v>20Y</x:v>
      </x:c>
      <x:c r="E47" s="265" t="n">
        <x:f>'03_Curve_Base_Shocks'!J47</x:f>
        <x:v>-450</x:v>
      </x:c>
      <x:c r="F47" s="201" t="n">
        <x:v>72.5</x:v>
      </x:c>
      <x:c r="G47" s="201" t="n">
        <x:v>0.005</x:v>
      </x:c>
      <x:c r="H47" s="254" t="n">
        <x:f>F47*E47+0.5*G47*E47^2</x:f>
        <x:v>-32118.75</x:v>
      </x:c>
      <x:c r="I47" s="191" t="n">
        <x:v>47</x:v>
      </x:c>
      <x:c r="J47" s="191" t="str">
        <x:v>Illustrative surrogate only</x:v>
      </x:c>
      <x:c r="K47" s="191"/>
      <x:c r="L47" s="198" t="str">
        <x:v>ATM</x:v>
      </x:c>
      <x:c r="M47" s="198" t="n">
        <x:v>5</x:v>
      </x:c>
      <x:c r="N47" s="198" t="str">
        <x:v>2Y</x:v>
      </x:c>
      <x:c r="O47" s="198" t="str">
        <x:v>1Y</x:v>
      </x:c>
      <x:c r="P47" s="266" t="n">
        <x:v>0.026</x:v>
      </x:c>
      <x:c r="Q47" s="201" t="n">
        <x:v>28500</x:v>
      </x:c>
      <x:c r="R47" s="267" t="n">
        <x:v>4000</x:v>
      </x:c>
      <x:c r="S47" s="254" t="n">
        <x:f>Q47*P47+0.5*R47*P47^2</x:f>
        <x:v>742.352</x:v>
      </x:c>
      <x:c r="T47" s="191" t="str">
        <x:v>IR</x:v>
      </x:c>
      <x:c r="U47" s="191" t="str">
        <x:v>Illustrative surrogate only</x:v>
      </x:c>
      <x:c r="V47" s="191"/>
      <x:c r="W47" s="191"/>
      <x:c r="X47" s="191"/>
      <x:c r="Y47" s="191"/>
      <x:c r="Z47" s="191"/>
      <x:c r="AA47" s="191"/>
      <x:c r="AB47" s="191"/>
      <x:c r="AC47" s="191"/>
      <x:c r="AD47" s="191"/>
      <x:c r="AE47" s="191"/>
      <x:c r="AF47" s="191"/>
      <x:c r="AG47" s="191"/>
      <x:c r="AH47" s="191"/>
      <x:c r="AI47" s="191"/>
      <x:c r="AJ47" s="191"/>
      <x:c r="AK47" s="191"/>
    </x:row>
    <x:row r="48">
      <x:c r="A48" s="198" t="str">
        <x:v>EURUSD</x:v>
      </x:c>
      <x:c r="B48" s="198" t="str">
        <x:v>FX</x:v>
      </x:c>
      <x:c r="C48" s="198" t="n">
        <x:v>9</x:v>
      </x:c>
      <x:c r="D48" s="198" t="str">
        <x:v>30Y</x:v>
      </x:c>
      <x:c r="E48" s="265" t="n">
        <x:f>'03_Curve_Base_Shocks'!J48</x:f>
        <x:v>-480</x:v>
      </x:c>
      <x:c r="F48" s="201" t="n">
        <x:v>80</x:v>
      </x:c>
      <x:c r="G48" s="201" t="n">
        <x:v>0.005</x:v>
      </x:c>
      <x:c r="H48" s="254" t="n">
        <x:f>F48*E48+0.5*G48*E48^2</x:f>
        <x:v>-37824</x:v>
      </x:c>
      <x:c r="I48" s="191" t="n">
        <x:v>48</x:v>
      </x:c>
      <x:c r="J48" s="191" t="str">
        <x:v>Illustrative surrogate only</x:v>
      </x:c>
      <x:c r="K48" s="191"/>
      <x:c r="L48" s="198" t="str">
        <x:v>ATM</x:v>
      </x:c>
      <x:c r="M48" s="198" t="n">
        <x:v>5</x:v>
      </x:c>
      <x:c r="N48" s="198" t="str">
        <x:v>2Y</x:v>
      </x:c>
      <x:c r="O48" s="198" t="str">
        <x:v>2Y</x:v>
      </x:c>
      <x:c r="P48" s="266" t="n">
        <x:v>0.027</x:v>
      </x:c>
      <x:c r="Q48" s="201" t="n">
        <x:v>29000</x:v>
      </x:c>
      <x:c r="R48" s="267" t="n">
        <x:v>4000</x:v>
      </x:c>
      <x:c r="S48" s="254" t="n">
        <x:f>Q48*P48+0.5*R48*P48^2</x:f>
        <x:v>784.458</x:v>
      </x:c>
      <x:c r="T48" s="191" t="str">
        <x:v>IR</x:v>
      </x:c>
      <x:c r="U48" s="191" t="str">
        <x:v>Illustrative surrogate only</x:v>
      </x:c>
      <x:c r="V48" s="191"/>
      <x:c r="W48" s="191"/>
      <x:c r="X48" s="191"/>
      <x:c r="Y48" s="191"/>
      <x:c r="Z48" s="191"/>
      <x:c r="AA48" s="191"/>
      <x:c r="AB48" s="191"/>
      <x:c r="AC48" s="191"/>
      <x:c r="AD48" s="191"/>
      <x:c r="AE48" s="191"/>
      <x:c r="AF48" s="191"/>
      <x:c r="AG48" s="191"/>
      <x:c r="AH48" s="191"/>
      <x:c r="AI48" s="191"/>
      <x:c r="AJ48" s="191"/>
      <x:c r="AK48" s="191"/>
    </x:row>
    <x:row r="49">
      <x:c r="A49" s="198" t="str">
        <x:v>ESTRN</x:v>
      </x:c>
      <x:c r="B49" s="198" t="str">
        <x:v>IR</x:v>
      </x:c>
      <x:c r="C49" s="198" t="n">
        <x:v>1</x:v>
      </x:c>
      <x:c r="D49" s="198" t="str">
        <x:v>3M</x:v>
      </x:c>
      <x:c r="E49" s="265" t="n">
        <x:f>'03_Curve_Base_Shocks'!J49</x:f>
        <x:v>-100</x:v>
      </x:c>
      <x:c r="F49" s="201" t="n">
        <x:v>-300</x:v>
      </x:c>
      <x:c r="G49" s="201" t="n">
        <x:v>0.2</x:v>
      </x:c>
      <x:c r="H49" s="254" t="n">
        <x:f>F49*E49+0.5*G49*E49^2</x:f>
        <x:v>31000</x:v>
      </x:c>
      <x:c r="I49" s="191" t="n">
        <x:v>49</x:v>
      </x:c>
      <x:c r="J49" s="191" t="str">
        <x:v>Illustrative surrogate only</x:v>
      </x:c>
      <x:c r="K49" s="191"/>
      <x:c r="L49" s="198" t="str">
        <x:v>ATM</x:v>
      </x:c>
      <x:c r="M49" s="198" t="n">
        <x:v>5</x:v>
      </x:c>
      <x:c r="N49" s="198" t="str">
        <x:v>2Y</x:v>
      </x:c>
      <x:c r="O49" s="198" t="str">
        <x:v>3Y</x:v>
      </x:c>
      <x:c r="P49" s="266" t="n">
        <x:v>0.027999999999999997</x:v>
      </x:c>
      <x:c r="Q49" s="201" t="n">
        <x:v>29500</x:v>
      </x:c>
      <x:c r="R49" s="267" t="n">
        <x:v>4000</x:v>
      </x:c>
      <x:c r="S49" s="254" t="n">
        <x:f>Q49*P49+0.5*R49*P49^2</x:f>
        <x:v>827.5679999999999</x:v>
      </x:c>
      <x:c r="T49" s="191" t="str">
        <x:v>IR</x:v>
      </x:c>
      <x:c r="U49" s="191" t="str">
        <x:v>Illustrative surrogate only</x:v>
      </x:c>
      <x:c r="V49" s="191"/>
      <x:c r="W49" s="191"/>
      <x:c r="X49" s="191"/>
      <x:c r="Y49" s="191"/>
      <x:c r="Z49" s="191"/>
      <x:c r="AA49" s="191"/>
      <x:c r="AB49" s="191"/>
      <x:c r="AC49" s="191"/>
      <x:c r="AD49" s="191"/>
      <x:c r="AE49" s="191"/>
      <x:c r="AF49" s="191"/>
      <x:c r="AG49" s="191"/>
      <x:c r="AH49" s="191"/>
      <x:c r="AI49" s="191"/>
      <x:c r="AJ49" s="191"/>
      <x:c r="AK49" s="191"/>
    </x:row>
    <x:row r="50">
      <x:c r="A50" s="198" t="str">
        <x:v>ESTRN</x:v>
      </x:c>
      <x:c r="B50" s="198" t="str">
        <x:v>IR</x:v>
      </x:c>
      <x:c r="C50" s="198" t="n">
        <x:v>2</x:v>
      </x:c>
      <x:c r="D50" s="198" t="str">
        <x:v>6M</x:v>
      </x:c>
      <x:c r="E50" s="265" t="n">
        <x:f>'03_Curve_Base_Shocks'!J50</x:f>
        <x:v>-115</x:v>
      </x:c>
      <x:c r="F50" s="201" t="n">
        <x:v>-437.5</x:v>
      </x:c>
      <x:c r="G50" s="201" t="n">
        <x:v>0.2</x:v>
      </x:c>
      <x:c r="H50" s="254" t="n">
        <x:f>F50*E50+0.5*G50*E50^2</x:f>
        <x:v>51635</x:v>
      </x:c>
      <x:c r="I50" s="191" t="n">
        <x:v>50</x:v>
      </x:c>
      <x:c r="J50" s="191" t="str">
        <x:v>Illustrative surrogate only</x:v>
      </x:c>
      <x:c r="K50" s="191"/>
      <x:c r="L50" s="198" t="str">
        <x:v>ATM</x:v>
      </x:c>
      <x:c r="M50" s="198" t="n">
        <x:v>5</x:v>
      </x:c>
      <x:c r="N50" s="198" t="str">
        <x:v>2Y</x:v>
      </x:c>
      <x:c r="O50" s="198" t="str">
        <x:v>5Y</x:v>
      </x:c>
      <x:c r="P50" s="266" t="n">
        <x:v>0.028999999999999998</x:v>
      </x:c>
      <x:c r="Q50" s="201" t="n">
        <x:v>30000</x:v>
      </x:c>
      <x:c r="R50" s="267" t="n">
        <x:v>4000</x:v>
      </x:c>
      <x:c r="S50" s="254" t="n">
        <x:f>Q50*P50+0.5*R50*P50^2</x:f>
        <x:v>871.6819999999999</x:v>
      </x:c>
      <x:c r="T50" s="191" t="str">
        <x:v>IR</x:v>
      </x:c>
      <x:c r="U50" s="191" t="str">
        <x:v>Illustrative surrogate only</x:v>
      </x:c>
      <x:c r="V50" s="191"/>
      <x:c r="W50" s="191"/>
      <x:c r="X50" s="191"/>
      <x:c r="Y50" s="191"/>
      <x:c r="Z50" s="191"/>
      <x:c r="AA50" s="191"/>
      <x:c r="AB50" s="191"/>
      <x:c r="AC50" s="191"/>
      <x:c r="AD50" s="191"/>
      <x:c r="AE50" s="191"/>
      <x:c r="AF50" s="191"/>
      <x:c r="AG50" s="191"/>
      <x:c r="AH50" s="191"/>
      <x:c r="AI50" s="191"/>
      <x:c r="AJ50" s="191"/>
      <x:c r="AK50" s="191"/>
    </x:row>
    <x:row r="51">
      <x:c r="A51" s="198" t="str">
        <x:v>ESTRN</x:v>
      </x:c>
      <x:c r="B51" s="198" t="str">
        <x:v>IR</x:v>
      </x:c>
      <x:c r="C51" s="198" t="n">
        <x:v>3</x:v>
      </x:c>
      <x:c r="D51" s="198" t="str">
        <x:v>1Y</x:v>
      </x:c>
      <x:c r="E51" s="265" t="n">
        <x:f>'03_Curve_Base_Shocks'!J51</x:f>
        <x:v>-130</x:v>
      </x:c>
      <x:c r="F51" s="201" t="n">
        <x:v>-575</x:v>
      </x:c>
      <x:c r="G51" s="201" t="n">
        <x:v>0.2</x:v>
      </x:c>
      <x:c r="H51" s="254" t="n">
        <x:f>F51*E51+0.5*G51*E51^2</x:f>
        <x:v>76440</x:v>
      </x:c>
      <x:c r="I51" s="191" t="n">
        <x:v>51</x:v>
      </x:c>
      <x:c r="J51" s="191" t="str">
        <x:v>Illustrative surrogate only</x:v>
      </x:c>
      <x:c r="K51" s="191"/>
      <x:c r="L51" s="198" t="str">
        <x:v>ATM</x:v>
      </x:c>
      <x:c r="M51" s="198" t="n">
        <x:v>5</x:v>
      </x:c>
      <x:c r="N51" s="198" t="str">
        <x:v>2Y</x:v>
      </x:c>
      <x:c r="O51" s="198" t="str">
        <x:v>10Y</x:v>
      </x:c>
      <x:c r="P51" s="266" t="n">
        <x:v>0.03</x:v>
      </x:c>
      <x:c r="Q51" s="201" t="n">
        <x:v>30500</x:v>
      </x:c>
      <x:c r="R51" s="267" t="n">
        <x:v>4000</x:v>
      </x:c>
      <x:c r="S51" s="254" t="n">
        <x:f>Q51*P51+0.5*R51*P51^2</x:f>
        <x:v>916.8</x:v>
      </x:c>
      <x:c r="T51" s="191" t="str">
        <x:v>IR</x:v>
      </x:c>
      <x:c r="U51" s="191" t="str">
        <x:v>Illustrative surrogate only</x:v>
      </x:c>
      <x:c r="V51" s="191"/>
      <x:c r="W51" s="191"/>
      <x:c r="X51" s="191"/>
      <x:c r="Y51" s="191"/>
      <x:c r="Z51" s="191"/>
      <x:c r="AA51" s="191"/>
      <x:c r="AB51" s="191"/>
      <x:c r="AC51" s="191"/>
      <x:c r="AD51" s="191"/>
      <x:c r="AE51" s="191"/>
      <x:c r="AF51" s="191"/>
      <x:c r="AG51" s="191"/>
      <x:c r="AH51" s="191"/>
      <x:c r="AI51" s="191"/>
      <x:c r="AJ51" s="191"/>
      <x:c r="AK51" s="191"/>
    </x:row>
    <x:row r="52">
      <x:c r="A52" s="198" t="str">
        <x:v>ESTRN</x:v>
      </x:c>
      <x:c r="B52" s="198" t="str">
        <x:v>IR</x:v>
      </x:c>
      <x:c r="C52" s="198" t="n">
        <x:v>4</x:v>
      </x:c>
      <x:c r="D52" s="198" t="str">
        <x:v>2Y</x:v>
      </x:c>
      <x:c r="E52" s="265" t="n">
        <x:f>'03_Curve_Base_Shocks'!J52</x:f>
        <x:v>-145</x:v>
      </x:c>
      <x:c r="F52" s="201" t="n">
        <x:v>-712.5</x:v>
      </x:c>
      <x:c r="G52" s="201" t="n">
        <x:v>0.2</x:v>
      </x:c>
      <x:c r="H52" s="254" t="n">
        <x:f>F52*E52+0.5*G52*E52^2</x:f>
        <x:v>105415</x:v>
      </x:c>
      <x:c r="I52" s="191" t="n">
        <x:v>52</x:v>
      </x:c>
      <x:c r="J52" s="191" t="str">
        <x:v>Illustrative surrogate only</x:v>
      </x:c>
      <x:c r="K52" s="191"/>
      <x:c r="L52" s="198" t="str">
        <x:v>ATM</x:v>
      </x:c>
      <x:c r="M52" s="198" t="n">
        <x:v>5</x:v>
      </x:c>
      <x:c r="N52" s="198" t="str">
        <x:v>2Y</x:v>
      </x:c>
      <x:c r="O52" s="198" t="str">
        <x:v>20Y</x:v>
      </x:c>
      <x:c r="P52" s="266" t="n">
        <x:v>0.031</x:v>
      </x:c>
      <x:c r="Q52" s="201" t="n">
        <x:v>31000</x:v>
      </x:c>
      <x:c r="R52" s="267" t="n">
        <x:v>4000</x:v>
      </x:c>
      <x:c r="S52" s="254" t="n">
        <x:f>Q52*P52+0.5*R52*P52^2</x:f>
        <x:v>962.922</x:v>
      </x:c>
      <x:c r="T52" s="191" t="str">
        <x:v>IR</x:v>
      </x:c>
      <x:c r="U52" s="191" t="str">
        <x:v>Illustrative surrogate only</x:v>
      </x:c>
      <x:c r="V52" s="191"/>
      <x:c r="W52" s="191"/>
      <x:c r="X52" s="191"/>
      <x:c r="Y52" s="191"/>
      <x:c r="Z52" s="191"/>
      <x:c r="AA52" s="191"/>
      <x:c r="AB52" s="191"/>
      <x:c r="AC52" s="191"/>
      <x:c r="AD52" s="191"/>
      <x:c r="AE52" s="191"/>
      <x:c r="AF52" s="191"/>
      <x:c r="AG52" s="191"/>
      <x:c r="AH52" s="191"/>
      <x:c r="AI52" s="191"/>
      <x:c r="AJ52" s="191"/>
      <x:c r="AK52" s="191"/>
    </x:row>
    <x:row r="53">
      <x:c r="A53" s="198" t="str">
        <x:v>ESTRN</x:v>
      </x:c>
      <x:c r="B53" s="198" t="str">
        <x:v>IR</x:v>
      </x:c>
      <x:c r="C53" s="198" t="n">
        <x:v>5</x:v>
      </x:c>
      <x:c r="D53" s="198" t="str">
        <x:v>3Y</x:v>
      </x:c>
      <x:c r="E53" s="265" t="n">
        <x:f>'03_Curve_Base_Shocks'!J53</x:f>
        <x:v>-155</x:v>
      </x:c>
      <x:c r="F53" s="201" t="n">
        <x:v>-850</x:v>
      </x:c>
      <x:c r="G53" s="201" t="n">
        <x:v>0.2</x:v>
      </x:c>
      <x:c r="H53" s="254" t="n">
        <x:f>F53*E53+0.5*G53*E53^2</x:f>
        <x:v>134152.5</x:v>
      </x:c>
      <x:c r="I53" s="191" t="n">
        <x:v>53</x:v>
      </x:c>
      <x:c r="J53" s="191" t="str">
        <x:v>Illustrative surrogate only</x:v>
      </x:c>
      <x:c r="K53" s="191"/>
      <x:c r="L53" s="198" t="str">
        <x:v>ATM</x:v>
      </x:c>
      <x:c r="M53" s="198" t="n">
        <x:v>5</x:v>
      </x:c>
      <x:c r="N53" s="198" t="str">
        <x:v>2Y</x:v>
      </x:c>
      <x:c r="O53" s="198" t="str">
        <x:v>30Y</x:v>
      </x:c>
      <x:c r="P53" s="266" t="n">
        <x:v>0.032</x:v>
      </x:c>
      <x:c r="Q53" s="201" t="n">
        <x:v>31500</x:v>
      </x:c>
      <x:c r="R53" s="267" t="n">
        <x:v>4000</x:v>
      </x:c>
      <x:c r="S53" s="254" t="n">
        <x:f>Q53*P53+0.5*R53*P53^2</x:f>
        <x:v>1010.048</x:v>
      </x:c>
      <x:c r="T53" s="191" t="str">
        <x:v>IR</x:v>
      </x:c>
      <x:c r="U53" s="191" t="str">
        <x:v>Illustrative surrogate only</x:v>
      </x:c>
      <x:c r="V53" s="191"/>
      <x:c r="W53" s="191"/>
      <x:c r="X53" s="191"/>
      <x:c r="Y53" s="191"/>
      <x:c r="Z53" s="191"/>
      <x:c r="AA53" s="191"/>
      <x:c r="AB53" s="191"/>
      <x:c r="AC53" s="191"/>
      <x:c r="AD53" s="191"/>
      <x:c r="AE53" s="191"/>
      <x:c r="AF53" s="191"/>
      <x:c r="AG53" s="191"/>
      <x:c r="AH53" s="191"/>
      <x:c r="AI53" s="191"/>
      <x:c r="AJ53" s="191"/>
      <x:c r="AK53" s="191"/>
    </x:row>
    <x:row r="54">
      <x:c r="A54" s="198" t="str">
        <x:v>ESTRN</x:v>
      </x:c>
      <x:c r="B54" s="198" t="str">
        <x:v>IR</x:v>
      </x:c>
      <x:c r="C54" s="198" t="n">
        <x:v>6</x:v>
      </x:c>
      <x:c r="D54" s="198" t="str">
        <x:v>5Y</x:v>
      </x:c>
      <x:c r="E54" s="265" t="n">
        <x:f>'03_Curve_Base_Shocks'!J54</x:f>
        <x:v>-160</x:v>
      </x:c>
      <x:c r="F54" s="201" t="n">
        <x:v>-987.5</x:v>
      </x:c>
      <x:c r="G54" s="201" t="n">
        <x:v>0.2</x:v>
      </x:c>
      <x:c r="H54" s="254" t="n">
        <x:f>F54*E54+0.5*G54*E54^2</x:f>
        <x:v>160560</x:v>
      </x:c>
      <x:c r="I54" s="191" t="n">
        <x:v>54</x:v>
      </x:c>
      <x:c r="J54" s="191" t="str">
        <x:v>Illustrative surrogate only</x:v>
      </x:c>
      <x:c r="K54" s="191"/>
      <x:c r="L54" s="198" t="str">
        <x:v>ATM</x:v>
      </x:c>
      <x:c r="M54" s="198" t="n">
        <x:v>6</x:v>
      </x:c>
      <x:c r="N54" s="198" t="str">
        <x:v>3Y</x:v>
      </x:c>
      <x:c r="O54" s="198" t="str">
        <x:v>1M</x:v>
      </x:c>
      <x:c r="P54" s="266" t="n">
        <x:v>0.025</x:v>
      </x:c>
      <x:c r="Q54" s="201" t="n">
        <x:v>27900</x:v>
      </x:c>
      <x:c r="R54" s="267" t="n">
        <x:v>4000</x:v>
      </x:c>
      <x:c r="S54" s="254" t="n">
        <x:f>Q54*P54+0.5*R54*P54^2</x:f>
        <x:v>698.75</x:v>
      </x:c>
      <x:c r="T54" s="191" t="str">
        <x:v>IR</x:v>
      </x:c>
      <x:c r="U54" s="191" t="str">
        <x:v>Illustrative surrogate only</x:v>
      </x:c>
      <x:c r="V54" s="191"/>
      <x:c r="W54" s="191"/>
      <x:c r="X54" s="191"/>
      <x:c r="Y54" s="191"/>
      <x:c r="Z54" s="191"/>
      <x:c r="AA54" s="191"/>
      <x:c r="AB54" s="191"/>
      <x:c r="AC54" s="191"/>
      <x:c r="AD54" s="191"/>
      <x:c r="AE54" s="191"/>
      <x:c r="AF54" s="191"/>
      <x:c r="AG54" s="191"/>
      <x:c r="AH54" s="191"/>
      <x:c r="AI54" s="191"/>
      <x:c r="AJ54" s="191"/>
      <x:c r="AK54" s="191"/>
    </x:row>
    <x:row r="55">
      <x:c r="A55" s="198" t="str">
        <x:v>ESTRN</x:v>
      </x:c>
      <x:c r="B55" s="198" t="str">
        <x:v>IR</x:v>
      </x:c>
      <x:c r="C55" s="198" t="n">
        <x:v>7</x:v>
      </x:c>
      <x:c r="D55" s="198" t="str">
        <x:v>10Y</x:v>
      </x:c>
      <x:c r="E55" s="265" t="n">
        <x:f>'03_Curve_Base_Shocks'!J55</x:f>
        <x:v>-150</x:v>
      </x:c>
      <x:c r="F55" s="201" t="n">
        <x:v>-1125</x:v>
      </x:c>
      <x:c r="G55" s="201" t="n">
        <x:v>0.2</x:v>
      </x:c>
      <x:c r="H55" s="254" t="n">
        <x:f>F55*E55+0.5*G55*E55^2</x:f>
        <x:v>171000</x:v>
      </x:c>
      <x:c r="I55" s="191" t="n">
        <x:v>55</x:v>
      </x:c>
      <x:c r="J55" s="191" t="str">
        <x:v>Illustrative surrogate only</x:v>
      </x:c>
      <x:c r="K55" s="191"/>
      <x:c r="L55" s="198" t="str">
        <x:v>ATM</x:v>
      </x:c>
      <x:c r="M55" s="198" t="n">
        <x:v>6</x:v>
      </x:c>
      <x:c r="N55" s="198" t="str">
        <x:v>3Y</x:v>
      </x:c>
      <x:c r="O55" s="198" t="str">
        <x:v>3M</x:v>
      </x:c>
      <x:c r="P55" s="266" t="n">
        <x:v>0.026000000000000002</x:v>
      </x:c>
      <x:c r="Q55" s="201" t="n">
        <x:v>28400</x:v>
      </x:c>
      <x:c r="R55" s="267" t="n">
        <x:v>4000</x:v>
      </x:c>
      <x:c r="S55" s="254" t="n">
        <x:f>Q55*P55+0.5*R55*P55^2</x:f>
        <x:v>739.7520000000001</x:v>
      </x:c>
      <x:c r="T55" s="191" t="str">
        <x:v>IR</x:v>
      </x:c>
      <x:c r="U55" s="191" t="str">
        <x:v>Illustrative surrogate only</x:v>
      </x:c>
      <x:c r="V55" s="191"/>
      <x:c r="W55" s="191"/>
      <x:c r="X55" s="191"/>
      <x:c r="Y55" s="191"/>
      <x:c r="Z55" s="191"/>
      <x:c r="AA55" s="191"/>
      <x:c r="AB55" s="191"/>
      <x:c r="AC55" s="191"/>
      <x:c r="AD55" s="191"/>
      <x:c r="AE55" s="191"/>
      <x:c r="AF55" s="191"/>
      <x:c r="AG55" s="191"/>
      <x:c r="AH55" s="191"/>
      <x:c r="AI55" s="191"/>
      <x:c r="AJ55" s="191"/>
      <x:c r="AK55" s="191"/>
    </x:row>
    <x:row r="56">
      <x:c r="A56" s="198" t="str">
        <x:v>ESTRN</x:v>
      </x:c>
      <x:c r="B56" s="198" t="str">
        <x:v>IR</x:v>
      </x:c>
      <x:c r="C56" s="198" t="n">
        <x:v>8</x:v>
      </x:c>
      <x:c r="D56" s="198" t="str">
        <x:v>20Y</x:v>
      </x:c>
      <x:c r="E56" s="265" t="n">
        <x:f>'03_Curve_Base_Shocks'!J56</x:f>
        <x:v>-135</x:v>
      </x:c>
      <x:c r="F56" s="201" t="n">
        <x:v>-1262.5</x:v>
      </x:c>
      <x:c r="G56" s="201" t="n">
        <x:v>0.2</x:v>
      </x:c>
      <x:c r="H56" s="254" t="n">
        <x:f>F56*E56+0.5*G56*E56^2</x:f>
        <x:v>172260</x:v>
      </x:c>
      <x:c r="I56" s="191" t="n">
        <x:v>56</x:v>
      </x:c>
      <x:c r="J56" s="191" t="str">
        <x:v>Illustrative surrogate only</x:v>
      </x:c>
      <x:c r="K56" s="191"/>
      <x:c r="L56" s="198" t="str">
        <x:v>ATM</x:v>
      </x:c>
      <x:c r="M56" s="198" t="n">
        <x:v>6</x:v>
      </x:c>
      <x:c r="N56" s="198" t="str">
        <x:v>3Y</x:v>
      </x:c>
      <x:c r="O56" s="198" t="str">
        <x:v>6M</x:v>
      </x:c>
      <x:c r="P56" s="266" t="n">
        <x:v>0.027</x:v>
      </x:c>
      <x:c r="Q56" s="201" t="n">
        <x:v>28900</x:v>
      </x:c>
      <x:c r="R56" s="267" t="n">
        <x:v>4000</x:v>
      </x:c>
      <x:c r="S56" s="254" t="n">
        <x:f>Q56*P56+0.5*R56*P56^2</x:f>
        <x:v>781.7579999999999</x:v>
      </x:c>
      <x:c r="T56" s="191" t="str">
        <x:v>IR</x:v>
      </x:c>
      <x:c r="U56" s="191" t="str">
        <x:v>Illustrative surrogate only</x:v>
      </x:c>
      <x:c r="V56" s="191"/>
      <x:c r="W56" s="191"/>
      <x:c r="X56" s="191"/>
      <x:c r="Y56" s="191"/>
      <x:c r="Z56" s="191"/>
      <x:c r="AA56" s="191"/>
      <x:c r="AB56" s="191"/>
      <x:c r="AC56" s="191"/>
      <x:c r="AD56" s="191"/>
      <x:c r="AE56" s="191"/>
      <x:c r="AF56" s="191"/>
      <x:c r="AG56" s="191"/>
      <x:c r="AH56" s="191"/>
      <x:c r="AI56" s="191"/>
      <x:c r="AJ56" s="191"/>
      <x:c r="AK56" s="191"/>
    </x:row>
    <x:row r="57">
      <x:c r="A57" s="198" t="str">
        <x:v>ESTRN</x:v>
      </x:c>
      <x:c r="B57" s="198" t="str">
        <x:v>IR</x:v>
      </x:c>
      <x:c r="C57" s="198" t="n">
        <x:v>9</x:v>
      </x:c>
      <x:c r="D57" s="198" t="str">
        <x:v>30Y</x:v>
      </x:c>
      <x:c r="E57" s="265" t="n">
        <x:f>'03_Curve_Base_Shocks'!J57</x:f>
        <x:v>-120</x:v>
      </x:c>
      <x:c r="F57" s="201" t="n">
        <x:v>-1400</x:v>
      </x:c>
      <x:c r="G57" s="201" t="n">
        <x:v>0.2</x:v>
      </x:c>
      <x:c r="H57" s="254" t="n">
        <x:f>F57*E57+0.5*G57*E57^2</x:f>
        <x:v>169440</x:v>
      </x:c>
      <x:c r="I57" s="191" t="n">
        <x:v>57</x:v>
      </x:c>
      <x:c r="J57" s="191" t="str">
        <x:v>Illustrative surrogate only</x:v>
      </x:c>
      <x:c r="K57" s="191"/>
      <x:c r="L57" s="198" t="str">
        <x:v>ATM</x:v>
      </x:c>
      <x:c r="M57" s="198" t="n">
        <x:v>6</x:v>
      </x:c>
      <x:c r="N57" s="198" t="str">
        <x:v>3Y</x:v>
      </x:c>
      <x:c r="O57" s="198" t="str">
        <x:v>1Y</x:v>
      </x:c>
      <x:c r="P57" s="266" t="n">
        <x:v>0.028</x:v>
      </x:c>
      <x:c r="Q57" s="201" t="n">
        <x:v>29400</x:v>
      </x:c>
      <x:c r="R57" s="267" t="n">
        <x:v>4000</x:v>
      </x:c>
      <x:c r="S57" s="254" t="n">
        <x:f>Q57*P57+0.5*R57*P57^2</x:f>
        <x:v>824.768</x:v>
      </x:c>
      <x:c r="T57" s="191" t="str">
        <x:v>IR</x:v>
      </x:c>
      <x:c r="U57" s="191" t="str">
        <x:v>Illustrative surrogate only</x:v>
      </x:c>
      <x:c r="V57" s="191"/>
      <x:c r="W57" s="191"/>
      <x:c r="X57" s="191"/>
      <x:c r="Y57" s="191"/>
      <x:c r="Z57" s="191"/>
      <x:c r="AA57" s="191"/>
      <x:c r="AB57" s="191"/>
      <x:c r="AC57" s="191"/>
      <x:c r="AD57" s="191"/>
      <x:c r="AE57" s="191"/>
      <x:c r="AF57" s="191"/>
      <x:c r="AG57" s="191"/>
      <x:c r="AH57" s="191"/>
      <x:c r="AI57" s="191"/>
      <x:c r="AJ57" s="191"/>
      <x:c r="AK57" s="191"/>
    </x:row>
    <x:row r="58">
      <x:c r="A58" s="191"/>
      <x:c r="B58" s="191"/>
      <x:c r="C58" s="191"/>
      <x:c r="D58" s="191"/>
      <x:c r="E58" s="191"/>
      <x:c r="F58" s="191"/>
      <x:c r="G58" s="191"/>
      <x:c r="H58" s="191"/>
      <x:c r="I58" s="191"/>
      <x:c r="J58" s="191"/>
      <x:c r="K58" s="191"/>
      <x:c r="L58" s="198" t="str">
        <x:v>ATM</x:v>
      </x:c>
      <x:c r="M58" s="198" t="n">
        <x:v>6</x:v>
      </x:c>
      <x:c r="N58" s="198" t="str">
        <x:v>3Y</x:v>
      </x:c>
      <x:c r="O58" s="198" t="str">
        <x:v>2Y</x:v>
      </x:c>
      <x:c r="P58" s="266" t="n">
        <x:v>0.029</x:v>
      </x:c>
      <x:c r="Q58" s="201" t="n">
        <x:v>29900</x:v>
      </x:c>
      <x:c r="R58" s="267" t="n">
        <x:v>4000</x:v>
      </x:c>
      <x:c r="S58" s="254" t="n">
        <x:f>Q58*P58+0.5*R58*P58^2</x:f>
        <x:v>868.782</x:v>
      </x:c>
      <x:c r="T58" s="191" t="str">
        <x:v>IR</x:v>
      </x:c>
      <x:c r="U58" s="191" t="str">
        <x:v>Illustrative surrogate only</x:v>
      </x:c>
      <x:c r="V58" s="191"/>
      <x:c r="W58" s="191"/>
      <x:c r="X58" s="191"/>
      <x:c r="Y58" s="191"/>
      <x:c r="Z58" s="191"/>
      <x:c r="AA58" s="191"/>
      <x:c r="AB58" s="191"/>
      <x:c r="AC58" s="191"/>
      <x:c r="AD58" s="191"/>
      <x:c r="AE58" s="191"/>
      <x:c r="AF58" s="191"/>
      <x:c r="AG58" s="191"/>
      <x:c r="AH58" s="191"/>
      <x:c r="AI58" s="191"/>
      <x:c r="AJ58" s="191"/>
      <x:c r="AK58" s="191"/>
    </x:row>
    <x:row r="59">
      <x:c r="A59" s="191"/>
      <x:c r="B59" s="191"/>
      <x:c r="C59" s="191"/>
      <x:c r="D59" s="191"/>
      <x:c r="E59" s="191"/>
      <x:c r="F59" s="191"/>
      <x:c r="G59" s="191"/>
      <x:c r="H59" s="191"/>
      <x:c r="I59" s="191"/>
      <x:c r="J59" s="191"/>
      <x:c r="K59" s="191"/>
      <x:c r="L59" s="198" t="str">
        <x:v>ATM</x:v>
      </x:c>
      <x:c r="M59" s="198" t="n">
        <x:v>6</x:v>
      </x:c>
      <x:c r="N59" s="198" t="str">
        <x:v>3Y</x:v>
      </x:c>
      <x:c r="O59" s="198" t="str">
        <x:v>3Y</x:v>
      </x:c>
      <x:c r="P59" s="266" t="n">
        <x:v>0.03</x:v>
      </x:c>
      <x:c r="Q59" s="201" t="n">
        <x:v>30400</x:v>
      </x:c>
      <x:c r="R59" s="267" t="n">
        <x:v>4000</x:v>
      </x:c>
      <x:c r="S59" s="254" t="n">
        <x:f>Q59*P59+0.5*R59*P59^2</x:f>
        <x:v>913.8</x:v>
      </x:c>
      <x:c r="T59" s="191" t="str">
        <x:v>IR</x:v>
      </x:c>
      <x:c r="U59" s="191" t="str">
        <x:v>Illustrative surrogate only</x:v>
      </x:c>
      <x:c r="V59" s="191"/>
      <x:c r="W59" s="191"/>
      <x:c r="X59" s="191"/>
      <x:c r="Y59" s="191"/>
      <x:c r="Z59" s="191"/>
      <x:c r="AA59" s="191"/>
      <x:c r="AB59" s="191"/>
      <x:c r="AC59" s="191"/>
      <x:c r="AD59" s="191"/>
      <x:c r="AE59" s="191"/>
      <x:c r="AF59" s="191"/>
      <x:c r="AG59" s="191"/>
      <x:c r="AH59" s="191"/>
      <x:c r="AI59" s="191"/>
      <x:c r="AJ59" s="191"/>
      <x:c r="AK59" s="191"/>
    </x:row>
    <x:row r="60">
      <x:c r="A60" s="191"/>
      <x:c r="B60" s="191"/>
      <x:c r="C60" s="191"/>
      <x:c r="D60" s="191"/>
      <x:c r="E60" s="191"/>
      <x:c r="F60" s="191"/>
      <x:c r="G60" s="191"/>
      <x:c r="H60" s="191"/>
      <x:c r="I60" s="191"/>
      <x:c r="J60" s="191"/>
      <x:c r="K60" s="191"/>
      <x:c r="L60" s="198" t="str">
        <x:v>ATM</x:v>
      </x:c>
      <x:c r="M60" s="198" t="n">
        <x:v>6</x:v>
      </x:c>
      <x:c r="N60" s="198" t="str">
        <x:v>3Y</x:v>
      </x:c>
      <x:c r="O60" s="198" t="str">
        <x:v>5Y</x:v>
      </x:c>
      <x:c r="P60" s="266" t="n">
        <x:v>0.031</x:v>
      </x:c>
      <x:c r="Q60" s="201" t="n">
        <x:v>30900</x:v>
      </x:c>
      <x:c r="R60" s="267" t="n">
        <x:v>4000</x:v>
      </x:c>
      <x:c r="S60" s="254" t="n">
        <x:f>Q60*P60+0.5*R60*P60^2</x:f>
        <x:v>959.822</x:v>
      </x:c>
      <x:c r="T60" s="191" t="str">
        <x:v>IR</x:v>
      </x:c>
      <x:c r="U60" s="191" t="str">
        <x:v>Illustrative surrogate only</x:v>
      </x:c>
      <x:c r="V60" s="191"/>
      <x:c r="W60" s="191"/>
      <x:c r="X60" s="191"/>
      <x:c r="Y60" s="191"/>
      <x:c r="Z60" s="191"/>
      <x:c r="AA60" s="191"/>
      <x:c r="AB60" s="191"/>
      <x:c r="AC60" s="191"/>
      <x:c r="AD60" s="191"/>
      <x:c r="AE60" s="191"/>
      <x:c r="AF60" s="191"/>
      <x:c r="AG60" s="191"/>
      <x:c r="AH60" s="191"/>
      <x:c r="AI60" s="191"/>
      <x:c r="AJ60" s="191"/>
      <x:c r="AK60" s="191"/>
    </x:row>
    <x:row r="61">
      <x:c r="A61" s="191"/>
      <x:c r="B61" s="191"/>
      <x:c r="C61" s="191"/>
      <x:c r="D61" s="191"/>
      <x:c r="E61" s="191"/>
      <x:c r="F61" s="191"/>
      <x:c r="G61" s="191"/>
      <x:c r="H61" s="191"/>
      <x:c r="I61" s="191"/>
      <x:c r="J61" s="191"/>
      <x:c r="K61" s="191"/>
      <x:c r="L61" s="198" t="str">
        <x:v>ATM</x:v>
      </x:c>
      <x:c r="M61" s="198" t="n">
        <x:v>6</x:v>
      </x:c>
      <x:c r="N61" s="198" t="str">
        <x:v>3Y</x:v>
      </x:c>
      <x:c r="O61" s="198" t="str">
        <x:v>10Y</x:v>
      </x:c>
      <x:c r="P61" s="266" t="n">
        <x:v>0.032</x:v>
      </x:c>
      <x:c r="Q61" s="201" t="n">
        <x:v>31400</x:v>
      </x:c>
      <x:c r="R61" s="267" t="n">
        <x:v>4000</x:v>
      </x:c>
      <x:c r="S61" s="254" t="n">
        <x:f>Q61*P61+0.5*R61*P61^2</x:f>
        <x:v>1006.8480000000001</x:v>
      </x:c>
      <x:c r="T61" s="191" t="str">
        <x:v>IR</x:v>
      </x:c>
      <x:c r="U61" s="191" t="str">
        <x:v>Illustrative surrogate only</x:v>
      </x:c>
      <x:c r="V61" s="191"/>
      <x:c r="W61" s="191"/>
      <x:c r="X61" s="191"/>
      <x:c r="Y61" s="191"/>
      <x:c r="Z61" s="191"/>
      <x:c r="AA61" s="191"/>
      <x:c r="AB61" s="191"/>
      <x:c r="AC61" s="191"/>
      <x:c r="AD61" s="191"/>
      <x:c r="AE61" s="191"/>
      <x:c r="AF61" s="191"/>
      <x:c r="AG61" s="191"/>
      <x:c r="AH61" s="191"/>
      <x:c r="AI61" s="191"/>
      <x:c r="AJ61" s="191"/>
      <x:c r="AK61" s="191"/>
    </x:row>
    <x:row r="62">
      <x:c r="A62" s="191"/>
      <x:c r="B62" s="191"/>
      <x:c r="C62" s="191"/>
      <x:c r="D62" s="191"/>
      <x:c r="E62" s="191"/>
      <x:c r="F62" s="191"/>
      <x:c r="G62" s="191"/>
      <x:c r="H62" s="191"/>
      <x:c r="I62" s="191"/>
      <x:c r="J62" s="191"/>
      <x:c r="K62" s="191"/>
      <x:c r="L62" s="198" t="str">
        <x:v>ATM</x:v>
      </x:c>
      <x:c r="M62" s="198" t="n">
        <x:v>6</x:v>
      </x:c>
      <x:c r="N62" s="198" t="str">
        <x:v>3Y</x:v>
      </x:c>
      <x:c r="O62" s="198" t="str">
        <x:v>20Y</x:v>
      </x:c>
      <x:c r="P62" s="266" t="n">
        <x:v>0.033</x:v>
      </x:c>
      <x:c r="Q62" s="201" t="n">
        <x:v>31900</x:v>
      </x:c>
      <x:c r="R62" s="267" t="n">
        <x:v>4000</x:v>
      </x:c>
      <x:c r="S62" s="254" t="n">
        <x:f>Q62*P62+0.5*R62*P62^2</x:f>
        <x:v>1054.8780000000002</x:v>
      </x:c>
      <x:c r="T62" s="191" t="str">
        <x:v>IR</x:v>
      </x:c>
      <x:c r="U62" s="191" t="str">
        <x:v>Illustrative surrogate only</x:v>
      </x:c>
      <x:c r="V62" s="191"/>
      <x:c r="W62" s="191"/>
      <x:c r="X62" s="191"/>
      <x:c r="Y62" s="191"/>
      <x:c r="Z62" s="191"/>
      <x:c r="AA62" s="191"/>
      <x:c r="AB62" s="191"/>
      <x:c r="AC62" s="191"/>
      <x:c r="AD62" s="191"/>
      <x:c r="AE62" s="191"/>
      <x:c r="AF62" s="191"/>
      <x:c r="AG62" s="191"/>
      <x:c r="AH62" s="191"/>
      <x:c r="AI62" s="191"/>
      <x:c r="AJ62" s="191"/>
      <x:c r="AK62" s="191"/>
    </x:row>
    <x:row r="63">
      <x:c r="A63" s="191"/>
      <x:c r="B63" s="191"/>
      <x:c r="C63" s="191"/>
      <x:c r="D63" s="191"/>
      <x:c r="E63" s="191"/>
      <x:c r="F63" s="191"/>
      <x:c r="G63" s="191"/>
      <x:c r="H63" s="191"/>
      <x:c r="I63" s="191"/>
      <x:c r="J63" s="191"/>
      <x:c r="K63" s="191"/>
      <x:c r="L63" s="198" t="str">
        <x:v>ATM</x:v>
      </x:c>
      <x:c r="M63" s="198" t="n">
        <x:v>6</x:v>
      </x:c>
      <x:c r="N63" s="198" t="str">
        <x:v>3Y</x:v>
      </x:c>
      <x:c r="O63" s="198" t="str">
        <x:v>30Y</x:v>
      </x:c>
      <x:c r="P63" s="266" t="n">
        <x:v>0.034</x:v>
      </x:c>
      <x:c r="Q63" s="201" t="n">
        <x:v>32400</x:v>
      </x:c>
      <x:c r="R63" s="267" t="n">
        <x:v>4000</x:v>
      </x:c>
      <x:c r="S63" s="254" t="n">
        <x:f>Q63*P63+0.5*R63*P63^2</x:f>
        <x:v>1103.912</x:v>
      </x:c>
      <x:c r="T63" s="191" t="str">
        <x:v>IR</x:v>
      </x:c>
      <x:c r="U63" s="191" t="str">
        <x:v>Illustrative surrogate only</x:v>
      </x:c>
      <x:c r="V63" s="191"/>
      <x:c r="W63" s="191"/>
      <x:c r="X63" s="191"/>
      <x:c r="Y63" s="191"/>
      <x:c r="Z63" s="191"/>
      <x:c r="AA63" s="191"/>
      <x:c r="AB63" s="191"/>
      <x:c r="AC63" s="191"/>
      <x:c r="AD63" s="191"/>
      <x:c r="AE63" s="191"/>
      <x:c r="AF63" s="191"/>
      <x:c r="AG63" s="191"/>
      <x:c r="AH63" s="191"/>
      <x:c r="AI63" s="191"/>
      <x:c r="AJ63" s="191"/>
      <x:c r="AK63" s="191"/>
    </x:row>
    <x:row r="64">
      <x:c r="A64" s="191"/>
      <x:c r="B64" s="191"/>
      <x:c r="C64" s="191"/>
      <x:c r="D64" s="191"/>
      <x:c r="E64" s="191"/>
      <x:c r="F64" s="191"/>
      <x:c r="G64" s="191"/>
      <x:c r="H64" s="191"/>
      <x:c r="I64" s="191"/>
      <x:c r="J64" s="191"/>
      <x:c r="K64" s="191"/>
      <x:c r="L64" s="198" t="str">
        <x:v>ATM</x:v>
      </x:c>
      <x:c r="M64" s="198" t="n">
        <x:v>7</x:v>
      </x:c>
      <x:c r="N64" s="198" t="str">
        <x:v>5Y</x:v>
      </x:c>
      <x:c r="O64" s="198" t="str">
        <x:v>1M</x:v>
      </x:c>
      <x:c r="P64" s="266" t="n">
        <x:v>0.027000000000000003</x:v>
      </x:c>
      <x:c r="Q64" s="201" t="n">
        <x:v>28800</x:v>
      </x:c>
      <x:c r="R64" s="267" t="n">
        <x:v>4000</x:v>
      </x:c>
      <x:c r="S64" s="254" t="n">
        <x:f>Q64*P64+0.5*R64*P64^2</x:f>
        <x:v>779.0580000000001</x:v>
      </x:c>
      <x:c r="T64" s="191" t="str">
        <x:v>IR</x:v>
      </x:c>
      <x:c r="U64" s="191" t="str">
        <x:v>Illustrative surrogate only</x:v>
      </x:c>
      <x:c r="V64" s="191"/>
      <x:c r="W64" s="191"/>
      <x:c r="X64" s="191"/>
      <x:c r="Y64" s="191"/>
      <x:c r="Z64" s="191"/>
      <x:c r="AA64" s="191"/>
      <x:c r="AB64" s="191"/>
      <x:c r="AC64" s="191"/>
      <x:c r="AD64" s="191"/>
      <x:c r="AE64" s="191"/>
      <x:c r="AF64" s="191"/>
      <x:c r="AG64" s="191"/>
      <x:c r="AH64" s="191"/>
      <x:c r="AI64" s="191"/>
      <x:c r="AJ64" s="191"/>
      <x:c r="AK64" s="191"/>
    </x:row>
    <x:row r="65">
      <x:c r="A65" s="191"/>
      <x:c r="B65" s="191"/>
      <x:c r="C65" s="191"/>
      <x:c r="D65" s="191"/>
      <x:c r="E65" s="191"/>
      <x:c r="F65" s="191"/>
      <x:c r="G65" s="191"/>
      <x:c r="H65" s="191"/>
      <x:c r="I65" s="191"/>
      <x:c r="J65" s="191"/>
      <x:c r="K65" s="191"/>
      <x:c r="L65" s="198" t="str">
        <x:v>ATM</x:v>
      </x:c>
      <x:c r="M65" s="198" t="n">
        <x:v>7</x:v>
      </x:c>
      <x:c r="N65" s="198" t="str">
        <x:v>5Y</x:v>
      </x:c>
      <x:c r="O65" s="198" t="str">
        <x:v>3M</x:v>
      </x:c>
      <x:c r="P65" s="266" t="n">
        <x:v>0.028000000000000004</x:v>
      </x:c>
      <x:c r="Q65" s="201" t="n">
        <x:v>29300</x:v>
      </x:c>
      <x:c r="R65" s="267" t="n">
        <x:v>4000</x:v>
      </x:c>
      <x:c r="S65" s="254" t="n">
        <x:f>Q65*P65+0.5*R65*P65^2</x:f>
        <x:v>821.9680000000001</x:v>
      </x:c>
      <x:c r="T65" s="191" t="str">
        <x:v>IR</x:v>
      </x:c>
      <x:c r="U65" s="191" t="str">
        <x:v>Illustrative surrogate only</x:v>
      </x:c>
      <x:c r="V65" s="191"/>
      <x:c r="W65" s="191"/>
      <x:c r="X65" s="191"/>
      <x:c r="Y65" s="191"/>
      <x:c r="Z65" s="191"/>
      <x:c r="AA65" s="191"/>
      <x:c r="AB65" s="191"/>
      <x:c r="AC65" s="191"/>
      <x:c r="AD65" s="191"/>
      <x:c r="AE65" s="191"/>
      <x:c r="AF65" s="191"/>
      <x:c r="AG65" s="191"/>
      <x:c r="AH65" s="191"/>
      <x:c r="AI65" s="191"/>
      <x:c r="AJ65" s="191"/>
      <x:c r="AK65" s="191"/>
    </x:row>
    <x:row r="66">
      <x:c r="A66" s="191"/>
      <x:c r="B66" s="191"/>
      <x:c r="C66" s="191"/>
      <x:c r="D66" s="191"/>
      <x:c r="E66" s="191"/>
      <x:c r="F66" s="191"/>
      <x:c r="G66" s="191"/>
      <x:c r="H66" s="191"/>
      <x:c r="I66" s="191"/>
      <x:c r="J66" s="191"/>
      <x:c r="K66" s="191"/>
      <x:c r="L66" s="198" t="str">
        <x:v>ATM</x:v>
      </x:c>
      <x:c r="M66" s="198" t="n">
        <x:v>7</x:v>
      </x:c>
      <x:c r="N66" s="198" t="str">
        <x:v>5Y</x:v>
      </x:c>
      <x:c r="O66" s="198" t="str">
        <x:v>6M</x:v>
      </x:c>
      <x:c r="P66" s="266" t="n">
        <x:v>0.029</x:v>
      </x:c>
      <x:c r="Q66" s="201" t="n">
        <x:v>29800</x:v>
      </x:c>
      <x:c r="R66" s="267" t="n">
        <x:v>4000</x:v>
      </x:c>
      <x:c r="S66" s="254" t="n">
        <x:f>Q66*P66+0.5*R66*P66^2</x:f>
        <x:v>865.8820000000001</x:v>
      </x:c>
      <x:c r="T66" s="191" t="str">
        <x:v>IR</x:v>
      </x:c>
      <x:c r="U66" s="191" t="str">
        <x:v>Illustrative surrogate only</x:v>
      </x:c>
      <x:c r="V66" s="191"/>
      <x:c r="W66" s="191"/>
      <x:c r="X66" s="191"/>
      <x:c r="Y66" s="191"/>
      <x:c r="Z66" s="191"/>
      <x:c r="AA66" s="191"/>
      <x:c r="AB66" s="191"/>
      <x:c r="AC66" s="191"/>
      <x:c r="AD66" s="191"/>
      <x:c r="AE66" s="191"/>
      <x:c r="AF66" s="191"/>
      <x:c r="AG66" s="191"/>
      <x:c r="AH66" s="191"/>
      <x:c r="AI66" s="191"/>
      <x:c r="AJ66" s="191"/>
      <x:c r="AK66" s="191"/>
    </x:row>
    <x:row r="67">
      <x:c r="A67" s="191"/>
      <x:c r="B67" s="191"/>
      <x:c r="C67" s="191"/>
      <x:c r="D67" s="191"/>
      <x:c r="E67" s="191"/>
      <x:c r="F67" s="191"/>
      <x:c r="G67" s="191"/>
      <x:c r="H67" s="191"/>
      <x:c r="I67" s="191"/>
      <x:c r="J67" s="191"/>
      <x:c r="K67" s="191"/>
      <x:c r="L67" s="198" t="str">
        <x:v>ATM</x:v>
      </x:c>
      <x:c r="M67" s="198" t="n">
        <x:v>7</x:v>
      </x:c>
      <x:c r="N67" s="198" t="str">
        <x:v>5Y</x:v>
      </x:c>
      <x:c r="O67" s="198" t="str">
        <x:v>1Y</x:v>
      </x:c>
      <x:c r="P67" s="266" t="n">
        <x:v>0.030000000000000002</x:v>
      </x:c>
      <x:c r="Q67" s="201" t="n">
        <x:v>30300</x:v>
      </x:c>
      <x:c r="R67" s="267" t="n">
        <x:v>4000</x:v>
      </x:c>
      <x:c r="S67" s="254" t="n">
        <x:f>Q67*P67+0.5*R67*P67^2</x:f>
        <x:v>910.8000000000001</x:v>
      </x:c>
      <x:c r="T67" s="191" t="str">
        <x:v>IR</x:v>
      </x:c>
      <x:c r="U67" s="191" t="str">
        <x:v>Illustrative surrogate only</x:v>
      </x:c>
      <x:c r="V67" s="191"/>
      <x:c r="W67" s="191"/>
      <x:c r="X67" s="191"/>
      <x:c r="Y67" s="191"/>
      <x:c r="Z67" s="191"/>
      <x:c r="AA67" s="191"/>
      <x:c r="AB67" s="191"/>
      <x:c r="AC67" s="191"/>
      <x:c r="AD67" s="191"/>
      <x:c r="AE67" s="191"/>
      <x:c r="AF67" s="191"/>
      <x:c r="AG67" s="191"/>
      <x:c r="AH67" s="191"/>
      <x:c r="AI67" s="191"/>
      <x:c r="AJ67" s="191"/>
      <x:c r="AK67" s="191"/>
    </x:row>
    <x:row r="68">
      <x:c r="A68" s="191"/>
      <x:c r="B68" s="191"/>
      <x:c r="C68" s="191"/>
      <x:c r="D68" s="191"/>
      <x:c r="E68" s="191"/>
      <x:c r="F68" s="191"/>
      <x:c r="G68" s="191"/>
      <x:c r="H68" s="191"/>
      <x:c r="I68" s="191"/>
      <x:c r="J68" s="191"/>
      <x:c r="K68" s="191"/>
      <x:c r="L68" s="198" t="str">
        <x:v>ATM</x:v>
      </x:c>
      <x:c r="M68" s="198" t="n">
        <x:v>7</x:v>
      </x:c>
      <x:c r="N68" s="198" t="str">
        <x:v>5Y</x:v>
      </x:c>
      <x:c r="O68" s="198" t="str">
        <x:v>2Y</x:v>
      </x:c>
      <x:c r="P68" s="266" t="n">
        <x:v>0.031000000000000003</x:v>
      </x:c>
      <x:c r="Q68" s="201" t="n">
        <x:v>30800</x:v>
      </x:c>
      <x:c r="R68" s="267" t="n">
        <x:v>4000</x:v>
      </x:c>
      <x:c r="S68" s="254" t="n">
        <x:f>Q68*P68+0.5*R68*P68^2</x:f>
        <x:v>956.7220000000001</x:v>
      </x:c>
      <x:c r="T68" s="191" t="str">
        <x:v>IR</x:v>
      </x:c>
      <x:c r="U68" s="191" t="str">
        <x:v>Illustrative surrogate only</x:v>
      </x:c>
      <x:c r="V68" s="191"/>
      <x:c r="W68" s="191"/>
      <x:c r="X68" s="191"/>
      <x:c r="Y68" s="191"/>
      <x:c r="Z68" s="191"/>
      <x:c r="AA68" s="191"/>
      <x:c r="AB68" s="191"/>
      <x:c r="AC68" s="191"/>
      <x:c r="AD68" s="191"/>
      <x:c r="AE68" s="191"/>
      <x:c r="AF68" s="191"/>
      <x:c r="AG68" s="191"/>
      <x:c r="AH68" s="191"/>
      <x:c r="AI68" s="191"/>
      <x:c r="AJ68" s="191"/>
      <x:c r="AK68" s="191"/>
    </x:row>
    <x:row r="69">
      <x:c r="A69" s="191"/>
      <x:c r="B69" s="191"/>
      <x:c r="C69" s="191"/>
      <x:c r="D69" s="191"/>
      <x:c r="E69" s="191"/>
      <x:c r="F69" s="191"/>
      <x:c r="G69" s="191"/>
      <x:c r="H69" s="191"/>
      <x:c r="I69" s="191"/>
      <x:c r="J69" s="191"/>
      <x:c r="K69" s="191"/>
      <x:c r="L69" s="198" t="str">
        <x:v>ATM</x:v>
      </x:c>
      <x:c r="M69" s="198" t="n">
        <x:v>7</x:v>
      </x:c>
      <x:c r="N69" s="198" t="str">
        <x:v>5Y</x:v>
      </x:c>
      <x:c r="O69" s="198" t="str">
        <x:v>3Y</x:v>
      </x:c>
      <x:c r="P69" s="266" t="n">
        <x:v>0.032</x:v>
      </x:c>
      <x:c r="Q69" s="201" t="n">
        <x:v>31300</x:v>
      </x:c>
      <x:c r="R69" s="267" t="n">
        <x:v>4000</x:v>
      </x:c>
      <x:c r="S69" s="254" t="n">
        <x:f>Q69*P69+0.5*R69*P69^2</x:f>
        <x:v>1003.648</x:v>
      </x:c>
      <x:c r="T69" s="191" t="str">
        <x:v>IR</x:v>
      </x:c>
      <x:c r="U69" s="191" t="str">
        <x:v>Illustrative surrogate only</x:v>
      </x:c>
      <x:c r="V69" s="191"/>
      <x:c r="W69" s="191"/>
      <x:c r="X69" s="191"/>
      <x:c r="Y69" s="191"/>
      <x:c r="Z69" s="191"/>
      <x:c r="AA69" s="191"/>
      <x:c r="AB69" s="191"/>
      <x:c r="AC69" s="191"/>
      <x:c r="AD69" s="191"/>
      <x:c r="AE69" s="191"/>
      <x:c r="AF69" s="191"/>
      <x:c r="AG69" s="191"/>
      <x:c r="AH69" s="191"/>
      <x:c r="AI69" s="191"/>
      <x:c r="AJ69" s="191"/>
      <x:c r="AK69" s="191"/>
    </x:row>
    <x:row r="70">
      <x:c r="A70" s="191"/>
      <x:c r="B70" s="191"/>
      <x:c r="C70" s="191"/>
      <x:c r="D70" s="191"/>
      <x:c r="E70" s="191"/>
      <x:c r="F70" s="191"/>
      <x:c r="G70" s="191"/>
      <x:c r="H70" s="191"/>
      <x:c r="I70" s="191"/>
      <x:c r="J70" s="191"/>
      <x:c r="K70" s="191"/>
      <x:c r="L70" s="198" t="str">
        <x:v>ATM</x:v>
      </x:c>
      <x:c r="M70" s="198" t="n">
        <x:v>7</x:v>
      </x:c>
      <x:c r="N70" s="198" t="str">
        <x:v>5Y</x:v>
      </x:c>
      <x:c r="O70" s="198" t="str">
        <x:v>5Y</x:v>
      </x:c>
      <x:c r="P70" s="266" t="n">
        <x:v>0.033</x:v>
      </x:c>
      <x:c r="Q70" s="201" t="n">
        <x:v>31800</x:v>
      </x:c>
      <x:c r="R70" s="267" t="n">
        <x:v>4000</x:v>
      </x:c>
      <x:c r="S70" s="254" t="n">
        <x:f>Q70*P70+0.5*R70*P70^2</x:f>
        <x:v>1051.5780000000002</x:v>
      </x:c>
      <x:c r="T70" s="191" t="str">
        <x:v>IR</x:v>
      </x:c>
      <x:c r="U70" s="191" t="str">
        <x:v>Illustrative surrogate only</x:v>
      </x:c>
      <x:c r="V70" s="191"/>
      <x:c r="W70" s="191"/>
      <x:c r="X70" s="191"/>
      <x:c r="Y70" s="191"/>
      <x:c r="Z70" s="191"/>
      <x:c r="AA70" s="191"/>
      <x:c r="AB70" s="191"/>
      <x:c r="AC70" s="191"/>
      <x:c r="AD70" s="191"/>
      <x:c r="AE70" s="191"/>
      <x:c r="AF70" s="191"/>
      <x:c r="AG70" s="191"/>
      <x:c r="AH70" s="191"/>
      <x:c r="AI70" s="191"/>
      <x:c r="AJ70" s="191"/>
      <x:c r="AK70" s="191"/>
    </x:row>
    <x:row r="71">
      <x:c r="A71" s="191"/>
      <x:c r="B71" s="191"/>
      <x:c r="C71" s="191"/>
      <x:c r="D71" s="191"/>
      <x:c r="E71" s="191"/>
      <x:c r="F71" s="191"/>
      <x:c r="G71" s="191"/>
      <x:c r="H71" s="191"/>
      <x:c r="I71" s="191"/>
      <x:c r="J71" s="191"/>
      <x:c r="K71" s="191"/>
      <x:c r="L71" s="198" t="str">
        <x:v>ATM</x:v>
      </x:c>
      <x:c r="M71" s="198" t="n">
        <x:v>7</x:v>
      </x:c>
      <x:c r="N71" s="198" t="str">
        <x:v>5Y</x:v>
      </x:c>
      <x:c r="O71" s="198" t="str">
        <x:v>10Y</x:v>
      </x:c>
      <x:c r="P71" s="266" t="n">
        <x:v>0.034</x:v>
      </x:c>
      <x:c r="Q71" s="201" t="n">
        <x:v>32300</x:v>
      </x:c>
      <x:c r="R71" s="267" t="n">
        <x:v>4000</x:v>
      </x:c>
      <x:c r="S71" s="254" t="n">
        <x:f>Q71*P71+0.5*R71*P71^2</x:f>
        <x:v>1100.512</x:v>
      </x:c>
      <x:c r="T71" s="191" t="str">
        <x:v>IR</x:v>
      </x:c>
      <x:c r="U71" s="191" t="str">
        <x:v>Illustrative surrogate only</x:v>
      </x:c>
      <x:c r="V71" s="191"/>
      <x:c r="W71" s="191"/>
      <x:c r="X71" s="191"/>
      <x:c r="Y71" s="191"/>
      <x:c r="Z71" s="191"/>
      <x:c r="AA71" s="191"/>
      <x:c r="AB71" s="191"/>
      <x:c r="AC71" s="191"/>
      <x:c r="AD71" s="191"/>
      <x:c r="AE71" s="191"/>
      <x:c r="AF71" s="191"/>
      <x:c r="AG71" s="191"/>
      <x:c r="AH71" s="191"/>
      <x:c r="AI71" s="191"/>
      <x:c r="AJ71" s="191"/>
      <x:c r="AK71" s="191"/>
    </x:row>
    <x:row r="72">
      <x:c r="A72" s="191"/>
      <x:c r="B72" s="191"/>
      <x:c r="C72" s="191"/>
      <x:c r="D72" s="191"/>
      <x:c r="E72" s="191"/>
      <x:c r="F72" s="191"/>
      <x:c r="G72" s="191"/>
      <x:c r="H72" s="191"/>
      <x:c r="I72" s="191"/>
      <x:c r="J72" s="191"/>
      <x:c r="K72" s="191"/>
      <x:c r="L72" s="198" t="str">
        <x:v>ATM</x:v>
      </x:c>
      <x:c r="M72" s="198" t="n">
        <x:v>7</x:v>
      </x:c>
      <x:c r="N72" s="198" t="str">
        <x:v>5Y</x:v>
      </x:c>
      <x:c r="O72" s="198" t="str">
        <x:v>20Y</x:v>
      </x:c>
      <x:c r="P72" s="266" t="n">
        <x:v>0.035</x:v>
      </x:c>
      <x:c r="Q72" s="201" t="n">
        <x:v>32800</x:v>
      </x:c>
      <x:c r="R72" s="267" t="n">
        <x:v>4000</x:v>
      </x:c>
      <x:c r="S72" s="254" t="n">
        <x:f>Q72*P72+0.5*R72*P72^2</x:f>
        <x:v>1150.45</x:v>
      </x:c>
      <x:c r="T72" s="191" t="str">
        <x:v>IR</x:v>
      </x:c>
      <x:c r="U72" s="191" t="str">
        <x:v>Illustrative surrogate only</x:v>
      </x:c>
      <x:c r="V72" s="191"/>
      <x:c r="W72" s="191"/>
      <x:c r="X72" s="191"/>
      <x:c r="Y72" s="191"/>
      <x:c r="Z72" s="191"/>
      <x:c r="AA72" s="191"/>
      <x:c r="AB72" s="191"/>
      <x:c r="AC72" s="191"/>
      <x:c r="AD72" s="191"/>
      <x:c r="AE72" s="191"/>
      <x:c r="AF72" s="191"/>
      <x:c r="AG72" s="191"/>
      <x:c r="AH72" s="191"/>
      <x:c r="AI72" s="191"/>
      <x:c r="AJ72" s="191"/>
      <x:c r="AK72" s="191"/>
    </x:row>
    <x:row r="73">
      <x:c r="A73" s="191"/>
      <x:c r="B73" s="191"/>
      <x:c r="C73" s="191"/>
      <x:c r="D73" s="191"/>
      <x:c r="E73" s="191"/>
      <x:c r="F73" s="191"/>
      <x:c r="G73" s="191"/>
      <x:c r="H73" s="191"/>
      <x:c r="I73" s="191"/>
      <x:c r="J73" s="191"/>
      <x:c r="K73" s="191"/>
      <x:c r="L73" s="198" t="str">
        <x:v>ATM</x:v>
      </x:c>
      <x:c r="M73" s="198" t="n">
        <x:v>7</x:v>
      </x:c>
      <x:c r="N73" s="198" t="str">
        <x:v>5Y</x:v>
      </x:c>
      <x:c r="O73" s="198" t="str">
        <x:v>30Y</x:v>
      </x:c>
      <x:c r="P73" s="266" t="n">
        <x:v>0.036000000000000004</x:v>
      </x:c>
      <x:c r="Q73" s="201" t="n">
        <x:v>33300</x:v>
      </x:c>
      <x:c r="R73" s="267" t="n">
        <x:v>4000</x:v>
      </x:c>
      <x:c r="S73" s="254" t="n">
        <x:f>Q73*P73+0.5*R73*P73^2</x:f>
        <x:v>1201.3920000000003</x:v>
      </x:c>
      <x:c r="T73" s="191" t="str">
        <x:v>IR</x:v>
      </x:c>
      <x:c r="U73" s="191" t="str">
        <x:v>Illustrative surrogate only</x:v>
      </x:c>
      <x:c r="V73" s="191"/>
      <x:c r="W73" s="191"/>
      <x:c r="X73" s="191"/>
      <x:c r="Y73" s="191"/>
      <x:c r="Z73" s="191"/>
      <x:c r="AA73" s="191"/>
      <x:c r="AB73" s="191"/>
      <x:c r="AC73" s="191"/>
      <x:c r="AD73" s="191"/>
      <x:c r="AE73" s="191"/>
      <x:c r="AF73" s="191"/>
      <x:c r="AG73" s="191"/>
      <x:c r="AH73" s="191"/>
      <x:c r="AI73" s="191"/>
      <x:c r="AJ73" s="191"/>
      <x:c r="AK73" s="191"/>
    </x:row>
    <x:row r="74">
      <x:c r="A74" s="191"/>
      <x:c r="B74" s="191"/>
      <x:c r="C74" s="191"/>
      <x:c r="D74" s="191"/>
      <x:c r="E74" s="191"/>
      <x:c r="F74" s="191"/>
      <x:c r="G74" s="191"/>
      <x:c r="H74" s="191"/>
      <x:c r="I74" s="191"/>
      <x:c r="J74" s="191"/>
      <x:c r="K74" s="191"/>
      <x:c r="L74" s="198" t="str">
        <x:v>ATM</x:v>
      </x:c>
      <x:c r="M74" s="198" t="n">
        <x:v>8</x:v>
      </x:c>
      <x:c r="N74" s="198" t="str">
        <x:v>10Y</x:v>
      </x:c>
      <x:c r="O74" s="198" t="str">
        <x:v>1M</x:v>
      </x:c>
      <x:c r="P74" s="266" t="n">
        <x:v>0.029</x:v>
      </x:c>
      <x:c r="Q74" s="201" t="n">
        <x:v>29700</x:v>
      </x:c>
      <x:c r="R74" s="267" t="n">
        <x:v>4000</x:v>
      </x:c>
      <x:c r="S74" s="254" t="n">
        <x:f>Q74*P74+0.5*R74*P74^2</x:f>
        <x:v>862.9820000000001</x:v>
      </x:c>
      <x:c r="T74" s="191" t="str">
        <x:v>IR</x:v>
      </x:c>
      <x:c r="U74" s="191" t="str">
        <x:v>Illustrative surrogate only</x:v>
      </x:c>
      <x:c r="V74" s="191"/>
      <x:c r="W74" s="191"/>
      <x:c r="X74" s="191"/>
      <x:c r="Y74" s="191"/>
      <x:c r="Z74" s="191"/>
      <x:c r="AA74" s="191"/>
      <x:c r="AB74" s="191"/>
      <x:c r="AC74" s="191"/>
      <x:c r="AD74" s="191"/>
      <x:c r="AE74" s="191"/>
      <x:c r="AF74" s="191"/>
      <x:c r="AG74" s="191"/>
      <x:c r="AH74" s="191"/>
      <x:c r="AI74" s="191"/>
      <x:c r="AJ74" s="191"/>
      <x:c r="AK74" s="191"/>
    </x:row>
    <x:row r="75">
      <x:c r="A75" s="191"/>
      <x:c r="B75" s="191"/>
      <x:c r="C75" s="191"/>
      <x:c r="D75" s="191"/>
      <x:c r="E75" s="191"/>
      <x:c r="F75" s="191"/>
      <x:c r="G75" s="191"/>
      <x:c r="H75" s="191"/>
      <x:c r="I75" s="191"/>
      <x:c r="J75" s="191"/>
      <x:c r="K75" s="191"/>
      <x:c r="L75" s="198" t="str">
        <x:v>ATM</x:v>
      </x:c>
      <x:c r="M75" s="198" t="n">
        <x:v>8</x:v>
      </x:c>
      <x:c r="N75" s="198" t="str">
        <x:v>10Y</x:v>
      </x:c>
      <x:c r="O75" s="198" t="str">
        <x:v>3M</x:v>
      </x:c>
      <x:c r="P75" s="266" t="n">
        <x:v>0.03</x:v>
      </x:c>
      <x:c r="Q75" s="201" t="n">
        <x:v>30200</x:v>
      </x:c>
      <x:c r="R75" s="267" t="n">
        <x:v>4000</x:v>
      </x:c>
      <x:c r="S75" s="254" t="n">
        <x:f>Q75*P75+0.5*R75*P75^2</x:f>
        <x:v>907.8</x:v>
      </x:c>
      <x:c r="T75" s="191" t="str">
        <x:v>IR</x:v>
      </x:c>
      <x:c r="U75" s="191" t="str">
        <x:v>Illustrative surrogate only</x:v>
      </x:c>
      <x:c r="V75" s="191"/>
      <x:c r="W75" s="191"/>
      <x:c r="X75" s="191"/>
      <x:c r="Y75" s="191"/>
      <x:c r="Z75" s="191"/>
      <x:c r="AA75" s="191"/>
      <x:c r="AB75" s="191"/>
      <x:c r="AC75" s="191"/>
      <x:c r="AD75" s="191"/>
      <x:c r="AE75" s="191"/>
      <x:c r="AF75" s="191"/>
      <x:c r="AG75" s="191"/>
      <x:c r="AH75" s="191"/>
      <x:c r="AI75" s="191"/>
      <x:c r="AJ75" s="191"/>
      <x:c r="AK75" s="191"/>
    </x:row>
    <x:row r="76">
      <x:c r="A76" s="191"/>
      <x:c r="B76" s="191"/>
      <x:c r="C76" s="191"/>
      <x:c r="D76" s="191"/>
      <x:c r="E76" s="191"/>
      <x:c r="F76" s="191"/>
      <x:c r="G76" s="191"/>
      <x:c r="H76" s="191"/>
      <x:c r="I76" s="191"/>
      <x:c r="J76" s="191"/>
      <x:c r="K76" s="191"/>
      <x:c r="L76" s="198" t="str">
        <x:v>ATM</x:v>
      </x:c>
      <x:c r="M76" s="198" t="n">
        <x:v>8</x:v>
      </x:c>
      <x:c r="N76" s="198" t="str">
        <x:v>10Y</x:v>
      </x:c>
      <x:c r="O76" s="198" t="str">
        <x:v>6M</x:v>
      </x:c>
      <x:c r="P76" s="266" t="n">
        <x:v>0.031</x:v>
      </x:c>
      <x:c r="Q76" s="201" t="n">
        <x:v>30700</x:v>
      </x:c>
      <x:c r="R76" s="267" t="n">
        <x:v>4000</x:v>
      </x:c>
      <x:c r="S76" s="254" t="n">
        <x:f>Q76*P76+0.5*R76*P76^2</x:f>
        <x:v>953.6220000000001</x:v>
      </x:c>
      <x:c r="T76" s="191" t="str">
        <x:v>IR</x:v>
      </x:c>
      <x:c r="U76" s="191" t="str">
        <x:v>Illustrative surrogate only</x:v>
      </x:c>
      <x:c r="V76" s="191"/>
      <x:c r="W76" s="191"/>
      <x:c r="X76" s="191"/>
      <x:c r="Y76" s="191"/>
      <x:c r="Z76" s="191"/>
      <x:c r="AA76" s="191"/>
      <x:c r="AB76" s="191"/>
      <x:c r="AC76" s="191"/>
      <x:c r="AD76" s="191"/>
      <x:c r="AE76" s="191"/>
      <x:c r="AF76" s="191"/>
      <x:c r="AG76" s="191"/>
      <x:c r="AH76" s="191"/>
      <x:c r="AI76" s="191"/>
      <x:c r="AJ76" s="191"/>
      <x:c r="AK76" s="191"/>
    </x:row>
    <x:row r="77">
      <x:c r="A77" s="191"/>
      <x:c r="B77" s="191"/>
      <x:c r="C77" s="191"/>
      <x:c r="D77" s="191"/>
      <x:c r="E77" s="191"/>
      <x:c r="F77" s="191"/>
      <x:c r="G77" s="191"/>
      <x:c r="H77" s="191"/>
      <x:c r="I77" s="191"/>
      <x:c r="J77" s="191"/>
      <x:c r="K77" s="191"/>
      <x:c r="L77" s="198" t="str">
        <x:v>ATM</x:v>
      </x:c>
      <x:c r="M77" s="198" t="n">
        <x:v>8</x:v>
      </x:c>
      <x:c r="N77" s="198" t="str">
        <x:v>10Y</x:v>
      </x:c>
      <x:c r="O77" s="198" t="str">
        <x:v>1Y</x:v>
      </x:c>
      <x:c r="P77" s="266" t="n">
        <x:v>0.032</x:v>
      </x:c>
      <x:c r="Q77" s="201" t="n">
        <x:v>31200</x:v>
      </x:c>
      <x:c r="R77" s="267" t="n">
        <x:v>4000</x:v>
      </x:c>
      <x:c r="S77" s="254" t="n">
        <x:f>Q77*P77+0.5*R77*P77^2</x:f>
        <x:v>1000.448</x:v>
      </x:c>
      <x:c r="T77" s="191" t="str">
        <x:v>IR</x:v>
      </x:c>
      <x:c r="U77" s="191" t="str">
        <x:v>Illustrative surrogate only</x:v>
      </x:c>
      <x:c r="V77" s="191"/>
      <x:c r="W77" s="191"/>
      <x:c r="X77" s="191"/>
      <x:c r="Y77" s="191"/>
      <x:c r="Z77" s="191"/>
      <x:c r="AA77" s="191"/>
      <x:c r="AB77" s="191"/>
      <x:c r="AC77" s="191"/>
      <x:c r="AD77" s="191"/>
      <x:c r="AE77" s="191"/>
      <x:c r="AF77" s="191"/>
      <x:c r="AG77" s="191"/>
      <x:c r="AH77" s="191"/>
      <x:c r="AI77" s="191"/>
      <x:c r="AJ77" s="191"/>
      <x:c r="AK77" s="191"/>
    </x:row>
    <x:row r="78">
      <x:c r="A78" s="191"/>
      <x:c r="B78" s="191"/>
      <x:c r="C78" s="191"/>
      <x:c r="D78" s="191"/>
      <x:c r="E78" s="191"/>
      <x:c r="F78" s="191"/>
      <x:c r="G78" s="191"/>
      <x:c r="H78" s="191"/>
      <x:c r="I78" s="191"/>
      <x:c r="J78" s="191"/>
      <x:c r="K78" s="191"/>
      <x:c r="L78" s="198" t="str">
        <x:v>ATM</x:v>
      </x:c>
      <x:c r="M78" s="198" t="n">
        <x:v>8</x:v>
      </x:c>
      <x:c r="N78" s="198" t="str">
        <x:v>10Y</x:v>
      </x:c>
      <x:c r="O78" s="198" t="str">
        <x:v>2Y</x:v>
      </x:c>
      <x:c r="P78" s="266" t="n">
        <x:v>0.033</x:v>
      </x:c>
      <x:c r="Q78" s="201" t="n">
        <x:v>31700</x:v>
      </x:c>
      <x:c r="R78" s="267" t="n">
        <x:v>4000</x:v>
      </x:c>
      <x:c r="S78" s="254" t="n">
        <x:f>Q78*P78+0.5*R78*P78^2</x:f>
        <x:v>1048.2780000000002</x:v>
      </x:c>
      <x:c r="T78" s="191" t="str">
        <x:v>IR</x:v>
      </x:c>
      <x:c r="U78" s="191" t="str">
        <x:v>Illustrative surrogate only</x:v>
      </x:c>
      <x:c r="V78" s="191"/>
      <x:c r="W78" s="191"/>
      <x:c r="X78" s="191"/>
      <x:c r="Y78" s="191"/>
      <x:c r="Z78" s="191"/>
      <x:c r="AA78" s="191"/>
      <x:c r="AB78" s="191"/>
      <x:c r="AC78" s="191"/>
      <x:c r="AD78" s="191"/>
      <x:c r="AE78" s="191"/>
      <x:c r="AF78" s="191"/>
      <x:c r="AG78" s="191"/>
      <x:c r="AH78" s="191"/>
      <x:c r="AI78" s="191"/>
      <x:c r="AJ78" s="191"/>
      <x:c r="AK78" s="191"/>
    </x:row>
    <x:row r="79">
      <x:c r="A79" s="191"/>
      <x:c r="B79" s="191"/>
      <x:c r="C79" s="191"/>
      <x:c r="D79" s="191"/>
      <x:c r="E79" s="191"/>
      <x:c r="F79" s="191"/>
      <x:c r="G79" s="191"/>
      <x:c r="H79" s="191"/>
      <x:c r="I79" s="191"/>
      <x:c r="J79" s="191"/>
      <x:c r="K79" s="191"/>
      <x:c r="L79" s="198" t="str">
        <x:v>ATM</x:v>
      </x:c>
      <x:c r="M79" s="198" t="n">
        <x:v>8</x:v>
      </x:c>
      <x:c r="N79" s="198" t="str">
        <x:v>10Y</x:v>
      </x:c>
      <x:c r="O79" s="198" t="str">
        <x:v>3Y</x:v>
      </x:c>
      <x:c r="P79" s="266" t="n">
        <x:v>0.034</x:v>
      </x:c>
      <x:c r="Q79" s="201" t="n">
        <x:v>32200</x:v>
      </x:c>
      <x:c r="R79" s="267" t="n">
        <x:v>4000</x:v>
      </x:c>
      <x:c r="S79" s="254" t="n">
        <x:f>Q79*P79+0.5*R79*P79^2</x:f>
        <x:v>1097.112</x:v>
      </x:c>
      <x:c r="T79" s="191" t="str">
        <x:v>IR</x:v>
      </x:c>
      <x:c r="U79" s="191" t="str">
        <x:v>Illustrative surrogate only</x:v>
      </x:c>
      <x:c r="V79" s="191"/>
      <x:c r="W79" s="191"/>
      <x:c r="X79" s="191"/>
      <x:c r="Y79" s="191"/>
      <x:c r="Z79" s="191"/>
      <x:c r="AA79" s="191"/>
      <x:c r="AB79" s="191"/>
      <x:c r="AC79" s="191"/>
      <x:c r="AD79" s="191"/>
      <x:c r="AE79" s="191"/>
      <x:c r="AF79" s="191"/>
      <x:c r="AG79" s="191"/>
      <x:c r="AH79" s="191"/>
      <x:c r="AI79" s="191"/>
      <x:c r="AJ79" s="191"/>
      <x:c r="AK79" s="191"/>
    </x:row>
    <x:row r="80">
      <x:c r="A80" s="191"/>
      <x:c r="B80" s="191"/>
      <x:c r="C80" s="191"/>
      <x:c r="D80" s="191"/>
      <x:c r="E80" s="191"/>
      <x:c r="F80" s="191"/>
      <x:c r="G80" s="191"/>
      <x:c r="H80" s="191"/>
      <x:c r="I80" s="191"/>
      <x:c r="J80" s="191"/>
      <x:c r="K80" s="191"/>
      <x:c r="L80" s="198" t="str">
        <x:v>ATM</x:v>
      </x:c>
      <x:c r="M80" s="198" t="n">
        <x:v>8</x:v>
      </x:c>
      <x:c r="N80" s="198" t="str">
        <x:v>10Y</x:v>
      </x:c>
      <x:c r="O80" s="198" t="str">
        <x:v>5Y</x:v>
      </x:c>
      <x:c r="P80" s="266" t="n">
        <x:v>0.035</x:v>
      </x:c>
      <x:c r="Q80" s="201" t="n">
        <x:v>32700</x:v>
      </x:c>
      <x:c r="R80" s="267" t="n">
        <x:v>4000</x:v>
      </x:c>
      <x:c r="S80" s="254" t="n">
        <x:f>Q80*P80+0.5*R80*P80^2</x:f>
        <x:v>1146.95</x:v>
      </x:c>
      <x:c r="T80" s="191" t="str">
        <x:v>IR</x:v>
      </x:c>
      <x:c r="U80" s="191" t="str">
        <x:v>Illustrative surrogate only</x:v>
      </x:c>
      <x:c r="V80" s="191"/>
      <x:c r="W80" s="191"/>
      <x:c r="X80" s="191"/>
      <x:c r="Y80" s="191"/>
      <x:c r="Z80" s="191"/>
      <x:c r="AA80" s="191"/>
      <x:c r="AB80" s="191"/>
      <x:c r="AC80" s="191"/>
      <x:c r="AD80" s="191"/>
      <x:c r="AE80" s="191"/>
      <x:c r="AF80" s="191"/>
      <x:c r="AG80" s="191"/>
      <x:c r="AH80" s="191"/>
      <x:c r="AI80" s="191"/>
      <x:c r="AJ80" s="191"/>
      <x:c r="AK80" s="191"/>
    </x:row>
    <x:row r="81">
      <x:c r="A81" s="191"/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8" t="str">
        <x:v>ATM</x:v>
      </x:c>
      <x:c r="M81" s="198" t="n">
        <x:v>8</x:v>
      </x:c>
      <x:c r="N81" s="198" t="str">
        <x:v>10Y</x:v>
      </x:c>
      <x:c r="O81" s="198" t="str">
        <x:v>10Y</x:v>
      </x:c>
      <x:c r="P81" s="266" t="n">
        <x:v>0.036000000000000004</x:v>
      </x:c>
      <x:c r="Q81" s="201" t="n">
        <x:v>33200</x:v>
      </x:c>
      <x:c r="R81" s="267" t="n">
        <x:v>4000</x:v>
      </x:c>
      <x:c r="S81" s="254" t="n">
        <x:f>Q81*P81+0.5*R81*P81^2</x:f>
        <x:v>1197.7920000000001</x:v>
      </x:c>
      <x:c r="T81" s="191" t="str">
        <x:v>IR</x:v>
      </x:c>
      <x:c r="U81" s="191" t="str">
        <x:v>Illustrative surrogate only</x:v>
      </x:c>
      <x:c r="V81" s="191"/>
      <x:c r="W81" s="191"/>
      <x:c r="X81" s="191"/>
      <x:c r="Y81" s="191"/>
      <x:c r="Z81" s="191"/>
      <x:c r="AA81" s="191"/>
      <x:c r="AB81" s="191"/>
      <x:c r="AC81" s="191"/>
      <x:c r="AD81" s="191"/>
      <x:c r="AE81" s="191"/>
      <x:c r="AF81" s="191"/>
      <x:c r="AG81" s="191"/>
      <x:c r="AH81" s="191"/>
      <x:c r="AI81" s="191"/>
      <x:c r="AJ81" s="191"/>
      <x:c r="AK81" s="191"/>
    </x:row>
    <x:row r="82">
      <x:c r="A82" s="191"/>
      <x:c r="B82" s="191"/>
      <x:c r="C82" s="191"/>
      <x:c r="D82" s="191"/>
      <x:c r="E82" s="191"/>
      <x:c r="F82" s="191"/>
      <x:c r="G82" s="191"/>
      <x:c r="H82" s="191"/>
      <x:c r="I82" s="191"/>
      <x:c r="J82" s="191"/>
      <x:c r="K82" s="191"/>
      <x:c r="L82" s="198" t="str">
        <x:v>ATM</x:v>
      </x:c>
      <x:c r="M82" s="198" t="n">
        <x:v>8</x:v>
      </x:c>
      <x:c r="N82" s="198" t="str">
        <x:v>10Y</x:v>
      </x:c>
      <x:c r="O82" s="198" t="str">
        <x:v>20Y</x:v>
      </x:c>
      <x:c r="P82" s="266" t="n">
        <x:v>0.037000000000000005</x:v>
      </x:c>
      <x:c r="Q82" s="201" t="n">
        <x:v>33700</x:v>
      </x:c>
      <x:c r="R82" s="267" t="n">
        <x:v>4000</x:v>
      </x:c>
      <x:c r="S82" s="254" t="n">
        <x:f>Q82*P82+0.5*R82*P82^2</x:f>
        <x:v>1249.6380000000001</x:v>
      </x:c>
      <x:c r="T82" s="191" t="str">
        <x:v>IR</x:v>
      </x:c>
      <x:c r="U82" s="191" t="str">
        <x:v>Illustrative surrogate only</x:v>
      </x:c>
      <x:c r="V82" s="191"/>
      <x:c r="W82" s="191"/>
      <x:c r="X82" s="191"/>
      <x:c r="Y82" s="191"/>
      <x:c r="Z82" s="191"/>
      <x:c r="AA82" s="191"/>
      <x:c r="AB82" s="191"/>
      <x:c r="AC82" s="191"/>
      <x:c r="AD82" s="191"/>
      <x:c r="AE82" s="191"/>
      <x:c r="AF82" s="191"/>
      <x:c r="AG82" s="191"/>
      <x:c r="AH82" s="191"/>
      <x:c r="AI82" s="191"/>
      <x:c r="AJ82" s="191"/>
      <x:c r="AK82" s="191"/>
    </x:row>
    <x:row r="83">
      <x:c r="A83" s="191"/>
      <x:c r="B83" s="191"/>
      <x:c r="C83" s="191"/>
      <x:c r="D83" s="191"/>
      <x:c r="E83" s="191"/>
      <x:c r="F83" s="191"/>
      <x:c r="G83" s="191"/>
      <x:c r="H83" s="191"/>
      <x:c r="I83" s="191"/>
      <x:c r="J83" s="191"/>
      <x:c r="K83" s="191"/>
      <x:c r="L83" s="198" t="str">
        <x:v>ATM</x:v>
      </x:c>
      <x:c r="M83" s="198" t="n">
        <x:v>8</x:v>
      </x:c>
      <x:c r="N83" s="198" t="str">
        <x:v>10Y</x:v>
      </x:c>
      <x:c r="O83" s="198" t="str">
        <x:v>30Y</x:v>
      </x:c>
      <x:c r="P83" s="266" t="n">
        <x:v>0.038</x:v>
      </x:c>
      <x:c r="Q83" s="201" t="n">
        <x:v>34200</x:v>
      </x:c>
      <x:c r="R83" s="267" t="n">
        <x:v>4000</x:v>
      </x:c>
      <x:c r="S83" s="254" t="n">
        <x:f>Q83*P83+0.5*R83*P83^2</x:f>
        <x:v>1302.4879999999998</x:v>
      </x:c>
      <x:c r="T83" s="191" t="str">
        <x:v>IR</x:v>
      </x:c>
      <x:c r="U83" s="191" t="str">
        <x:v>Illustrative surrogate only</x:v>
      </x:c>
      <x:c r="V83" s="191"/>
      <x:c r="W83" s="191"/>
      <x:c r="X83" s="191"/>
      <x:c r="Y83" s="191"/>
      <x:c r="Z83" s="191"/>
      <x:c r="AA83" s="191"/>
      <x:c r="AB83" s="191"/>
      <x:c r="AC83" s="191"/>
      <x:c r="AD83" s="191"/>
      <x:c r="AE83" s="191"/>
      <x:c r="AF83" s="191"/>
      <x:c r="AG83" s="191"/>
      <x:c r="AH83" s="191"/>
      <x:c r="AI83" s="191"/>
      <x:c r="AJ83" s="191"/>
      <x:c r="AK83" s="191"/>
    </x:row>
    <x:row r="84">
      <x:c r="A84" s="191"/>
      <x:c r="B84" s="191"/>
      <x:c r="C84" s="191"/>
      <x:c r="D84" s="191"/>
      <x:c r="E84" s="191"/>
      <x:c r="F84" s="191"/>
      <x:c r="G84" s="191"/>
      <x:c r="H84" s="191"/>
      <x:c r="I84" s="191"/>
      <x:c r="J84" s="191"/>
      <x:c r="K84" s="191"/>
      <x:c r="L84" s="198" t="str">
        <x:v>ATM</x:v>
      </x:c>
      <x:c r="M84" s="198" t="n">
        <x:v>9</x:v>
      </x:c>
      <x:c r="N84" s="198" t="str">
        <x:v>20Y</x:v>
      </x:c>
      <x:c r="O84" s="198" t="str">
        <x:v>1M</x:v>
      </x:c>
      <x:c r="P84" s="266" t="n">
        <x:v>0.031000000000000003</x:v>
      </x:c>
      <x:c r="Q84" s="201" t="n">
        <x:v>30600</x:v>
      </x:c>
      <x:c r="R84" s="267" t="n">
        <x:v>4000</x:v>
      </x:c>
      <x:c r="S84" s="254" t="n">
        <x:f>Q84*P84+0.5*R84*P84^2</x:f>
        <x:v>950.5220000000002</x:v>
      </x:c>
      <x:c r="T84" s="191" t="str">
        <x:v>IR</x:v>
      </x:c>
      <x:c r="U84" s="191" t="str">
        <x:v>Illustrative surrogate only</x:v>
      </x:c>
      <x:c r="V84" s="191"/>
      <x:c r="W84" s="191"/>
      <x:c r="X84" s="191"/>
      <x:c r="Y84" s="191"/>
      <x:c r="Z84" s="191"/>
      <x:c r="AA84" s="191"/>
      <x:c r="AB84" s="191"/>
      <x:c r="AC84" s="191"/>
      <x:c r="AD84" s="191"/>
      <x:c r="AE84" s="191"/>
      <x:c r="AF84" s="191"/>
      <x:c r="AG84" s="191"/>
      <x:c r="AH84" s="191"/>
      <x:c r="AI84" s="191"/>
      <x:c r="AJ84" s="191"/>
      <x:c r="AK84" s="191"/>
    </x:row>
    <x:row r="85">
      <x:c r="A85" s="191"/>
      <x:c r="B85" s="191"/>
      <x:c r="C85" s="191"/>
      <x:c r="D85" s="191"/>
      <x:c r="E85" s="191"/>
      <x:c r="F85" s="191"/>
      <x:c r="G85" s="191"/>
      <x:c r="H85" s="191"/>
      <x:c r="I85" s="191"/>
      <x:c r="J85" s="191"/>
      <x:c r="K85" s="191"/>
      <x:c r="L85" s="198" t="str">
        <x:v>ATM</x:v>
      </x:c>
      <x:c r="M85" s="198" t="n">
        <x:v>9</x:v>
      </x:c>
      <x:c r="N85" s="198" t="str">
        <x:v>20Y</x:v>
      </x:c>
      <x:c r="O85" s="198" t="str">
        <x:v>3M</x:v>
      </x:c>
      <x:c r="P85" s="266" t="n">
        <x:v>0.032</x:v>
      </x:c>
      <x:c r="Q85" s="201" t="n">
        <x:v>31100</x:v>
      </x:c>
      <x:c r="R85" s="267" t="n">
        <x:v>4000</x:v>
      </x:c>
      <x:c r="S85" s="254" t="n">
        <x:f>Q85*P85+0.5*R85*P85^2</x:f>
        <x:v>997.248</x:v>
      </x:c>
      <x:c r="T85" s="191" t="str">
        <x:v>IR</x:v>
      </x:c>
      <x:c r="U85" s="191" t="str">
        <x:v>Illustrative surrogate only</x:v>
      </x:c>
      <x:c r="V85" s="191"/>
      <x:c r="W85" s="191"/>
      <x:c r="X85" s="191"/>
      <x:c r="Y85" s="191"/>
      <x:c r="Z85" s="191"/>
      <x:c r="AA85" s="191"/>
      <x:c r="AB85" s="191"/>
      <x:c r="AC85" s="191"/>
      <x:c r="AD85" s="191"/>
      <x:c r="AE85" s="191"/>
      <x:c r="AF85" s="191"/>
      <x:c r="AG85" s="191"/>
      <x:c r="AH85" s="191"/>
      <x:c r="AI85" s="191"/>
      <x:c r="AJ85" s="191"/>
      <x:c r="AK85" s="191"/>
    </x:row>
    <x:row r="86">
      <x:c r="A86" s="191"/>
      <x:c r="B86" s="191"/>
      <x:c r="C86" s="191"/>
      <x:c r="D86" s="191"/>
      <x:c r="E86" s="191"/>
      <x:c r="F86" s="191"/>
      <x:c r="G86" s="191"/>
      <x:c r="H86" s="191"/>
      <x:c r="I86" s="191"/>
      <x:c r="J86" s="191"/>
      <x:c r="K86" s="191"/>
      <x:c r="L86" s="198" t="str">
        <x:v>ATM</x:v>
      </x:c>
      <x:c r="M86" s="198" t="n">
        <x:v>9</x:v>
      </x:c>
      <x:c r="N86" s="198" t="str">
        <x:v>20Y</x:v>
      </x:c>
      <x:c r="O86" s="198" t="str">
        <x:v>6M</x:v>
      </x:c>
      <x:c r="P86" s="266" t="n">
        <x:v>0.033</x:v>
      </x:c>
      <x:c r="Q86" s="201" t="n">
        <x:v>31600</x:v>
      </x:c>
      <x:c r="R86" s="267" t="n">
        <x:v>4000</x:v>
      </x:c>
      <x:c r="S86" s="254" t="n">
        <x:f>Q86*P86+0.5*R86*P86^2</x:f>
        <x:v>1044.978</x:v>
      </x:c>
      <x:c r="T86" s="191" t="str">
        <x:v>IR</x:v>
      </x:c>
      <x:c r="U86" s="191" t="str">
        <x:v>Illustrative surrogate only</x:v>
      </x:c>
      <x:c r="V86" s="191"/>
      <x:c r="W86" s="191"/>
      <x:c r="X86" s="191"/>
      <x:c r="Y86" s="191"/>
      <x:c r="Z86" s="191"/>
      <x:c r="AA86" s="191"/>
      <x:c r="AB86" s="191"/>
      <x:c r="AC86" s="191"/>
      <x:c r="AD86" s="191"/>
      <x:c r="AE86" s="191"/>
      <x:c r="AF86" s="191"/>
      <x:c r="AG86" s="191"/>
      <x:c r="AH86" s="191"/>
      <x:c r="AI86" s="191"/>
      <x:c r="AJ86" s="191"/>
      <x:c r="AK86" s="191"/>
    </x:row>
    <x:row r="87">
      <x:c r="A87" s="191"/>
      <x:c r="B87" s="191"/>
      <x:c r="C87" s="191"/>
      <x:c r="D87" s="191"/>
      <x:c r="E87" s="191"/>
      <x:c r="F87" s="191"/>
      <x:c r="G87" s="191"/>
      <x:c r="H87" s="191"/>
      <x:c r="I87" s="191"/>
      <x:c r="J87" s="191"/>
      <x:c r="K87" s="191"/>
      <x:c r="L87" s="198" t="str">
        <x:v>ATM</x:v>
      </x:c>
      <x:c r="M87" s="198" t="n">
        <x:v>9</x:v>
      </x:c>
      <x:c r="N87" s="198" t="str">
        <x:v>20Y</x:v>
      </x:c>
      <x:c r="O87" s="198" t="str">
        <x:v>1Y</x:v>
      </x:c>
      <x:c r="P87" s="266" t="n">
        <x:v>0.034</x:v>
      </x:c>
      <x:c r="Q87" s="201" t="n">
        <x:v>32100</x:v>
      </x:c>
      <x:c r="R87" s="267" t="n">
        <x:v>4000</x:v>
      </x:c>
      <x:c r="S87" s="254" t="n">
        <x:f>Q87*P87+0.5*R87*P87^2</x:f>
        <x:v>1093.712</x:v>
      </x:c>
      <x:c r="T87" s="191" t="str">
        <x:v>IR</x:v>
      </x:c>
      <x:c r="U87" s="191" t="str">
        <x:v>Illustrative surrogate only</x:v>
      </x:c>
      <x:c r="V87" s="191"/>
      <x:c r="W87" s="191"/>
      <x:c r="X87" s="191"/>
      <x:c r="Y87" s="191"/>
      <x:c r="Z87" s="191"/>
      <x:c r="AA87" s="191"/>
      <x:c r="AB87" s="191"/>
      <x:c r="AC87" s="191"/>
      <x:c r="AD87" s="191"/>
      <x:c r="AE87" s="191"/>
      <x:c r="AF87" s="191"/>
      <x:c r="AG87" s="191"/>
      <x:c r="AH87" s="191"/>
      <x:c r="AI87" s="191"/>
      <x:c r="AJ87" s="191"/>
      <x:c r="AK87" s="191"/>
    </x:row>
    <x:row r="88">
      <x:c r="A88" s="191"/>
      <x:c r="B88" s="191"/>
      <x:c r="C88" s="191"/>
      <x:c r="D88" s="191"/>
      <x:c r="E88" s="191"/>
      <x:c r="F88" s="191"/>
      <x:c r="G88" s="191"/>
      <x:c r="H88" s="191"/>
      <x:c r="I88" s="191"/>
      <x:c r="J88" s="191"/>
      <x:c r="K88" s="191"/>
      <x:c r="L88" s="198" t="str">
        <x:v>ATM</x:v>
      </x:c>
      <x:c r="M88" s="198" t="n">
        <x:v>9</x:v>
      </x:c>
      <x:c r="N88" s="198" t="str">
        <x:v>20Y</x:v>
      </x:c>
      <x:c r="O88" s="198" t="str">
        <x:v>2Y</x:v>
      </x:c>
      <x:c r="P88" s="266" t="n">
        <x:v>0.035</x:v>
      </x:c>
      <x:c r="Q88" s="201" t="n">
        <x:v>32600</x:v>
      </x:c>
      <x:c r="R88" s="267" t="n">
        <x:v>4000</x:v>
      </x:c>
      <x:c r="S88" s="254" t="n">
        <x:f>Q88*P88+0.5*R88*P88^2</x:f>
        <x:v>1143.45</x:v>
      </x:c>
      <x:c r="T88" s="191" t="str">
        <x:v>IR</x:v>
      </x:c>
      <x:c r="U88" s="191" t="str">
        <x:v>Illustrative surrogate only</x:v>
      </x:c>
      <x:c r="V88" s="191"/>
      <x:c r="W88" s="191"/>
      <x:c r="X88" s="191"/>
      <x:c r="Y88" s="191"/>
      <x:c r="Z88" s="191"/>
      <x:c r="AA88" s="191"/>
      <x:c r="AB88" s="191"/>
      <x:c r="AC88" s="191"/>
      <x:c r="AD88" s="191"/>
      <x:c r="AE88" s="191"/>
      <x:c r="AF88" s="191"/>
      <x:c r="AG88" s="191"/>
      <x:c r="AH88" s="191"/>
      <x:c r="AI88" s="191"/>
      <x:c r="AJ88" s="191"/>
      <x:c r="AK88" s="191"/>
    </x:row>
    <x:row r="89">
      <x:c r="A89" s="191"/>
      <x:c r="B89" s="191"/>
      <x:c r="C89" s="191"/>
      <x:c r="D89" s="191"/>
      <x:c r="E89" s="191"/>
      <x:c r="F89" s="191"/>
      <x:c r="G89" s="191"/>
      <x:c r="H89" s="191"/>
      <x:c r="I89" s="191"/>
      <x:c r="J89" s="191"/>
      <x:c r="K89" s="191"/>
      <x:c r="L89" s="198" t="str">
        <x:v>ATM</x:v>
      </x:c>
      <x:c r="M89" s="198" t="n">
        <x:v>9</x:v>
      </x:c>
      <x:c r="N89" s="198" t="str">
        <x:v>20Y</x:v>
      </x:c>
      <x:c r="O89" s="198" t="str">
        <x:v>3Y</x:v>
      </x:c>
      <x:c r="P89" s="266" t="n">
        <x:v>0.036000000000000004</x:v>
      </x:c>
      <x:c r="Q89" s="201" t="n">
        <x:v>33100</x:v>
      </x:c>
      <x:c r="R89" s="267" t="n">
        <x:v>4000</x:v>
      </x:c>
      <x:c r="S89" s="254" t="n">
        <x:f>Q89*P89+0.5*R89*P89^2</x:f>
        <x:v>1194.1920000000002</x:v>
      </x:c>
      <x:c r="T89" s="191" t="str">
        <x:v>IR</x:v>
      </x:c>
      <x:c r="U89" s="191" t="str">
        <x:v>Illustrative surrogate only</x:v>
      </x:c>
      <x:c r="V89" s="191"/>
      <x:c r="W89" s="191"/>
      <x:c r="X89" s="191"/>
      <x:c r="Y89" s="191"/>
      <x:c r="Z89" s="191"/>
      <x:c r="AA89" s="191"/>
      <x:c r="AB89" s="191"/>
      <x:c r="AC89" s="191"/>
      <x:c r="AD89" s="191"/>
      <x:c r="AE89" s="191"/>
      <x:c r="AF89" s="191"/>
      <x:c r="AG89" s="191"/>
      <x:c r="AH89" s="191"/>
      <x:c r="AI89" s="191"/>
      <x:c r="AJ89" s="191"/>
      <x:c r="AK89" s="191"/>
    </x:row>
    <x:row r="90">
      <x:c r="A90" s="191"/>
      <x:c r="B90" s="191"/>
      <x:c r="C90" s="191"/>
      <x:c r="D90" s="191"/>
      <x:c r="E90" s="191"/>
      <x:c r="F90" s="191"/>
      <x:c r="G90" s="191"/>
      <x:c r="H90" s="191"/>
      <x:c r="I90" s="191"/>
      <x:c r="J90" s="191"/>
      <x:c r="K90" s="191"/>
      <x:c r="L90" s="198" t="str">
        <x:v>ATM</x:v>
      </x:c>
      <x:c r="M90" s="198" t="n">
        <x:v>9</x:v>
      </x:c>
      <x:c r="N90" s="198" t="str">
        <x:v>20Y</x:v>
      </x:c>
      <x:c r="O90" s="198" t="str">
        <x:v>5Y</x:v>
      </x:c>
      <x:c r="P90" s="266" t="n">
        <x:v>0.037000000000000005</x:v>
      </x:c>
      <x:c r="Q90" s="201" t="n">
        <x:v>33600</x:v>
      </x:c>
      <x:c r="R90" s="267" t="n">
        <x:v>4000</x:v>
      </x:c>
      <x:c r="S90" s="254" t="n">
        <x:f>Q90*P90+0.5*R90*P90^2</x:f>
        <x:v>1245.9380000000003</x:v>
      </x:c>
      <x:c r="T90" s="191" t="str">
        <x:v>IR</x:v>
      </x:c>
      <x:c r="U90" s="191" t="str">
        <x:v>Illustrative surrogate only</x:v>
      </x:c>
      <x:c r="V90" s="191"/>
      <x:c r="W90" s="191"/>
      <x:c r="X90" s="191"/>
      <x:c r="Y90" s="191"/>
      <x:c r="Z90" s="191"/>
      <x:c r="AA90" s="191"/>
      <x:c r="AB90" s="191"/>
      <x:c r="AC90" s="191"/>
      <x:c r="AD90" s="191"/>
      <x:c r="AE90" s="191"/>
      <x:c r="AF90" s="191"/>
      <x:c r="AG90" s="191"/>
      <x:c r="AH90" s="191"/>
      <x:c r="AI90" s="191"/>
      <x:c r="AJ90" s="191"/>
      <x:c r="AK90" s="191"/>
    </x:row>
    <x:row r="91">
      <x:c r="A91" s="191"/>
      <x:c r="B91" s="191"/>
      <x:c r="C91" s="191"/>
      <x:c r="D91" s="191"/>
      <x:c r="E91" s="191"/>
      <x:c r="F91" s="191"/>
      <x:c r="G91" s="191"/>
      <x:c r="H91" s="191"/>
      <x:c r="I91" s="191"/>
      <x:c r="J91" s="191"/>
      <x:c r="K91" s="191"/>
      <x:c r="L91" s="198" t="str">
        <x:v>ATM</x:v>
      </x:c>
      <x:c r="M91" s="198" t="n">
        <x:v>9</x:v>
      </x:c>
      <x:c r="N91" s="198" t="str">
        <x:v>20Y</x:v>
      </x:c>
      <x:c r="O91" s="198" t="str">
        <x:v>10Y</x:v>
      </x:c>
      <x:c r="P91" s="266" t="n">
        <x:v>0.038000000000000006</x:v>
      </x:c>
      <x:c r="Q91" s="201" t="n">
        <x:v>34100</x:v>
      </x:c>
      <x:c r="R91" s="267" t="n">
        <x:v>4000</x:v>
      </x:c>
      <x:c r="S91" s="254" t="n">
        <x:f>Q91*P91+0.5*R91*P91^2</x:f>
        <x:v>1298.688</x:v>
      </x:c>
      <x:c r="T91" s="191" t="str">
        <x:v>IR</x:v>
      </x:c>
      <x:c r="U91" s="191" t="str">
        <x:v>Illustrative surrogate only</x:v>
      </x:c>
      <x:c r="V91" s="191"/>
      <x:c r="W91" s="191"/>
      <x:c r="X91" s="191"/>
      <x:c r="Y91" s="191"/>
      <x:c r="Z91" s="191"/>
      <x:c r="AA91" s="191"/>
      <x:c r="AB91" s="191"/>
      <x:c r="AC91" s="191"/>
      <x:c r="AD91" s="191"/>
      <x:c r="AE91" s="191"/>
      <x:c r="AF91" s="191"/>
      <x:c r="AG91" s="191"/>
      <x:c r="AH91" s="191"/>
      <x:c r="AI91" s="191"/>
      <x:c r="AJ91" s="191"/>
      <x:c r="AK91" s="191"/>
    </x:row>
    <x:row r="92">
      <x:c r="A92" s="191"/>
      <x:c r="B92" s="191"/>
      <x:c r="C92" s="191"/>
      <x:c r="D92" s="191"/>
      <x:c r="E92" s="191"/>
      <x:c r="F92" s="191"/>
      <x:c r="G92" s="191"/>
      <x:c r="H92" s="191"/>
      <x:c r="I92" s="191"/>
      <x:c r="J92" s="191"/>
      <x:c r="K92" s="191"/>
      <x:c r="L92" s="198" t="str">
        <x:v>ATM</x:v>
      </x:c>
      <x:c r="M92" s="198" t="n">
        <x:v>9</x:v>
      </x:c>
      <x:c r="N92" s="198" t="str">
        <x:v>20Y</x:v>
      </x:c>
      <x:c r="O92" s="198" t="str">
        <x:v>20Y</x:v>
      </x:c>
      <x:c r="P92" s="266" t="n">
        <x:v>0.03900000000000001</x:v>
      </x:c>
      <x:c r="Q92" s="201" t="n">
        <x:v>34600</x:v>
      </x:c>
      <x:c r="R92" s="267" t="n">
        <x:v>4000</x:v>
      </x:c>
      <x:c r="S92" s="254" t="n">
        <x:f>Q92*P92+0.5*R92*P92^2</x:f>
        <x:v>1352.4420000000002</x:v>
      </x:c>
      <x:c r="T92" s="191" t="str">
        <x:v>IR</x:v>
      </x:c>
      <x:c r="U92" s="191" t="str">
        <x:v>Illustrative surrogate only</x:v>
      </x:c>
      <x:c r="V92" s="191"/>
      <x:c r="W92" s="191"/>
      <x:c r="X92" s="191"/>
      <x:c r="Y92" s="191"/>
      <x:c r="Z92" s="191"/>
      <x:c r="AA92" s="191"/>
      <x:c r="AB92" s="191"/>
      <x:c r="AC92" s="191"/>
      <x:c r="AD92" s="191"/>
      <x:c r="AE92" s="191"/>
      <x:c r="AF92" s="191"/>
      <x:c r="AG92" s="191"/>
      <x:c r="AH92" s="191"/>
      <x:c r="AI92" s="191"/>
      <x:c r="AJ92" s="191"/>
      <x:c r="AK92" s="191"/>
    </x:row>
    <x:row r="93">
      <x:c r="A93" s="191"/>
      <x:c r="B93" s="191"/>
      <x:c r="C93" s="191"/>
      <x:c r="D93" s="191"/>
      <x:c r="E93" s="191"/>
      <x:c r="F93" s="191"/>
      <x:c r="G93" s="191"/>
      <x:c r="H93" s="191"/>
      <x:c r="I93" s="191"/>
      <x:c r="J93" s="191"/>
      <x:c r="K93" s="191"/>
      <x:c r="L93" s="198" t="str">
        <x:v>ATM</x:v>
      </x:c>
      <x:c r="M93" s="198" t="n">
        <x:v>9</x:v>
      </x:c>
      <x:c r="N93" s="198" t="str">
        <x:v>20Y</x:v>
      </x:c>
      <x:c r="O93" s="198" t="str">
        <x:v>30Y</x:v>
      </x:c>
      <x:c r="P93" s="266" t="n">
        <x:v>0.04</x:v>
      </x:c>
      <x:c r="Q93" s="201" t="n">
        <x:v>35100</x:v>
      </x:c>
      <x:c r="R93" s="267" t="n">
        <x:v>4000</x:v>
      </x:c>
      <x:c r="S93" s="254" t="n">
        <x:f>Q93*P93+0.5*R93*P93^2</x:f>
        <x:v>1407.2</x:v>
      </x:c>
      <x:c r="T93" s="191" t="str">
        <x:v>IR</x:v>
      </x:c>
      <x:c r="U93" s="191" t="str">
        <x:v>Illustrative surrogate only</x:v>
      </x:c>
      <x:c r="V93" s="191"/>
      <x:c r="W93" s="191"/>
      <x:c r="X93" s="191"/>
      <x:c r="Y93" s="191"/>
      <x:c r="Z93" s="191"/>
      <x:c r="AA93" s="191"/>
      <x:c r="AB93" s="191"/>
      <x:c r="AC93" s="191"/>
      <x:c r="AD93" s="191"/>
      <x:c r="AE93" s="191"/>
      <x:c r="AF93" s="191"/>
      <x:c r="AG93" s="191"/>
      <x:c r="AH93" s="191"/>
      <x:c r="AI93" s="191"/>
      <x:c r="AJ93" s="191"/>
      <x:c r="AK93" s="191"/>
    </x:row>
    <x:row r="94">
      <x:c r="A94" s="191"/>
      <x:c r="B94" s="191"/>
      <x:c r="C94" s="191"/>
      <x:c r="D94" s="191"/>
      <x:c r="E94" s="191"/>
      <x:c r="F94" s="191"/>
      <x:c r="G94" s="191"/>
      <x:c r="H94" s="191"/>
      <x:c r="I94" s="191"/>
      <x:c r="J94" s="191"/>
      <x:c r="K94" s="191"/>
      <x:c r="L94" s="198" t="str">
        <x:v>ATM</x:v>
      </x:c>
      <x:c r="M94" s="198" t="n">
        <x:v>10</x:v>
      </x:c>
      <x:c r="N94" s="198" t="str">
        <x:v>30Y</x:v>
      </x:c>
      <x:c r="O94" s="198" t="str">
        <x:v>1M</x:v>
      </x:c>
      <x:c r="P94" s="266" t="n">
        <x:v>0.033</x:v>
      </x:c>
      <x:c r="Q94" s="201" t="n">
        <x:v>31500</x:v>
      </x:c>
      <x:c r="R94" s="267" t="n">
        <x:v>4000</x:v>
      </x:c>
      <x:c r="S94" s="254" t="n">
        <x:f>Q94*P94+0.5*R94*P94^2</x:f>
        <x:v>1041.678</x:v>
      </x:c>
      <x:c r="T94" s="191" t="str">
        <x:v>IR</x:v>
      </x:c>
      <x:c r="U94" s="191" t="str">
        <x:v>Illustrative surrogate only</x:v>
      </x:c>
      <x:c r="V94" s="191"/>
      <x:c r="W94" s="191"/>
      <x:c r="X94" s="191"/>
      <x:c r="Y94" s="191"/>
      <x:c r="Z94" s="191"/>
      <x:c r="AA94" s="191"/>
      <x:c r="AB94" s="191"/>
      <x:c r="AC94" s="191"/>
      <x:c r="AD94" s="191"/>
      <x:c r="AE94" s="191"/>
      <x:c r="AF94" s="191"/>
      <x:c r="AG94" s="191"/>
      <x:c r="AH94" s="191"/>
      <x:c r="AI94" s="191"/>
      <x:c r="AJ94" s="191"/>
      <x:c r="AK94" s="191"/>
    </x:row>
    <x:row r="95">
      <x:c r="A95" s="191"/>
      <x:c r="B95" s="191"/>
      <x:c r="C95" s="191"/>
      <x:c r="D95" s="191"/>
      <x:c r="E95" s="191"/>
      <x:c r="F95" s="191"/>
      <x:c r="G95" s="191"/>
      <x:c r="H95" s="191"/>
      <x:c r="I95" s="191"/>
      <x:c r="J95" s="191"/>
      <x:c r="K95" s="191"/>
      <x:c r="L95" s="198" t="str">
        <x:v>ATM</x:v>
      </x:c>
      <x:c r="M95" s="198" t="n">
        <x:v>10</x:v>
      </x:c>
      <x:c r="N95" s="198" t="str">
        <x:v>30Y</x:v>
      </x:c>
      <x:c r="O95" s="198" t="str">
        <x:v>3M</x:v>
      </x:c>
      <x:c r="P95" s="266" t="n">
        <x:v>0.034</x:v>
      </x:c>
      <x:c r="Q95" s="201" t="n">
        <x:v>32000</x:v>
      </x:c>
      <x:c r="R95" s="267" t="n">
        <x:v>4000</x:v>
      </x:c>
      <x:c r="S95" s="254" t="n">
        <x:f>Q95*P95+0.5*R95*P95^2</x:f>
        <x:v>1090.312</x:v>
      </x:c>
      <x:c r="T95" s="191" t="str">
        <x:v>IR</x:v>
      </x:c>
      <x:c r="U95" s="191" t="str">
        <x:v>Illustrative surrogate only</x:v>
      </x:c>
      <x:c r="V95" s="191"/>
      <x:c r="W95" s="191"/>
      <x:c r="X95" s="191"/>
      <x:c r="Y95" s="191"/>
      <x:c r="Z95" s="191"/>
      <x:c r="AA95" s="191"/>
      <x:c r="AB95" s="191"/>
      <x:c r="AC95" s="191"/>
      <x:c r="AD95" s="191"/>
      <x:c r="AE95" s="191"/>
      <x:c r="AF95" s="191"/>
      <x:c r="AG95" s="191"/>
      <x:c r="AH95" s="191"/>
      <x:c r="AI95" s="191"/>
      <x:c r="AJ95" s="191"/>
      <x:c r="AK95" s="191"/>
    </x:row>
    <x:row r="96">
      <x:c r="A96" s="191"/>
      <x:c r="B96" s="191"/>
      <x:c r="C96" s="191"/>
      <x:c r="D96" s="191"/>
      <x:c r="E96" s="191"/>
      <x:c r="F96" s="191"/>
      <x:c r="G96" s="191"/>
      <x:c r="H96" s="191"/>
      <x:c r="I96" s="191"/>
      <x:c r="J96" s="191"/>
      <x:c r="K96" s="191"/>
      <x:c r="L96" s="198" t="str">
        <x:v>ATM</x:v>
      </x:c>
      <x:c r="M96" s="198" t="n">
        <x:v>10</x:v>
      </x:c>
      <x:c r="N96" s="198" t="str">
        <x:v>30Y</x:v>
      </x:c>
      <x:c r="O96" s="198" t="str">
        <x:v>6M</x:v>
      </x:c>
      <x:c r="P96" s="266" t="n">
        <x:v>0.035</x:v>
      </x:c>
      <x:c r="Q96" s="201" t="n">
        <x:v>32500</x:v>
      </x:c>
      <x:c r="R96" s="267" t="n">
        <x:v>4000</x:v>
      </x:c>
      <x:c r="S96" s="254" t="n">
        <x:f>Q96*P96+0.5*R96*P96^2</x:f>
        <x:v>1139.95</x:v>
      </x:c>
      <x:c r="T96" s="191" t="str">
        <x:v>IR</x:v>
      </x:c>
      <x:c r="U96" s="191" t="str">
        <x:v>Illustrative surrogate only</x:v>
      </x:c>
      <x:c r="V96" s="191"/>
      <x:c r="W96" s="191"/>
      <x:c r="X96" s="191"/>
      <x:c r="Y96" s="191"/>
      <x:c r="Z96" s="191"/>
      <x:c r="AA96" s="191"/>
      <x:c r="AB96" s="191"/>
      <x:c r="AC96" s="191"/>
      <x:c r="AD96" s="191"/>
      <x:c r="AE96" s="191"/>
      <x:c r="AF96" s="191"/>
      <x:c r="AG96" s="191"/>
      <x:c r="AH96" s="191"/>
      <x:c r="AI96" s="191"/>
      <x:c r="AJ96" s="191"/>
      <x:c r="AK96" s="191"/>
    </x:row>
    <x:row r="97">
      <x:c r="A97" s="191"/>
      <x:c r="B97" s="191"/>
      <x:c r="C97" s="191"/>
      <x:c r="D97" s="191"/>
      <x:c r="E97" s="191"/>
      <x:c r="F97" s="191"/>
      <x:c r="G97" s="191"/>
      <x:c r="H97" s="191"/>
      <x:c r="I97" s="191"/>
      <x:c r="J97" s="191"/>
      <x:c r="K97" s="191"/>
      <x:c r="L97" s="198" t="str">
        <x:v>ATM</x:v>
      </x:c>
      <x:c r="M97" s="198" t="n">
        <x:v>10</x:v>
      </x:c>
      <x:c r="N97" s="198" t="str">
        <x:v>30Y</x:v>
      </x:c>
      <x:c r="O97" s="198" t="str">
        <x:v>1Y</x:v>
      </x:c>
      <x:c r="P97" s="266" t="n">
        <x:v>0.036000000000000004</x:v>
      </x:c>
      <x:c r="Q97" s="201" t="n">
        <x:v>33000</x:v>
      </x:c>
      <x:c r="R97" s="267" t="n">
        <x:v>4000</x:v>
      </x:c>
      <x:c r="S97" s="254" t="n">
        <x:f>Q97*P97+0.5*R97*P97^2</x:f>
        <x:v>1190.5920000000003</x:v>
      </x:c>
      <x:c r="T97" s="191" t="str">
        <x:v>IR</x:v>
      </x:c>
      <x:c r="U97" s="191" t="str">
        <x:v>Illustrative surrogate only</x:v>
      </x:c>
      <x:c r="V97" s="191"/>
      <x:c r="W97" s="191"/>
      <x:c r="X97" s="191"/>
      <x:c r="Y97" s="191"/>
      <x:c r="Z97" s="191"/>
      <x:c r="AA97" s="191"/>
      <x:c r="AB97" s="191"/>
      <x:c r="AC97" s="191"/>
      <x:c r="AD97" s="191"/>
      <x:c r="AE97" s="191"/>
      <x:c r="AF97" s="191"/>
      <x:c r="AG97" s="191"/>
      <x:c r="AH97" s="191"/>
      <x:c r="AI97" s="191"/>
      <x:c r="AJ97" s="191"/>
      <x:c r="AK97" s="191"/>
    </x:row>
    <x:row r="98">
      <x:c r="A98" s="191"/>
      <x:c r="B98" s="191"/>
      <x:c r="C98" s="191"/>
      <x:c r="D98" s="191"/>
      <x:c r="E98" s="191"/>
      <x:c r="F98" s="191"/>
      <x:c r="G98" s="191"/>
      <x:c r="H98" s="191"/>
      <x:c r="I98" s="191"/>
      <x:c r="J98" s="191"/>
      <x:c r="K98" s="191"/>
      <x:c r="L98" s="198" t="str">
        <x:v>ATM</x:v>
      </x:c>
      <x:c r="M98" s="198" t="n">
        <x:v>10</x:v>
      </x:c>
      <x:c r="N98" s="198" t="str">
        <x:v>30Y</x:v>
      </x:c>
      <x:c r="O98" s="198" t="str">
        <x:v>2Y</x:v>
      </x:c>
      <x:c r="P98" s="266" t="n">
        <x:v>0.037</x:v>
      </x:c>
      <x:c r="Q98" s="201" t="n">
        <x:v>33500</x:v>
      </x:c>
      <x:c r="R98" s="267" t="n">
        <x:v>4000</x:v>
      </x:c>
      <x:c r="S98" s="254" t="n">
        <x:f>Q98*P98+0.5*R98*P98^2</x:f>
        <x:v>1242.238</x:v>
      </x:c>
      <x:c r="T98" s="191" t="str">
        <x:v>IR</x:v>
      </x:c>
      <x:c r="U98" s="191" t="str">
        <x:v>Illustrative surrogate only</x:v>
      </x:c>
      <x:c r="V98" s="191"/>
      <x:c r="W98" s="191"/>
      <x:c r="X98" s="191"/>
      <x:c r="Y98" s="191"/>
      <x:c r="Z98" s="191"/>
      <x:c r="AA98" s="191"/>
      <x:c r="AB98" s="191"/>
      <x:c r="AC98" s="191"/>
      <x:c r="AD98" s="191"/>
      <x:c r="AE98" s="191"/>
      <x:c r="AF98" s="191"/>
      <x:c r="AG98" s="191"/>
      <x:c r="AH98" s="191"/>
      <x:c r="AI98" s="191"/>
      <x:c r="AJ98" s="191"/>
      <x:c r="AK98" s="191"/>
    </x:row>
    <x:row r="99">
      <x:c r="A99" s="191"/>
      <x:c r="B99" s="191"/>
      <x:c r="C99" s="191"/>
      <x:c r="D99" s="191"/>
      <x:c r="E99" s="191"/>
      <x:c r="F99" s="191"/>
      <x:c r="G99" s="191"/>
      <x:c r="H99" s="191"/>
      <x:c r="I99" s="191"/>
      <x:c r="J99" s="191"/>
      <x:c r="K99" s="191"/>
      <x:c r="L99" s="198" t="str">
        <x:v>ATM</x:v>
      </x:c>
      <x:c r="M99" s="198" t="n">
        <x:v>10</x:v>
      </x:c>
      <x:c r="N99" s="198" t="str">
        <x:v>30Y</x:v>
      </x:c>
      <x:c r="O99" s="198" t="str">
        <x:v>3Y</x:v>
      </x:c>
      <x:c r="P99" s="266" t="n">
        <x:v>0.038</x:v>
      </x:c>
      <x:c r="Q99" s="201" t="n">
        <x:v>34000</x:v>
      </x:c>
      <x:c r="R99" s="267" t="n">
        <x:v>4000</x:v>
      </x:c>
      <x:c r="S99" s="254" t="n">
        <x:f>Q99*P99+0.5*R99*P99^2</x:f>
        <x:v>1294.888</x:v>
      </x:c>
      <x:c r="T99" s="191" t="str">
        <x:v>IR</x:v>
      </x:c>
      <x:c r="U99" s="191" t="str">
        <x:v>Illustrative surrogate only</x:v>
      </x:c>
      <x:c r="V99" s="191"/>
      <x:c r="W99" s="191"/>
      <x:c r="X99" s="191"/>
      <x:c r="Y99" s="191"/>
      <x:c r="Z99" s="191"/>
      <x:c r="AA99" s="191"/>
      <x:c r="AB99" s="191"/>
      <x:c r="AC99" s="191"/>
      <x:c r="AD99" s="191"/>
      <x:c r="AE99" s="191"/>
      <x:c r="AF99" s="191"/>
      <x:c r="AG99" s="191"/>
      <x:c r="AH99" s="191"/>
      <x:c r="AI99" s="191"/>
      <x:c r="AJ99" s="191"/>
      <x:c r="AK99" s="191"/>
    </x:row>
    <x:row r="100">
      <x:c r="A100" s="191"/>
      <x:c r="B100" s="191"/>
      <x:c r="C100" s="191"/>
      <x:c r="D100" s="191"/>
      <x:c r="E100" s="191"/>
      <x:c r="F100" s="191"/>
      <x:c r="G100" s="191"/>
      <x:c r="H100" s="191"/>
      <x:c r="I100" s="191"/>
      <x:c r="J100" s="191"/>
      <x:c r="K100" s="191"/>
      <x:c r="L100" s="198" t="str">
        <x:v>ATM</x:v>
      </x:c>
      <x:c r="M100" s="198" t="n">
        <x:v>10</x:v>
      </x:c>
      <x:c r="N100" s="198" t="str">
        <x:v>30Y</x:v>
      </x:c>
      <x:c r="O100" s="198" t="str">
        <x:v>5Y</x:v>
      </x:c>
      <x:c r="P100" s="266" t="n">
        <x:v>0.039</x:v>
      </x:c>
      <x:c r="Q100" s="201" t="n">
        <x:v>34500</x:v>
      </x:c>
      <x:c r="R100" s="267" t="n">
        <x:v>4000</x:v>
      </x:c>
      <x:c r="S100" s="254" t="n">
        <x:f>Q100*P100+0.5*R100*P100^2</x:f>
        <x:v>1348.542</x:v>
      </x:c>
      <x:c r="T100" s="191" t="str">
        <x:v>IR</x:v>
      </x:c>
      <x:c r="U100" s="191" t="str">
        <x:v>Illustrative surrogate only</x:v>
      </x:c>
      <x:c r="V100" s="191"/>
      <x:c r="W100" s="191"/>
      <x:c r="X100" s="191"/>
      <x:c r="Y100" s="191"/>
      <x:c r="Z100" s="191"/>
      <x:c r="AA100" s="191"/>
      <x:c r="AB100" s="191"/>
      <x:c r="AC100" s="191"/>
      <x:c r="AD100" s="191"/>
      <x:c r="AE100" s="191"/>
      <x:c r="AF100" s="191"/>
      <x:c r="AG100" s="191"/>
      <x:c r="AH100" s="191"/>
      <x:c r="AI100" s="191"/>
      <x:c r="AJ100" s="191"/>
      <x:c r="AK100" s="191"/>
    </x:row>
    <x:row r="101">
      <x:c r="A101" s="191"/>
      <x:c r="B101" s="191"/>
      <x:c r="C101" s="191"/>
      <x:c r="D101" s="191"/>
      <x:c r="E101" s="191"/>
      <x:c r="F101" s="191"/>
      <x:c r="G101" s="191"/>
      <x:c r="H101" s="191"/>
      <x:c r="I101" s="191"/>
      <x:c r="J101" s="191"/>
      <x:c r="K101" s="191"/>
      <x:c r="L101" s="198" t="str">
        <x:v>ATM</x:v>
      </x:c>
      <x:c r="M101" s="198" t="n">
        <x:v>10</x:v>
      </x:c>
      <x:c r="N101" s="198" t="str">
        <x:v>30Y</x:v>
      </x:c>
      <x:c r="O101" s="198" t="str">
        <x:v>10Y</x:v>
      </x:c>
      <x:c r="P101" s="266" t="n">
        <x:v>0.04</x:v>
      </x:c>
      <x:c r="Q101" s="201" t="n">
        <x:v>35000</x:v>
      </x:c>
      <x:c r="R101" s="267" t="n">
        <x:v>4000</x:v>
      </x:c>
      <x:c r="S101" s="254" t="n">
        <x:f>Q101*P101+0.5*R101*P101^2</x:f>
        <x:v>1403.2</x:v>
      </x:c>
      <x:c r="T101" s="191" t="str">
        <x:v>IR</x:v>
      </x:c>
      <x:c r="U101" s="191" t="str">
        <x:v>Illustrative surrogate only</x:v>
      </x:c>
      <x:c r="V101" s="191"/>
      <x:c r="W101" s="191"/>
      <x:c r="X101" s="191"/>
      <x:c r="Y101" s="191"/>
      <x:c r="Z101" s="191"/>
      <x:c r="AA101" s="191"/>
      <x:c r="AB101" s="191"/>
      <x:c r="AC101" s="191"/>
      <x:c r="AD101" s="191"/>
      <x:c r="AE101" s="191"/>
      <x:c r="AF101" s="191"/>
      <x:c r="AG101" s="191"/>
      <x:c r="AH101" s="191"/>
      <x:c r="AI101" s="191"/>
      <x:c r="AJ101" s="191"/>
      <x:c r="AK101" s="191"/>
    </x:row>
    <x:row r="102">
      <x:c r="A102" s="191"/>
      <x:c r="B102" s="191"/>
      <x:c r="C102" s="191"/>
      <x:c r="D102" s="191"/>
      <x:c r="E102" s="191"/>
      <x:c r="F102" s="191"/>
      <x:c r="G102" s="191"/>
      <x:c r="H102" s="191"/>
      <x:c r="I102" s="191"/>
      <x:c r="J102" s="191"/>
      <x:c r="K102" s="191"/>
      <x:c r="L102" s="198" t="str">
        <x:v>ATM</x:v>
      </x:c>
      <x:c r="M102" s="198" t="n">
        <x:v>10</x:v>
      </x:c>
      <x:c r="N102" s="198" t="str">
        <x:v>30Y</x:v>
      </x:c>
      <x:c r="O102" s="198" t="str">
        <x:v>20Y</x:v>
      </x:c>
      <x:c r="P102" s="266" t="n">
        <x:v>0.041</x:v>
      </x:c>
      <x:c r="Q102" s="201" t="n">
        <x:v>35500</x:v>
      </x:c>
      <x:c r="R102" s="267" t="n">
        <x:v>4000</x:v>
      </x:c>
      <x:c r="S102" s="254" t="n">
        <x:f>Q102*P102+0.5*R102*P102^2</x:f>
        <x:v>1458.862</x:v>
      </x:c>
      <x:c r="T102" s="191" t="str">
        <x:v>IR</x:v>
      </x:c>
      <x:c r="U102" s="191" t="str">
        <x:v>Illustrative surrogate only</x:v>
      </x:c>
      <x:c r="V102" s="191"/>
      <x:c r="W102" s="191"/>
      <x:c r="X102" s="191"/>
      <x:c r="Y102" s="191"/>
      <x:c r="Z102" s="191"/>
      <x:c r="AA102" s="191"/>
      <x:c r="AB102" s="191"/>
      <x:c r="AC102" s="191"/>
      <x:c r="AD102" s="191"/>
      <x:c r="AE102" s="191"/>
      <x:c r="AF102" s="191"/>
      <x:c r="AG102" s="191"/>
      <x:c r="AH102" s="191"/>
      <x:c r="AI102" s="191"/>
      <x:c r="AJ102" s="191"/>
      <x:c r="AK102" s="191"/>
    </x:row>
    <x:row r="103">
      <x:c r="A103" s="191"/>
      <x:c r="B103" s="191"/>
      <x:c r="C103" s="191"/>
      <x:c r="D103" s="191"/>
      <x:c r="E103" s="191"/>
      <x:c r="F103" s="191"/>
      <x:c r="G103" s="191"/>
      <x:c r="H103" s="191"/>
      <x:c r="I103" s="191"/>
      <x:c r="J103" s="191"/>
      <x:c r="K103" s="191"/>
      <x:c r="L103" s="198" t="str">
        <x:v>ATM</x:v>
      </x:c>
      <x:c r="M103" s="198" t="n">
        <x:v>10</x:v>
      </x:c>
      <x:c r="N103" s="198" t="str">
        <x:v>30Y</x:v>
      </x:c>
      <x:c r="O103" s="198" t="str">
        <x:v>30Y</x:v>
      </x:c>
      <x:c r="P103" s="266" t="n">
        <x:v>0.042</x:v>
      </x:c>
      <x:c r="Q103" s="201" t="n">
        <x:v>36000</x:v>
      </x:c>
      <x:c r="R103" s="267" t="n">
        <x:v>4000</x:v>
      </x:c>
      <x:c r="S103" s="254" t="n">
        <x:f>Q103*P103+0.5*R103*P103^2</x:f>
        <x:v>1515.528</x:v>
      </x:c>
      <x:c r="T103" s="191" t="str">
        <x:v>IR</x:v>
      </x:c>
      <x:c r="U103" s="191" t="str">
        <x:v>Illustrative surrogate only</x:v>
      </x:c>
      <x:c r="V103" s="191"/>
      <x:c r="W103" s="191"/>
      <x:c r="X103" s="191"/>
      <x:c r="Y103" s="191"/>
      <x:c r="Z103" s="191"/>
      <x:c r="AA103" s="191"/>
      <x:c r="AB103" s="191"/>
      <x:c r="AC103" s="191"/>
      <x:c r="AD103" s="191"/>
      <x:c r="AE103" s="191"/>
      <x:c r="AF103" s="191"/>
      <x:c r="AG103" s="191"/>
      <x:c r="AH103" s="191"/>
      <x:c r="AI103" s="191"/>
      <x:c r="AJ103" s="191"/>
      <x:c r="AK103" s="191"/>
    </x:row>
    <x:row r="104">
      <x:c r="A104" s="191"/>
      <x:c r="B104" s="191"/>
      <x:c r="C104" s="191"/>
      <x:c r="D104" s="191"/>
      <x:c r="E104" s="191"/>
      <x:c r="F104" s="191"/>
      <x:c r="G104" s="191"/>
      <x:c r="H104" s="191"/>
      <x:c r="I104" s="191"/>
      <x:c r="J104" s="191"/>
      <x:c r="K104" s="191"/>
      <x:c r="L104" s="198" t="str">
        <x:v>RHO</x:v>
      </x:c>
      <x:c r="M104" s="198" t="n">
        <x:v>1</x:v>
      </x:c>
      <x:c r="N104" s="198" t="str">
        <x:v>1M</x:v>
      </x:c>
      <x:c r="O104" s="198" t="str">
        <x:v>1M</x:v>
      </x:c>
      <x:c r="P104" s="266" t="n">
        <x:v>-0.023000000000000003</x:v>
      </x:c>
      <x:c r="Q104" s="201" t="n">
        <x:v>7300</x:v>
      </x:c>
      <x:c r="R104" s="267" t="n">
        <x:v>1000</x:v>
      </x:c>
      <x:c r="S104" s="254" t="n">
        <x:f>Q104*P104+0.5*R104*P104^2</x:f>
        <x:v>-167.63550000000004</x:v>
      </x:c>
      <x:c r="T104" s="191" t="str">
        <x:v>IR</x:v>
      </x:c>
      <x:c r="U104" s="191" t="str">
        <x:v>Illustrative surrogate only</x:v>
      </x:c>
      <x:c r="V104" s="191"/>
      <x:c r="W104" s="191"/>
      <x:c r="X104" s="191"/>
      <x:c r="Y104" s="191"/>
      <x:c r="Z104" s="191"/>
      <x:c r="AA104" s="191"/>
      <x:c r="AB104" s="191"/>
      <x:c r="AC104" s="191"/>
      <x:c r="AD104" s="191"/>
      <x:c r="AE104" s="191"/>
      <x:c r="AF104" s="191"/>
      <x:c r="AG104" s="191"/>
      <x:c r="AH104" s="191"/>
      <x:c r="AI104" s="191"/>
      <x:c r="AJ104" s="191"/>
      <x:c r="AK104" s="191"/>
    </x:row>
    <x:row r="105">
      <x:c r="A105" s="191"/>
      <x:c r="B105" s="191"/>
      <x:c r="C105" s="191"/>
      <x:c r="D105" s="191"/>
      <x:c r="E105" s="191"/>
      <x:c r="F105" s="191"/>
      <x:c r="G105" s="191"/>
      <x:c r="H105" s="191"/>
      <x:c r="I105" s="191"/>
      <x:c r="J105" s="191"/>
      <x:c r="K105" s="191"/>
      <x:c r="L105" s="198" t="str">
        <x:v>RHO</x:v>
      </x:c>
      <x:c r="M105" s="198" t="n">
        <x:v>1</x:v>
      </x:c>
      <x:c r="N105" s="198" t="str">
        <x:v>1M</x:v>
      </x:c>
      <x:c r="O105" s="198" t="str">
        <x:v>3M</x:v>
      </x:c>
      <x:c r="P105" s="266" t="n">
        <x:v>-0.024</x:v>
      </x:c>
      <x:c r="Q105" s="201" t="n">
        <x:v>7400</x:v>
      </x:c>
      <x:c r="R105" s="267" t="n">
        <x:v>1000</x:v>
      </x:c>
      <x:c r="S105" s="254" t="n">
        <x:f>Q105*P105+0.5*R105*P105^2</x:f>
        <x:v>-177.31199999999998</x:v>
      </x:c>
      <x:c r="T105" s="191" t="str">
        <x:v>IR</x:v>
      </x:c>
      <x:c r="U105" s="191" t="str">
        <x:v>Illustrative surrogate only</x:v>
      </x:c>
      <x:c r="V105" s="191"/>
      <x:c r="W105" s="191"/>
      <x:c r="X105" s="191"/>
      <x:c r="Y105" s="191"/>
      <x:c r="Z105" s="191"/>
      <x:c r="AA105" s="191"/>
      <x:c r="AB105" s="191"/>
      <x:c r="AC105" s="191"/>
      <x:c r="AD105" s="191"/>
      <x:c r="AE105" s="191"/>
      <x:c r="AF105" s="191"/>
      <x:c r="AG105" s="191"/>
      <x:c r="AH105" s="191"/>
      <x:c r="AI105" s="191"/>
      <x:c r="AJ105" s="191"/>
      <x:c r="AK105" s="191"/>
    </x:row>
    <x:row r="106">
      <x:c r="A106" s="191"/>
      <x:c r="B106" s="191"/>
      <x:c r="C106" s="191"/>
      <x:c r="D106" s="191"/>
      <x:c r="E106" s="191"/>
      <x:c r="F106" s="191"/>
      <x:c r="G106" s="191"/>
      <x:c r="H106" s="191"/>
      <x:c r="I106" s="191"/>
      <x:c r="J106" s="191"/>
      <x:c r="K106" s="191"/>
      <x:c r="L106" s="198" t="str">
        <x:v>RHO</x:v>
      </x:c>
      <x:c r="M106" s="198" t="n">
        <x:v>1</x:v>
      </x:c>
      <x:c r="N106" s="198" t="str">
        <x:v>1M</x:v>
      </x:c>
      <x:c r="O106" s="198" t="str">
        <x:v>6M</x:v>
      </x:c>
      <x:c r="P106" s="266" t="n">
        <x:v>-0.025</x:v>
      </x:c>
      <x:c r="Q106" s="201" t="n">
        <x:v>7500</x:v>
      </x:c>
      <x:c r="R106" s="267" t="n">
        <x:v>1000</x:v>
      </x:c>
      <x:c r="S106" s="254" t="n">
        <x:f>Q106*P106+0.5*R106*P106^2</x:f>
        <x:v>-187.1875</x:v>
      </x:c>
      <x:c r="T106" s="191" t="str">
        <x:v>IR</x:v>
      </x:c>
      <x:c r="U106" s="191" t="str">
        <x:v>Illustrative surrogate only</x:v>
      </x:c>
      <x:c r="V106" s="191"/>
      <x:c r="W106" s="191"/>
      <x:c r="X106" s="191"/>
      <x:c r="Y106" s="191"/>
      <x:c r="Z106" s="191"/>
      <x:c r="AA106" s="191"/>
      <x:c r="AB106" s="191"/>
      <x:c r="AC106" s="191"/>
      <x:c r="AD106" s="191"/>
      <x:c r="AE106" s="191"/>
      <x:c r="AF106" s="191"/>
      <x:c r="AG106" s="191"/>
      <x:c r="AH106" s="191"/>
      <x:c r="AI106" s="191"/>
      <x:c r="AJ106" s="191"/>
      <x:c r="AK106" s="191"/>
    </x:row>
    <x:row r="107">
      <x:c r="A107" s="191"/>
      <x:c r="B107" s="191"/>
      <x:c r="C107" s="191"/>
      <x:c r="D107" s="191"/>
      <x:c r="E107" s="191"/>
      <x:c r="F107" s="191"/>
      <x:c r="G107" s="191"/>
      <x:c r="H107" s="191"/>
      <x:c r="I107" s="191"/>
      <x:c r="J107" s="191"/>
      <x:c r="K107" s="191"/>
      <x:c r="L107" s="198" t="str">
        <x:v>RHO</x:v>
      </x:c>
      <x:c r="M107" s="198" t="n">
        <x:v>1</x:v>
      </x:c>
      <x:c r="N107" s="198" t="str">
        <x:v>1M</x:v>
      </x:c>
      <x:c r="O107" s="198" t="str">
        <x:v>1Y</x:v>
      </x:c>
      <x:c r="P107" s="266" t="n">
        <x:v>-0.026000000000000002</x:v>
      </x:c>
      <x:c r="Q107" s="201" t="n">
        <x:v>7600</x:v>
      </x:c>
      <x:c r="R107" s="267" t="n">
        <x:v>1000</x:v>
      </x:c>
      <x:c r="S107" s="254" t="n">
        <x:f>Q107*P107+0.5*R107*P107^2</x:f>
        <x:v>-197.26200000000003</x:v>
      </x:c>
      <x:c r="T107" s="191" t="str">
        <x:v>IR</x:v>
      </x:c>
      <x:c r="U107" s="191" t="str">
        <x:v>Illustrative surrogate only</x:v>
      </x:c>
      <x:c r="V107" s="191"/>
      <x:c r="W107" s="191"/>
      <x:c r="X107" s="191"/>
      <x:c r="Y107" s="191"/>
      <x:c r="Z107" s="191"/>
      <x:c r="AA107" s="191"/>
      <x:c r="AB107" s="191"/>
      <x:c r="AC107" s="191"/>
      <x:c r="AD107" s="191"/>
      <x:c r="AE107" s="191"/>
      <x:c r="AF107" s="191"/>
      <x:c r="AG107" s="191"/>
      <x:c r="AH107" s="191"/>
      <x:c r="AI107" s="191"/>
      <x:c r="AJ107" s="191"/>
      <x:c r="AK107" s="191"/>
    </x:row>
    <x:row r="108">
      <x:c r="A108" s="191"/>
      <x:c r="B108" s="191"/>
      <x:c r="C108" s="191"/>
      <x:c r="D108" s="191"/>
      <x:c r="E108" s="191"/>
      <x:c r="F108" s="191"/>
      <x:c r="G108" s="191"/>
      <x:c r="H108" s="191"/>
      <x:c r="I108" s="191"/>
      <x:c r="J108" s="191"/>
      <x:c r="K108" s="191"/>
      <x:c r="L108" s="198" t="str">
        <x:v>RHO</x:v>
      </x:c>
      <x:c r="M108" s="198" t="n">
        <x:v>1</x:v>
      </x:c>
      <x:c r="N108" s="198" t="str">
        <x:v>1M</x:v>
      </x:c>
      <x:c r="O108" s="198" t="str">
        <x:v>2Y</x:v>
      </x:c>
      <x:c r="P108" s="266" t="n">
        <x:v>-0.027000000000000003</x:v>
      </x:c>
      <x:c r="Q108" s="201" t="n">
        <x:v>7700</x:v>
      </x:c>
      <x:c r="R108" s="267" t="n">
        <x:v>1000</x:v>
      </x:c>
      <x:c r="S108" s="254" t="n">
        <x:f>Q108*P108+0.5*R108*P108^2</x:f>
        <x:v>-207.53550000000004</x:v>
      </x:c>
      <x:c r="T108" s="191" t="str">
        <x:v>IR</x:v>
      </x:c>
      <x:c r="U108" s="191" t="str">
        <x:v>Illustrative surrogate only</x:v>
      </x:c>
      <x:c r="V108" s="191"/>
      <x:c r="W108" s="191"/>
      <x:c r="X108" s="191"/>
      <x:c r="Y108" s="191"/>
      <x:c r="Z108" s="191"/>
      <x:c r="AA108" s="191"/>
      <x:c r="AB108" s="191"/>
      <x:c r="AC108" s="191"/>
      <x:c r="AD108" s="191"/>
      <x:c r="AE108" s="191"/>
      <x:c r="AF108" s="191"/>
      <x:c r="AG108" s="191"/>
      <x:c r="AH108" s="191"/>
      <x:c r="AI108" s="191"/>
      <x:c r="AJ108" s="191"/>
      <x:c r="AK108" s="191"/>
    </x:row>
    <x:row r="109">
      <x:c r="A109" s="191"/>
      <x:c r="B109" s="191"/>
      <x:c r="C109" s="191"/>
      <x:c r="D109" s="191"/>
      <x:c r="E109" s="191"/>
      <x:c r="F109" s="191"/>
      <x:c r="G109" s="191"/>
      <x:c r="H109" s="191"/>
      <x:c r="I109" s="191"/>
      <x:c r="J109" s="191"/>
      <x:c r="K109" s="191"/>
      <x:c r="L109" s="198" t="str">
        <x:v>RHO</x:v>
      </x:c>
      <x:c r="M109" s="198" t="n">
        <x:v>1</x:v>
      </x:c>
      <x:c r="N109" s="198" t="str">
        <x:v>1M</x:v>
      </x:c>
      <x:c r="O109" s="198" t="str">
        <x:v>3Y</x:v>
      </x:c>
      <x:c r="P109" s="266" t="n">
        <x:v>-0.028000000000000004</x:v>
      </x:c>
      <x:c r="Q109" s="201" t="n">
        <x:v>7800</x:v>
      </x:c>
      <x:c r="R109" s="267" t="n">
        <x:v>1000</x:v>
      </x:c>
      <x:c r="S109" s="254" t="n">
        <x:f>Q109*P109+0.5*R109*P109^2</x:f>
        <x:v>-218.00800000000004</x:v>
      </x:c>
      <x:c r="T109" s="191" t="str">
        <x:v>IR</x:v>
      </x:c>
      <x:c r="U109" s="191" t="str">
        <x:v>Illustrative surrogate only</x:v>
      </x:c>
      <x:c r="V109" s="191"/>
      <x:c r="W109" s="191"/>
      <x:c r="X109" s="191"/>
      <x:c r="Y109" s="191"/>
      <x:c r="Z109" s="191"/>
      <x:c r="AA109" s="191"/>
      <x:c r="AB109" s="191"/>
      <x:c r="AC109" s="191"/>
      <x:c r="AD109" s="191"/>
      <x:c r="AE109" s="191"/>
      <x:c r="AF109" s="191"/>
      <x:c r="AG109" s="191"/>
      <x:c r="AH109" s="191"/>
      <x:c r="AI109" s="191"/>
      <x:c r="AJ109" s="191"/>
      <x:c r="AK109" s="191"/>
    </x:row>
    <x:row r="110">
      <x:c r="A110" s="191"/>
      <x:c r="B110" s="191"/>
      <x:c r="C110" s="191"/>
      <x:c r="D110" s="191"/>
      <x:c r="E110" s="191"/>
      <x:c r="F110" s="191"/>
      <x:c r="G110" s="191"/>
      <x:c r="H110" s="191"/>
      <x:c r="I110" s="191"/>
      <x:c r="J110" s="191"/>
      <x:c r="K110" s="191"/>
      <x:c r="L110" s="198" t="str">
        <x:v>RHO</x:v>
      </x:c>
      <x:c r="M110" s="198" t="n">
        <x:v>1</x:v>
      </x:c>
      <x:c r="N110" s="198" t="str">
        <x:v>1M</x:v>
      </x:c>
      <x:c r="O110" s="198" t="str">
        <x:v>5Y</x:v>
      </x:c>
      <x:c r="P110" s="266" t="n">
        <x:v>-0.029</x:v>
      </x:c>
      <x:c r="Q110" s="201" t="n">
        <x:v>7900</x:v>
      </x:c>
      <x:c r="R110" s="267" t="n">
        <x:v>1000</x:v>
      </x:c>
      <x:c r="S110" s="254" t="n">
        <x:f>Q110*P110+0.5*R110*P110^2</x:f>
        <x:v>-228.67950000000002</x:v>
      </x:c>
      <x:c r="T110" s="191" t="str">
        <x:v>IR</x:v>
      </x:c>
      <x:c r="U110" s="191" t="str">
        <x:v>Illustrative surrogate only</x:v>
      </x:c>
      <x:c r="V110" s="191"/>
      <x:c r="W110" s="191"/>
      <x:c r="X110" s="191"/>
      <x:c r="Y110" s="191"/>
      <x:c r="Z110" s="191"/>
      <x:c r="AA110" s="191"/>
      <x:c r="AB110" s="191"/>
      <x:c r="AC110" s="191"/>
      <x:c r="AD110" s="191"/>
      <x:c r="AE110" s="191"/>
      <x:c r="AF110" s="191"/>
      <x:c r="AG110" s="191"/>
      <x:c r="AH110" s="191"/>
      <x:c r="AI110" s="191"/>
      <x:c r="AJ110" s="191"/>
      <x:c r="AK110" s="191"/>
    </x:row>
    <x:row r="111">
      <x:c r="A111" s="191"/>
      <x:c r="B111" s="191"/>
      <x:c r="C111" s="191"/>
      <x:c r="D111" s="191"/>
      <x:c r="E111" s="191"/>
      <x:c r="F111" s="191"/>
      <x:c r="G111" s="191"/>
      <x:c r="H111" s="191"/>
      <x:c r="I111" s="191"/>
      <x:c r="J111" s="191"/>
      <x:c r="K111" s="191"/>
      <x:c r="L111" s="198" t="str">
        <x:v>RHO</x:v>
      </x:c>
      <x:c r="M111" s="198" t="n">
        <x:v>1</x:v>
      </x:c>
      <x:c r="N111" s="198" t="str">
        <x:v>1M</x:v>
      </x:c>
      <x:c r="O111" s="198" t="str">
        <x:v>10Y</x:v>
      </x:c>
      <x:c r="P111" s="266" t="n">
        <x:v>-0.030000000000000002</x:v>
      </x:c>
      <x:c r="Q111" s="201" t="n">
        <x:v>8000</x:v>
      </x:c>
      <x:c r="R111" s="267" t="n">
        <x:v>1000</x:v>
      </x:c>
      <x:c r="S111" s="254" t="n">
        <x:f>Q111*P111+0.5*R111*P111^2</x:f>
        <x:v>-239.55000000000004</x:v>
      </x:c>
      <x:c r="T111" s="191" t="str">
        <x:v>IR</x:v>
      </x:c>
      <x:c r="U111" s="191" t="str">
        <x:v>Illustrative surrogate only</x:v>
      </x:c>
      <x:c r="V111" s="191"/>
      <x:c r="W111" s="191"/>
      <x:c r="X111" s="191"/>
      <x:c r="Y111" s="191"/>
      <x:c r="Z111" s="191"/>
      <x:c r="AA111" s="191"/>
      <x:c r="AB111" s="191"/>
      <x:c r="AC111" s="191"/>
      <x:c r="AD111" s="191"/>
      <x:c r="AE111" s="191"/>
      <x:c r="AF111" s="191"/>
      <x:c r="AG111" s="191"/>
      <x:c r="AH111" s="191"/>
      <x:c r="AI111" s="191"/>
      <x:c r="AJ111" s="191"/>
      <x:c r="AK111" s="191"/>
    </x:row>
    <x:row r="112">
      <x:c r="A112" s="191"/>
      <x:c r="B112" s="191"/>
      <x:c r="C112" s="191"/>
      <x:c r="D112" s="191"/>
      <x:c r="E112" s="191"/>
      <x:c r="F112" s="191"/>
      <x:c r="G112" s="191"/>
      <x:c r="H112" s="191"/>
      <x:c r="I112" s="191"/>
      <x:c r="J112" s="191"/>
      <x:c r="K112" s="191"/>
      <x:c r="L112" s="198" t="str">
        <x:v>RHO</x:v>
      </x:c>
      <x:c r="M112" s="198" t="n">
        <x:v>1</x:v>
      </x:c>
      <x:c r="N112" s="198" t="str">
        <x:v>1M</x:v>
      </x:c>
      <x:c r="O112" s="198" t="str">
        <x:v>20Y</x:v>
      </x:c>
      <x:c r="P112" s="266" t="n">
        <x:v>-0.031000000000000003</x:v>
      </x:c>
      <x:c r="Q112" s="201" t="n">
        <x:v>8100</x:v>
      </x:c>
      <x:c r="R112" s="267" t="n">
        <x:v>1000</x:v>
      </x:c>
      <x:c r="S112" s="254" t="n">
        <x:f>Q112*P112+0.5*R112*P112^2</x:f>
        <x:v>-250.61950000000002</x:v>
      </x:c>
      <x:c r="T112" s="191" t="str">
        <x:v>IR</x:v>
      </x:c>
      <x:c r="U112" s="191" t="str">
        <x:v>Illustrative surrogate only</x:v>
      </x:c>
      <x:c r="V112" s="191"/>
      <x:c r="W112" s="191"/>
      <x:c r="X112" s="191"/>
      <x:c r="Y112" s="191"/>
      <x:c r="Z112" s="191"/>
      <x:c r="AA112" s="191"/>
      <x:c r="AB112" s="191"/>
      <x:c r="AC112" s="191"/>
      <x:c r="AD112" s="191"/>
      <x:c r="AE112" s="191"/>
      <x:c r="AF112" s="191"/>
      <x:c r="AG112" s="191"/>
      <x:c r="AH112" s="191"/>
      <x:c r="AI112" s="191"/>
      <x:c r="AJ112" s="191"/>
      <x:c r="AK112" s="191"/>
    </x:row>
    <x:row r="113">
      <x:c r="A113" s="191"/>
      <x:c r="B113" s="191"/>
      <x:c r="C113" s="191"/>
      <x:c r="D113" s="191"/>
      <x:c r="E113" s="191"/>
      <x:c r="F113" s="191"/>
      <x:c r="G113" s="191"/>
      <x:c r="H113" s="191"/>
      <x:c r="I113" s="191"/>
      <x:c r="J113" s="191"/>
      <x:c r="K113" s="191"/>
      <x:c r="L113" s="198" t="str">
        <x:v>RHO</x:v>
      </x:c>
      <x:c r="M113" s="198" t="n">
        <x:v>1</x:v>
      </x:c>
      <x:c r="N113" s="198" t="str">
        <x:v>1M</x:v>
      </x:c>
      <x:c r="O113" s="198" t="str">
        <x:v>30Y</x:v>
      </x:c>
      <x:c r="P113" s="266" t="n">
        <x:v>-0.032</x:v>
      </x:c>
      <x:c r="Q113" s="201" t="n">
        <x:v>8200</x:v>
      </x:c>
      <x:c r="R113" s="267" t="n">
        <x:v>1000</x:v>
      </x:c>
      <x:c r="S113" s="254" t="n">
        <x:f>Q113*P113+0.5*R113*P113^2</x:f>
        <x:v>-261.888</x:v>
      </x:c>
      <x:c r="T113" s="191" t="str">
        <x:v>IR</x:v>
      </x:c>
      <x:c r="U113" s="191" t="str">
        <x:v>Illustrative surrogate only</x:v>
      </x:c>
      <x:c r="V113" s="191"/>
      <x:c r="W113" s="191"/>
      <x:c r="X113" s="191"/>
      <x:c r="Y113" s="191"/>
      <x:c r="Z113" s="191"/>
      <x:c r="AA113" s="191"/>
      <x:c r="AB113" s="191"/>
      <x:c r="AC113" s="191"/>
      <x:c r="AD113" s="191"/>
      <x:c r="AE113" s="191"/>
      <x:c r="AF113" s="191"/>
      <x:c r="AG113" s="191"/>
      <x:c r="AH113" s="191"/>
      <x:c r="AI113" s="191"/>
      <x:c r="AJ113" s="191"/>
      <x:c r="AK113" s="191"/>
    </x:row>
    <x:row r="114">
      <x:c r="A114" s="191"/>
      <x:c r="B114" s="191"/>
      <x:c r="C114" s="191"/>
      <x:c r="D114" s="191"/>
      <x:c r="E114" s="191"/>
      <x:c r="F114" s="191"/>
      <x:c r="G114" s="191"/>
      <x:c r="H114" s="191"/>
      <x:c r="I114" s="191"/>
      <x:c r="J114" s="191"/>
      <x:c r="K114" s="191"/>
      <x:c r="L114" s="198" t="str">
        <x:v>RHO</x:v>
      </x:c>
      <x:c r="M114" s="198" t="n">
        <x:v>2</x:v>
      </x:c>
      <x:c r="N114" s="198" t="str">
        <x:v>3M</x:v>
      </x:c>
      <x:c r="O114" s="198" t="str">
        <x:v>1M</x:v>
      </x:c>
      <x:c r="P114" s="266" t="n">
        <x:v>-0.020000000000000004</x:v>
      </x:c>
      <x:c r="Q114" s="201" t="n">
        <x:v>7500</x:v>
      </x:c>
      <x:c r="R114" s="267" t="n">
        <x:v>1000</x:v>
      </x:c>
      <x:c r="S114" s="254" t="n">
        <x:f>Q114*P114+0.5*R114*P114^2</x:f>
        <x:v>-149.80000000000004</x:v>
      </x:c>
      <x:c r="T114" s="191" t="str">
        <x:v>IR</x:v>
      </x:c>
      <x:c r="U114" s="191" t="str">
        <x:v>Illustrative surrogate only</x:v>
      </x:c>
      <x:c r="V114" s="191"/>
      <x:c r="W114" s="191"/>
      <x:c r="X114" s="191"/>
      <x:c r="Y114" s="191"/>
      <x:c r="Z114" s="191"/>
      <x:c r="AA114" s="191"/>
      <x:c r="AB114" s="191"/>
      <x:c r="AC114" s="191"/>
      <x:c r="AD114" s="191"/>
      <x:c r="AE114" s="191"/>
      <x:c r="AF114" s="191"/>
      <x:c r="AG114" s="191"/>
      <x:c r="AH114" s="191"/>
      <x:c r="AI114" s="191"/>
      <x:c r="AJ114" s="191"/>
      <x:c r="AK114" s="191"/>
    </x:row>
    <x:row r="115">
      <x:c r="A115" s="191"/>
      <x:c r="B115" s="191"/>
      <x:c r="C115" s="191"/>
      <x:c r="D115" s="191"/>
      <x:c r="E115" s="191"/>
      <x:c r="F115" s="191"/>
      <x:c r="G115" s="191"/>
      <x:c r="H115" s="191"/>
      <x:c r="I115" s="191"/>
      <x:c r="J115" s="191"/>
      <x:c r="K115" s="191"/>
      <x:c r="L115" s="198" t="str">
        <x:v>RHO</x:v>
      </x:c>
      <x:c r="M115" s="198" t="n">
        <x:v>2</x:v>
      </x:c>
      <x:c r="N115" s="198" t="str">
        <x:v>3M</x:v>
      </x:c>
      <x:c r="O115" s="198" t="str">
        <x:v>3M</x:v>
      </x:c>
      <x:c r="P115" s="266" t="n">
        <x:v>-0.021000000000000005</x:v>
      </x:c>
      <x:c r="Q115" s="201" t="n">
        <x:v>7600</x:v>
      </x:c>
      <x:c r="R115" s="267" t="n">
        <x:v>1000</x:v>
      </x:c>
      <x:c r="S115" s="254" t="n">
        <x:f>Q115*P115+0.5*R115*P115^2</x:f>
        <x:v>-159.37950000000004</x:v>
      </x:c>
      <x:c r="T115" s="191" t="str">
        <x:v>IR</x:v>
      </x:c>
      <x:c r="U115" s="191" t="str">
        <x:v>Illustrative surrogate only</x:v>
      </x:c>
      <x:c r="V115" s="191"/>
      <x:c r="W115" s="191"/>
      <x:c r="X115" s="191"/>
      <x:c r="Y115" s="191"/>
      <x:c r="Z115" s="191"/>
      <x:c r="AA115" s="191"/>
      <x:c r="AB115" s="191"/>
      <x:c r="AC115" s="191"/>
      <x:c r="AD115" s="191"/>
      <x:c r="AE115" s="191"/>
      <x:c r="AF115" s="191"/>
      <x:c r="AG115" s="191"/>
      <x:c r="AH115" s="191"/>
      <x:c r="AI115" s="191"/>
      <x:c r="AJ115" s="191"/>
      <x:c r="AK115" s="191"/>
    </x:row>
    <x:row r="116">
      <x:c r="A116" s="191"/>
      <x:c r="B116" s="191"/>
      <x:c r="C116" s="191"/>
      <x:c r="D116" s="191"/>
      <x:c r="E116" s="191"/>
      <x:c r="F116" s="191"/>
      <x:c r="G116" s="191"/>
      <x:c r="H116" s="191"/>
      <x:c r="I116" s="191"/>
      <x:c r="J116" s="191"/>
      <x:c r="K116" s="191"/>
      <x:c r="L116" s="198" t="str">
        <x:v>RHO</x:v>
      </x:c>
      <x:c r="M116" s="198" t="n">
        <x:v>2</x:v>
      </x:c>
      <x:c r="N116" s="198" t="str">
        <x:v>3M</x:v>
      </x:c>
      <x:c r="O116" s="198" t="str">
        <x:v>6M</x:v>
      </x:c>
      <x:c r="P116" s="266" t="n">
        <x:v>-0.022000000000000002</x:v>
      </x:c>
      <x:c r="Q116" s="201" t="n">
        <x:v>7700</x:v>
      </x:c>
      <x:c r="R116" s="267" t="n">
        <x:v>1000</x:v>
      </x:c>
      <x:c r="S116" s="254" t="n">
        <x:f>Q116*P116+0.5*R116*P116^2</x:f>
        <x:v>-169.15800000000002</x:v>
      </x:c>
      <x:c r="T116" s="191" t="str">
        <x:v>IR</x:v>
      </x:c>
      <x:c r="U116" s="191" t="str">
        <x:v>Illustrative surrogate only</x:v>
      </x:c>
      <x:c r="V116" s="191"/>
      <x:c r="W116" s="191"/>
      <x:c r="X116" s="191"/>
      <x:c r="Y116" s="191"/>
      <x:c r="Z116" s="191"/>
      <x:c r="AA116" s="191"/>
      <x:c r="AB116" s="191"/>
      <x:c r="AC116" s="191"/>
      <x:c r="AD116" s="191"/>
      <x:c r="AE116" s="191"/>
      <x:c r="AF116" s="191"/>
      <x:c r="AG116" s="191"/>
      <x:c r="AH116" s="191"/>
      <x:c r="AI116" s="191"/>
      <x:c r="AJ116" s="191"/>
      <x:c r="AK116" s="191"/>
    </x:row>
    <x:row r="117">
      <x:c r="A117" s="191"/>
      <x:c r="B117" s="191"/>
      <x:c r="C117" s="191"/>
      <x:c r="D117" s="191"/>
      <x:c r="E117" s="191"/>
      <x:c r="F117" s="191"/>
      <x:c r="G117" s="191"/>
      <x:c r="H117" s="191"/>
      <x:c r="I117" s="191"/>
      <x:c r="J117" s="191"/>
      <x:c r="K117" s="191"/>
      <x:c r="L117" s="198" t="str">
        <x:v>RHO</x:v>
      </x:c>
      <x:c r="M117" s="198" t="n">
        <x:v>2</x:v>
      </x:c>
      <x:c r="N117" s="198" t="str">
        <x:v>3M</x:v>
      </x:c>
      <x:c r="O117" s="198" t="str">
        <x:v>1Y</x:v>
      </x:c>
      <x:c r="P117" s="266" t="n">
        <x:v>-0.023000000000000003</x:v>
      </x:c>
      <x:c r="Q117" s="201" t="n">
        <x:v>7800</x:v>
      </x:c>
      <x:c r="R117" s="267" t="n">
        <x:v>1000</x:v>
      </x:c>
      <x:c r="S117" s="254" t="n">
        <x:f>Q117*P117+0.5*R117*P117^2</x:f>
        <x:v>-179.13550000000004</x:v>
      </x:c>
      <x:c r="T117" s="191" t="str">
        <x:v>IR</x:v>
      </x:c>
      <x:c r="U117" s="191" t="str">
        <x:v>Illustrative surrogate only</x:v>
      </x:c>
      <x:c r="V117" s="191"/>
      <x:c r="W117" s="191"/>
      <x:c r="X117" s="191"/>
      <x:c r="Y117" s="191"/>
      <x:c r="Z117" s="191"/>
      <x:c r="AA117" s="191"/>
      <x:c r="AB117" s="191"/>
      <x:c r="AC117" s="191"/>
      <x:c r="AD117" s="191"/>
      <x:c r="AE117" s="191"/>
      <x:c r="AF117" s="191"/>
      <x:c r="AG117" s="191"/>
      <x:c r="AH117" s="191"/>
      <x:c r="AI117" s="191"/>
      <x:c r="AJ117" s="191"/>
      <x:c r="AK117" s="191"/>
    </x:row>
    <x:row r="118">
      <x:c r="A118" s="191"/>
      <x:c r="B118" s="191"/>
      <x:c r="C118" s="191"/>
      <x:c r="D118" s="191"/>
      <x:c r="E118" s="191"/>
      <x:c r="F118" s="191"/>
      <x:c r="G118" s="191"/>
      <x:c r="H118" s="191"/>
      <x:c r="I118" s="191"/>
      <x:c r="J118" s="191"/>
      <x:c r="K118" s="191"/>
      <x:c r="L118" s="198" t="str">
        <x:v>RHO</x:v>
      </x:c>
      <x:c r="M118" s="198" t="n">
        <x:v>2</x:v>
      </x:c>
      <x:c r="N118" s="198" t="str">
        <x:v>3M</x:v>
      </x:c>
      <x:c r="O118" s="198" t="str">
        <x:v>2Y</x:v>
      </x:c>
      <x:c r="P118" s="266" t="n">
        <x:v>-0.024000000000000004</x:v>
      </x:c>
      <x:c r="Q118" s="201" t="n">
        <x:v>7900</x:v>
      </x:c>
      <x:c r="R118" s="267" t="n">
        <x:v>1000</x:v>
      </x:c>
      <x:c r="S118" s="254" t="n">
        <x:f>Q118*P118+0.5*R118*P118^2</x:f>
        <x:v>-189.312</x:v>
      </x:c>
      <x:c r="T118" s="191" t="str">
        <x:v>IR</x:v>
      </x:c>
      <x:c r="U118" s="191" t="str">
        <x:v>Illustrative surrogate only</x:v>
      </x:c>
      <x:c r="V118" s="191"/>
      <x:c r="W118" s="191"/>
      <x:c r="X118" s="191"/>
      <x:c r="Y118" s="191"/>
      <x:c r="Z118" s="191"/>
      <x:c r="AA118" s="191"/>
      <x:c r="AB118" s="191"/>
      <x:c r="AC118" s="191"/>
      <x:c r="AD118" s="191"/>
      <x:c r="AE118" s="191"/>
      <x:c r="AF118" s="191"/>
      <x:c r="AG118" s="191"/>
      <x:c r="AH118" s="191"/>
      <x:c r="AI118" s="191"/>
      <x:c r="AJ118" s="191"/>
      <x:c r="AK118" s="191"/>
    </x:row>
    <x:row r="119">
      <x:c r="A119" s="191"/>
      <x:c r="B119" s="191"/>
      <x:c r="C119" s="191"/>
      <x:c r="D119" s="191"/>
      <x:c r="E119" s="191"/>
      <x:c r="F119" s="191"/>
      <x:c r="G119" s="191"/>
      <x:c r="H119" s="191"/>
      <x:c r="I119" s="191"/>
      <x:c r="J119" s="191"/>
      <x:c r="K119" s="191"/>
      <x:c r="L119" s="198" t="str">
        <x:v>RHO</x:v>
      </x:c>
      <x:c r="M119" s="198" t="n">
        <x:v>2</x:v>
      </x:c>
      <x:c r="N119" s="198" t="str">
        <x:v>3M</x:v>
      </x:c>
      <x:c r="O119" s="198" t="str">
        <x:v>3Y</x:v>
      </x:c>
      <x:c r="P119" s="266" t="n">
        <x:v>-0.025</x:v>
      </x:c>
      <x:c r="Q119" s="201" t="n">
        <x:v>8000</x:v>
      </x:c>
      <x:c r="R119" s="267" t="n">
        <x:v>1000</x:v>
      </x:c>
      <x:c r="S119" s="254" t="n">
        <x:f>Q119*P119+0.5*R119*P119^2</x:f>
        <x:v>-199.6875</x:v>
      </x:c>
      <x:c r="T119" s="191" t="str">
        <x:v>IR</x:v>
      </x:c>
      <x:c r="U119" s="191" t="str">
        <x:v>Illustrative surrogate only</x:v>
      </x:c>
      <x:c r="V119" s="191"/>
      <x:c r="W119" s="191"/>
      <x:c r="X119" s="191"/>
      <x:c r="Y119" s="191"/>
      <x:c r="Z119" s="191"/>
      <x:c r="AA119" s="191"/>
      <x:c r="AB119" s="191"/>
      <x:c r="AC119" s="191"/>
      <x:c r="AD119" s="191"/>
      <x:c r="AE119" s="191"/>
      <x:c r="AF119" s="191"/>
      <x:c r="AG119" s="191"/>
      <x:c r="AH119" s="191"/>
      <x:c r="AI119" s="191"/>
      <x:c r="AJ119" s="191"/>
      <x:c r="AK119" s="191"/>
    </x:row>
    <x:row r="120">
      <x:c r="A120" s="191"/>
      <x:c r="B120" s="191"/>
      <x:c r="C120" s="191"/>
      <x:c r="D120" s="191"/>
      <x:c r="E120" s="191"/>
      <x:c r="F120" s="191"/>
      <x:c r="G120" s="191"/>
      <x:c r="H120" s="191"/>
      <x:c r="I120" s="191"/>
      <x:c r="J120" s="191"/>
      <x:c r="K120" s="191"/>
      <x:c r="L120" s="198" t="str">
        <x:v>RHO</x:v>
      </x:c>
      <x:c r="M120" s="198" t="n">
        <x:v>2</x:v>
      </x:c>
      <x:c r="N120" s="198" t="str">
        <x:v>3M</x:v>
      </x:c>
      <x:c r="O120" s="198" t="str">
        <x:v>5Y</x:v>
      </x:c>
      <x:c r="P120" s="266" t="n">
        <x:v>-0.026000000000000002</x:v>
      </x:c>
      <x:c r="Q120" s="201" t="n">
        <x:v>8100</x:v>
      </x:c>
      <x:c r="R120" s="267" t="n">
        <x:v>1000</x:v>
      </x:c>
      <x:c r="S120" s="254" t="n">
        <x:f>Q120*P120+0.5*R120*P120^2</x:f>
        <x:v>-210.26200000000003</x:v>
      </x:c>
      <x:c r="T120" s="191" t="str">
        <x:v>IR</x:v>
      </x:c>
      <x:c r="U120" s="191" t="str">
        <x:v>Illustrative surrogate only</x:v>
      </x:c>
      <x:c r="V120" s="191"/>
      <x:c r="W120" s="191"/>
      <x:c r="X120" s="191"/>
      <x:c r="Y120" s="191"/>
      <x:c r="Z120" s="191"/>
      <x:c r="AA120" s="191"/>
      <x:c r="AB120" s="191"/>
      <x:c r="AC120" s="191"/>
      <x:c r="AD120" s="191"/>
      <x:c r="AE120" s="191"/>
      <x:c r="AF120" s="191"/>
      <x:c r="AG120" s="191"/>
      <x:c r="AH120" s="191"/>
      <x:c r="AI120" s="191"/>
      <x:c r="AJ120" s="191"/>
      <x:c r="AK120" s="191"/>
    </x:row>
    <x:row r="121">
      <x:c r="A121" s="191"/>
      <x:c r="B121" s="191"/>
      <x:c r="C121" s="191"/>
      <x:c r="D121" s="191"/>
      <x:c r="E121" s="191"/>
      <x:c r="F121" s="191"/>
      <x:c r="G121" s="191"/>
      <x:c r="H121" s="191"/>
      <x:c r="I121" s="191"/>
      <x:c r="J121" s="191"/>
      <x:c r="K121" s="191"/>
      <x:c r="L121" s="198" t="str">
        <x:v>RHO</x:v>
      </x:c>
      <x:c r="M121" s="198" t="n">
        <x:v>2</x:v>
      </x:c>
      <x:c r="N121" s="198" t="str">
        <x:v>3M</x:v>
      </x:c>
      <x:c r="O121" s="198" t="str">
        <x:v>10Y</x:v>
      </x:c>
      <x:c r="P121" s="266" t="n">
        <x:v>-0.027000000000000003</x:v>
      </x:c>
      <x:c r="Q121" s="201" t="n">
        <x:v>8200</x:v>
      </x:c>
      <x:c r="R121" s="267" t="n">
        <x:v>1000</x:v>
      </x:c>
      <x:c r="S121" s="254" t="n">
        <x:f>Q121*P121+0.5*R121*P121^2</x:f>
        <x:v>-221.03550000000004</x:v>
      </x:c>
      <x:c r="T121" s="191" t="str">
        <x:v>IR</x:v>
      </x:c>
      <x:c r="U121" s="191" t="str">
        <x:v>Illustrative surrogate only</x:v>
      </x:c>
      <x:c r="V121" s="191"/>
      <x:c r="W121" s="191"/>
      <x:c r="X121" s="191"/>
      <x:c r="Y121" s="191"/>
      <x:c r="Z121" s="191"/>
      <x:c r="AA121" s="191"/>
      <x:c r="AB121" s="191"/>
      <x:c r="AC121" s="191"/>
      <x:c r="AD121" s="191"/>
      <x:c r="AE121" s="191"/>
      <x:c r="AF121" s="191"/>
      <x:c r="AG121" s="191"/>
      <x:c r="AH121" s="191"/>
      <x:c r="AI121" s="191"/>
      <x:c r="AJ121" s="191"/>
      <x:c r="AK121" s="191"/>
    </x:row>
    <x:row r="122">
      <x:c r="A122" s="191"/>
      <x:c r="B122" s="191"/>
      <x:c r="C122" s="191"/>
      <x:c r="D122" s="191"/>
      <x:c r="E122" s="191"/>
      <x:c r="F122" s="191"/>
      <x:c r="G122" s="191"/>
      <x:c r="H122" s="191"/>
      <x:c r="I122" s="191"/>
      <x:c r="J122" s="191"/>
      <x:c r="K122" s="191"/>
      <x:c r="L122" s="198" t="str">
        <x:v>RHO</x:v>
      </x:c>
      <x:c r="M122" s="198" t="n">
        <x:v>2</x:v>
      </x:c>
      <x:c r="N122" s="198" t="str">
        <x:v>3M</x:v>
      </x:c>
      <x:c r="O122" s="198" t="str">
        <x:v>20Y</x:v>
      </x:c>
      <x:c r="P122" s="266" t="n">
        <x:v>-0.028000000000000004</x:v>
      </x:c>
      <x:c r="Q122" s="201" t="n">
        <x:v>8300</x:v>
      </x:c>
      <x:c r="R122" s="267" t="n">
        <x:v>1000</x:v>
      </x:c>
      <x:c r="S122" s="254" t="n">
        <x:f>Q122*P122+0.5*R122*P122^2</x:f>
        <x:v>-232.00800000000004</x:v>
      </x:c>
      <x:c r="T122" s="191" t="str">
        <x:v>IR</x:v>
      </x:c>
      <x:c r="U122" s="191" t="str">
        <x:v>Illustrative surrogate only</x:v>
      </x:c>
      <x:c r="V122" s="191"/>
      <x:c r="W122" s="191"/>
      <x:c r="X122" s="191"/>
      <x:c r="Y122" s="191"/>
      <x:c r="Z122" s="191"/>
      <x:c r="AA122" s="191"/>
      <x:c r="AB122" s="191"/>
      <x:c r="AC122" s="191"/>
      <x:c r="AD122" s="191"/>
      <x:c r="AE122" s="191"/>
      <x:c r="AF122" s="191"/>
      <x:c r="AG122" s="191"/>
      <x:c r="AH122" s="191"/>
      <x:c r="AI122" s="191"/>
      <x:c r="AJ122" s="191"/>
      <x:c r="AK122" s="191"/>
    </x:row>
    <x:row r="123">
      <x:c r="A123" s="191"/>
      <x:c r="B123" s="191"/>
      <x:c r="C123" s="191"/>
      <x:c r="D123" s="191"/>
      <x:c r="E123" s="191"/>
      <x:c r="F123" s="191"/>
      <x:c r="G123" s="191"/>
      <x:c r="H123" s="191"/>
      <x:c r="I123" s="191"/>
      <x:c r="J123" s="191"/>
      <x:c r="K123" s="191"/>
      <x:c r="L123" s="198" t="str">
        <x:v>RHO</x:v>
      </x:c>
      <x:c r="M123" s="198" t="n">
        <x:v>2</x:v>
      </x:c>
      <x:c r="N123" s="198" t="str">
        <x:v>3M</x:v>
      </x:c>
      <x:c r="O123" s="198" t="str">
        <x:v>30Y</x:v>
      </x:c>
      <x:c r="P123" s="266" t="n">
        <x:v>-0.029000000000000005</x:v>
      </x:c>
      <x:c r="Q123" s="201" t="n">
        <x:v>8400</x:v>
      </x:c>
      <x:c r="R123" s="267" t="n">
        <x:v>1000</x:v>
      </x:c>
      <x:c r="S123" s="254" t="n">
        <x:f>Q123*P123+0.5*R123*P123^2</x:f>
        <x:v>-243.17950000000005</x:v>
      </x:c>
      <x:c r="T123" s="191" t="str">
        <x:v>IR</x:v>
      </x:c>
      <x:c r="U123" s="191" t="str">
        <x:v>Illustrative surrogate only</x:v>
      </x:c>
      <x:c r="V123" s="191"/>
      <x:c r="W123" s="191"/>
      <x:c r="X123" s="191"/>
      <x:c r="Y123" s="191"/>
      <x:c r="Z123" s="191"/>
      <x:c r="AA123" s="191"/>
      <x:c r="AB123" s="191"/>
      <x:c r="AC123" s="191"/>
      <x:c r="AD123" s="191"/>
      <x:c r="AE123" s="191"/>
      <x:c r="AF123" s="191"/>
      <x:c r="AG123" s="191"/>
      <x:c r="AH123" s="191"/>
      <x:c r="AI123" s="191"/>
      <x:c r="AJ123" s="191"/>
      <x:c r="AK123" s="191"/>
    </x:row>
    <x:row r="124">
      <x:c r="A124" s="191"/>
      <x:c r="B124" s="191"/>
      <x:c r="C124" s="191"/>
      <x:c r="D124" s="191"/>
      <x:c r="E124" s="191"/>
      <x:c r="F124" s="191"/>
      <x:c r="G124" s="191"/>
      <x:c r="H124" s="191"/>
      <x:c r="I124" s="191"/>
      <x:c r="J124" s="191"/>
      <x:c r="K124" s="191"/>
      <x:c r="L124" s="198" t="str">
        <x:v>RHO</x:v>
      </x:c>
      <x:c r="M124" s="198" t="n">
        <x:v>3</x:v>
      </x:c>
      <x:c r="N124" s="198" t="str">
        <x:v>6M</x:v>
      </x:c>
      <x:c r="O124" s="198" t="str">
        <x:v>1M</x:v>
      </x:c>
      <x:c r="P124" s="266" t="n">
        <x:v>-0.017</x:v>
      </x:c>
      <x:c r="Q124" s="201" t="n">
        <x:v>7700</x:v>
      </x:c>
      <x:c r="R124" s="267" t="n">
        <x:v>1000</x:v>
      </x:c>
      <x:c r="S124" s="254" t="n">
        <x:f>Q124*P124+0.5*R124*P124^2</x:f>
        <x:v>-130.7555</x:v>
      </x:c>
      <x:c r="T124" s="191" t="str">
        <x:v>IR</x:v>
      </x:c>
      <x:c r="U124" s="191" t="str">
        <x:v>Illustrative surrogate only</x:v>
      </x:c>
      <x:c r="V124" s="191"/>
      <x:c r="W124" s="191"/>
      <x:c r="X124" s="191"/>
      <x:c r="Y124" s="191"/>
      <x:c r="Z124" s="191"/>
      <x:c r="AA124" s="191"/>
      <x:c r="AB124" s="191"/>
      <x:c r="AC124" s="191"/>
      <x:c r="AD124" s="191"/>
      <x:c r="AE124" s="191"/>
      <x:c r="AF124" s="191"/>
      <x:c r="AG124" s="191"/>
      <x:c r="AH124" s="191"/>
      <x:c r="AI124" s="191"/>
      <x:c r="AJ124" s="191"/>
      <x:c r="AK124" s="191"/>
    </x:row>
    <x:row r="125">
      <x:c r="A125" s="191"/>
      <x:c r="B125" s="191"/>
      <x:c r="C125" s="191"/>
      <x:c r="D125" s="191"/>
      <x:c r="E125" s="191"/>
      <x:c r="F125" s="191"/>
      <x:c r="G125" s="191"/>
      <x:c r="H125" s="191"/>
      <x:c r="I125" s="191"/>
      <x:c r="J125" s="191"/>
      <x:c r="K125" s="191"/>
      <x:c r="L125" s="198" t="str">
        <x:v>RHO</x:v>
      </x:c>
      <x:c r="M125" s="198" t="n">
        <x:v>3</x:v>
      </x:c>
      <x:c r="N125" s="198" t="str">
        <x:v>6M</x:v>
      </x:c>
      <x:c r="O125" s="198" t="str">
        <x:v>3M</x:v>
      </x:c>
      <x:c r="P125" s="266" t="n">
        <x:v>-0.018000000000000002</x:v>
      </x:c>
      <x:c r="Q125" s="201" t="n">
        <x:v>7800</x:v>
      </x:c>
      <x:c r="R125" s="267" t="n">
        <x:v>1000</x:v>
      </x:c>
      <x:c r="S125" s="254" t="n">
        <x:f>Q125*P125+0.5*R125*P125^2</x:f>
        <x:v>-140.238</x:v>
      </x:c>
      <x:c r="T125" s="191" t="str">
        <x:v>IR</x:v>
      </x:c>
      <x:c r="U125" s="191" t="str">
        <x:v>Illustrative surrogate only</x:v>
      </x:c>
      <x:c r="V125" s="191"/>
      <x:c r="W125" s="191"/>
      <x:c r="X125" s="191"/>
      <x:c r="Y125" s="191"/>
      <x:c r="Z125" s="191"/>
      <x:c r="AA125" s="191"/>
      <x:c r="AB125" s="191"/>
      <x:c r="AC125" s="191"/>
      <x:c r="AD125" s="191"/>
      <x:c r="AE125" s="191"/>
      <x:c r="AF125" s="191"/>
      <x:c r="AG125" s="191"/>
      <x:c r="AH125" s="191"/>
      <x:c r="AI125" s="191"/>
      <x:c r="AJ125" s="191"/>
      <x:c r="AK125" s="191"/>
    </x:row>
    <x:row r="126">
      <x:c r="A126" s="191"/>
      <x:c r="B126" s="191"/>
      <x:c r="C126" s="191"/>
      <x:c r="D126" s="191"/>
      <x:c r="E126" s="191"/>
      <x:c r="F126" s="191"/>
      <x:c r="G126" s="191"/>
      <x:c r="H126" s="191"/>
      <x:c r="I126" s="191"/>
      <x:c r="J126" s="191"/>
      <x:c r="K126" s="191"/>
      <x:c r="L126" s="198" t="str">
        <x:v>RHO</x:v>
      </x:c>
      <x:c r="M126" s="198" t="n">
        <x:v>3</x:v>
      </x:c>
      <x:c r="N126" s="198" t="str">
        <x:v>6M</x:v>
      </x:c>
      <x:c r="O126" s="198" t="str">
        <x:v>6M</x:v>
      </x:c>
      <x:c r="P126" s="266" t="n">
        <x:v>-0.019</x:v>
      </x:c>
      <x:c r="Q126" s="201" t="n">
        <x:v>7900</x:v>
      </x:c>
      <x:c r="R126" s="267" t="n">
        <x:v>1000</x:v>
      </x:c>
      <x:c r="S126" s="254" t="n">
        <x:f>Q126*P126+0.5*R126*P126^2</x:f>
        <x:v>-149.9195</x:v>
      </x:c>
      <x:c r="T126" s="191" t="str">
        <x:v>IR</x:v>
      </x:c>
      <x:c r="U126" s="191" t="str">
        <x:v>Illustrative surrogate only</x:v>
      </x:c>
      <x:c r="V126" s="191"/>
      <x:c r="W126" s="191"/>
      <x:c r="X126" s="191"/>
      <x:c r="Y126" s="191"/>
      <x:c r="Z126" s="191"/>
      <x:c r="AA126" s="191"/>
      <x:c r="AB126" s="191"/>
      <x:c r="AC126" s="191"/>
      <x:c r="AD126" s="191"/>
      <x:c r="AE126" s="191"/>
      <x:c r="AF126" s="191"/>
      <x:c r="AG126" s="191"/>
      <x:c r="AH126" s="191"/>
      <x:c r="AI126" s="191"/>
      <x:c r="AJ126" s="191"/>
      <x:c r="AK126" s="191"/>
    </x:row>
    <x:row r="127">
      <x:c r="A127" s="191"/>
      <x:c r="B127" s="191"/>
      <x:c r="C127" s="191"/>
      <x:c r="D127" s="191"/>
      <x:c r="E127" s="191"/>
      <x:c r="F127" s="191"/>
      <x:c r="G127" s="191"/>
      <x:c r="H127" s="191"/>
      <x:c r="I127" s="191"/>
      <x:c r="J127" s="191"/>
      <x:c r="K127" s="191"/>
      <x:c r="L127" s="198" t="str">
        <x:v>RHO</x:v>
      </x:c>
      <x:c r="M127" s="198" t="n">
        <x:v>3</x:v>
      </x:c>
      <x:c r="N127" s="198" t="str">
        <x:v>6M</x:v>
      </x:c>
      <x:c r="O127" s="198" t="str">
        <x:v>1Y</x:v>
      </x:c>
      <x:c r="P127" s="266" t="n">
        <x:v>-0.02</x:v>
      </x:c>
      <x:c r="Q127" s="201" t="n">
        <x:v>8000</x:v>
      </x:c>
      <x:c r="R127" s="267" t="n">
        <x:v>1000</x:v>
      </x:c>
      <x:c r="S127" s="254" t="n">
        <x:f>Q127*P127+0.5*R127*P127^2</x:f>
        <x:v>-159.8</x:v>
      </x:c>
      <x:c r="T127" s="191" t="str">
        <x:v>IR</x:v>
      </x:c>
      <x:c r="U127" s="191" t="str">
        <x:v>Illustrative surrogate only</x:v>
      </x:c>
      <x:c r="V127" s="191"/>
      <x:c r="W127" s="191"/>
      <x:c r="X127" s="191"/>
      <x:c r="Y127" s="191"/>
      <x:c r="Z127" s="191"/>
      <x:c r="AA127" s="191"/>
      <x:c r="AB127" s="191"/>
      <x:c r="AC127" s="191"/>
      <x:c r="AD127" s="191"/>
      <x:c r="AE127" s="191"/>
      <x:c r="AF127" s="191"/>
      <x:c r="AG127" s="191"/>
      <x:c r="AH127" s="191"/>
      <x:c r="AI127" s="191"/>
      <x:c r="AJ127" s="191"/>
      <x:c r="AK127" s="191"/>
    </x:row>
    <x:row r="128">
      <x:c r="A128" s="191"/>
      <x:c r="B128" s="191"/>
      <x:c r="C128" s="191"/>
      <x:c r="D128" s="191"/>
      <x:c r="E128" s="191"/>
      <x:c r="F128" s="191"/>
      <x:c r="G128" s="191"/>
      <x:c r="H128" s="191"/>
      <x:c r="I128" s="191"/>
      <x:c r="J128" s="191"/>
      <x:c r="K128" s="191"/>
      <x:c r="L128" s="198" t="str">
        <x:v>RHO</x:v>
      </x:c>
      <x:c r="M128" s="198" t="n">
        <x:v>3</x:v>
      </x:c>
      <x:c r="N128" s="198" t="str">
        <x:v>6M</x:v>
      </x:c>
      <x:c r="O128" s="198" t="str">
        <x:v>2Y</x:v>
      </x:c>
      <x:c r="P128" s="266" t="n">
        <x:v>-0.021</x:v>
      </x:c>
      <x:c r="Q128" s="201" t="n">
        <x:v>8100</x:v>
      </x:c>
      <x:c r="R128" s="267" t="n">
        <x:v>1000</x:v>
      </x:c>
      <x:c r="S128" s="254" t="n">
        <x:f>Q128*P128+0.5*R128*P128^2</x:f>
        <x:v>-169.87950000000004</x:v>
      </x:c>
      <x:c r="T128" s="191" t="str">
        <x:v>IR</x:v>
      </x:c>
      <x:c r="U128" s="191" t="str">
        <x:v>Illustrative surrogate only</x:v>
      </x:c>
      <x:c r="V128" s="191"/>
      <x:c r="W128" s="191"/>
      <x:c r="X128" s="191"/>
      <x:c r="Y128" s="191"/>
      <x:c r="Z128" s="191"/>
      <x:c r="AA128" s="191"/>
      <x:c r="AB128" s="191"/>
      <x:c r="AC128" s="191"/>
      <x:c r="AD128" s="191"/>
      <x:c r="AE128" s="191"/>
      <x:c r="AF128" s="191"/>
      <x:c r="AG128" s="191"/>
      <x:c r="AH128" s="191"/>
      <x:c r="AI128" s="191"/>
      <x:c r="AJ128" s="191"/>
      <x:c r="AK128" s="191"/>
    </x:row>
    <x:row r="129">
      <x:c r="A129" s="191"/>
      <x:c r="B129" s="191"/>
      <x:c r="C129" s="191"/>
      <x:c r="D129" s="191"/>
      <x:c r="E129" s="191"/>
      <x:c r="F129" s="191"/>
      <x:c r="G129" s="191"/>
      <x:c r="H129" s="191"/>
      <x:c r="I129" s="191"/>
      <x:c r="J129" s="191"/>
      <x:c r="K129" s="191"/>
      <x:c r="L129" s="198" t="str">
        <x:v>RHO</x:v>
      </x:c>
      <x:c r="M129" s="198" t="n">
        <x:v>3</x:v>
      </x:c>
      <x:c r="N129" s="198" t="str">
        <x:v>6M</x:v>
      </x:c>
      <x:c r="O129" s="198" t="str">
        <x:v>3Y</x:v>
      </x:c>
      <x:c r="P129" s="266" t="n">
        <x:v>-0.022</x:v>
      </x:c>
      <x:c r="Q129" s="201" t="n">
        <x:v>8200</x:v>
      </x:c>
      <x:c r="R129" s="267" t="n">
        <x:v>1000</x:v>
      </x:c>
      <x:c r="S129" s="254" t="n">
        <x:f>Q129*P129+0.5*R129*P129^2</x:f>
        <x:v>-180.158</x:v>
      </x:c>
      <x:c r="T129" s="191" t="str">
        <x:v>IR</x:v>
      </x:c>
      <x:c r="U129" s="191" t="str">
        <x:v>Illustrative surrogate only</x:v>
      </x:c>
      <x:c r="V129" s="191"/>
      <x:c r="W129" s="191"/>
      <x:c r="X129" s="191"/>
      <x:c r="Y129" s="191"/>
      <x:c r="Z129" s="191"/>
      <x:c r="AA129" s="191"/>
      <x:c r="AB129" s="191"/>
      <x:c r="AC129" s="191"/>
      <x:c r="AD129" s="191"/>
      <x:c r="AE129" s="191"/>
      <x:c r="AF129" s="191"/>
      <x:c r="AG129" s="191"/>
      <x:c r="AH129" s="191"/>
      <x:c r="AI129" s="191"/>
      <x:c r="AJ129" s="191"/>
      <x:c r="AK129" s="191"/>
    </x:row>
    <x:row r="130">
      <x:c r="A130" s="191"/>
      <x:c r="B130" s="191"/>
      <x:c r="C130" s="191"/>
      <x:c r="D130" s="191"/>
      <x:c r="E130" s="191"/>
      <x:c r="F130" s="191"/>
      <x:c r="G130" s="191"/>
      <x:c r="H130" s="191"/>
      <x:c r="I130" s="191"/>
      <x:c r="J130" s="191"/>
      <x:c r="K130" s="191"/>
      <x:c r="L130" s="198" t="str">
        <x:v>RHO</x:v>
      </x:c>
      <x:c r="M130" s="198" t="n">
        <x:v>3</x:v>
      </x:c>
      <x:c r="N130" s="198" t="str">
        <x:v>6M</x:v>
      </x:c>
      <x:c r="O130" s="198" t="str">
        <x:v>5Y</x:v>
      </x:c>
      <x:c r="P130" s="266" t="n">
        <x:v>-0.023</x:v>
      </x:c>
      <x:c r="Q130" s="201" t="n">
        <x:v>8300</x:v>
      </x:c>
      <x:c r="R130" s="267" t="n">
        <x:v>1000</x:v>
      </x:c>
      <x:c r="S130" s="254" t="n">
        <x:f>Q130*P130+0.5*R130*P130^2</x:f>
        <x:v>-190.6355</x:v>
      </x:c>
      <x:c r="T130" s="191" t="str">
        <x:v>IR</x:v>
      </x:c>
      <x:c r="U130" s="191" t="str">
        <x:v>Illustrative surrogate only</x:v>
      </x:c>
      <x:c r="V130" s="191"/>
      <x:c r="W130" s="191"/>
      <x:c r="X130" s="191"/>
      <x:c r="Y130" s="191"/>
      <x:c r="Z130" s="191"/>
      <x:c r="AA130" s="191"/>
      <x:c r="AB130" s="191"/>
      <x:c r="AC130" s="191"/>
      <x:c r="AD130" s="191"/>
      <x:c r="AE130" s="191"/>
      <x:c r="AF130" s="191"/>
      <x:c r="AG130" s="191"/>
      <x:c r="AH130" s="191"/>
      <x:c r="AI130" s="191"/>
      <x:c r="AJ130" s="191"/>
      <x:c r="AK130" s="191"/>
    </x:row>
    <x:row r="131">
      <x:c r="A131" s="191"/>
      <x:c r="B131" s="191"/>
      <x:c r="C131" s="191"/>
      <x:c r="D131" s="191"/>
      <x:c r="E131" s="191"/>
      <x:c r="F131" s="191"/>
      <x:c r="G131" s="191"/>
      <x:c r="H131" s="191"/>
      <x:c r="I131" s="191"/>
      <x:c r="J131" s="191"/>
      <x:c r="K131" s="191"/>
      <x:c r="L131" s="198" t="str">
        <x:v>RHO</x:v>
      </x:c>
      <x:c r="M131" s="198" t="n">
        <x:v>3</x:v>
      </x:c>
      <x:c r="N131" s="198" t="str">
        <x:v>6M</x:v>
      </x:c>
      <x:c r="O131" s="198" t="str">
        <x:v>10Y</x:v>
      </x:c>
      <x:c r="P131" s="266" t="n">
        <x:v>-0.024</x:v>
      </x:c>
      <x:c r="Q131" s="201" t="n">
        <x:v>8400</x:v>
      </x:c>
      <x:c r="R131" s="267" t="n">
        <x:v>1000</x:v>
      </x:c>
      <x:c r="S131" s="254" t="n">
        <x:f>Q131*P131+0.5*R131*P131^2</x:f>
        <x:v>-201.31199999999998</x:v>
      </x:c>
      <x:c r="T131" s="191" t="str">
        <x:v>IR</x:v>
      </x:c>
      <x:c r="U131" s="191" t="str">
        <x:v>Illustrative surrogate only</x:v>
      </x:c>
      <x:c r="V131" s="191"/>
      <x:c r="W131" s="191"/>
      <x:c r="X131" s="191"/>
      <x:c r="Y131" s="191"/>
      <x:c r="Z131" s="191"/>
      <x:c r="AA131" s="191"/>
      <x:c r="AB131" s="191"/>
      <x:c r="AC131" s="191"/>
      <x:c r="AD131" s="191"/>
      <x:c r="AE131" s="191"/>
      <x:c r="AF131" s="191"/>
      <x:c r="AG131" s="191"/>
      <x:c r="AH131" s="191"/>
      <x:c r="AI131" s="191"/>
      <x:c r="AJ131" s="191"/>
      <x:c r="AK131" s="191"/>
    </x:row>
    <x:row r="132">
      <x:c r="A132" s="191"/>
      <x:c r="B132" s="191"/>
      <x:c r="C132" s="191"/>
      <x:c r="D132" s="191"/>
      <x:c r="E132" s="191"/>
      <x:c r="F132" s="191"/>
      <x:c r="G132" s="191"/>
      <x:c r="H132" s="191"/>
      <x:c r="I132" s="191"/>
      <x:c r="J132" s="191"/>
      <x:c r="K132" s="191"/>
      <x:c r="L132" s="198" t="str">
        <x:v>RHO</x:v>
      </x:c>
      <x:c r="M132" s="198" t="n">
        <x:v>3</x:v>
      </x:c>
      <x:c r="N132" s="198" t="str">
        <x:v>6M</x:v>
      </x:c>
      <x:c r="O132" s="198" t="str">
        <x:v>20Y</x:v>
      </x:c>
      <x:c r="P132" s="266" t="n">
        <x:v>-0.025</x:v>
      </x:c>
      <x:c r="Q132" s="201" t="n">
        <x:v>8500</x:v>
      </x:c>
      <x:c r="R132" s="267" t="n">
        <x:v>1000</x:v>
      </x:c>
      <x:c r="S132" s="254" t="n">
        <x:f>Q132*P132+0.5*R132*P132^2</x:f>
        <x:v>-212.1875</x:v>
      </x:c>
      <x:c r="T132" s="191" t="str">
        <x:v>IR</x:v>
      </x:c>
      <x:c r="U132" s="191" t="str">
        <x:v>Illustrative surrogate only</x:v>
      </x:c>
      <x:c r="V132" s="191"/>
      <x:c r="W132" s="191"/>
      <x:c r="X132" s="191"/>
      <x:c r="Y132" s="191"/>
      <x:c r="Z132" s="191"/>
      <x:c r="AA132" s="191"/>
      <x:c r="AB132" s="191"/>
      <x:c r="AC132" s="191"/>
      <x:c r="AD132" s="191"/>
      <x:c r="AE132" s="191"/>
      <x:c r="AF132" s="191"/>
      <x:c r="AG132" s="191"/>
      <x:c r="AH132" s="191"/>
      <x:c r="AI132" s="191"/>
      <x:c r="AJ132" s="191"/>
      <x:c r="AK132" s="191"/>
    </x:row>
    <x:row r="133">
      <x:c r="A133" s="191"/>
      <x:c r="B133" s="191"/>
      <x:c r="C133" s="191"/>
      <x:c r="D133" s="191"/>
      <x:c r="E133" s="191"/>
      <x:c r="F133" s="191"/>
      <x:c r="G133" s="191"/>
      <x:c r="H133" s="191"/>
      <x:c r="I133" s="191"/>
      <x:c r="J133" s="191"/>
      <x:c r="K133" s="191"/>
      <x:c r="L133" s="198" t="str">
        <x:v>RHO</x:v>
      </x:c>
      <x:c r="M133" s="198" t="n">
        <x:v>3</x:v>
      </x:c>
      <x:c r="N133" s="198" t="str">
        <x:v>6M</x:v>
      </x:c>
      <x:c r="O133" s="198" t="str">
        <x:v>30Y</x:v>
      </x:c>
      <x:c r="P133" s="266" t="n">
        <x:v>-0.026000000000000002</x:v>
      </x:c>
      <x:c r="Q133" s="201" t="n">
        <x:v>8600</x:v>
      </x:c>
      <x:c r="R133" s="267" t="n">
        <x:v>1000</x:v>
      </x:c>
      <x:c r="S133" s="254" t="n">
        <x:f>Q133*P133+0.5*R133*P133^2</x:f>
        <x:v>-223.26200000000003</x:v>
      </x:c>
      <x:c r="T133" s="191" t="str">
        <x:v>IR</x:v>
      </x:c>
      <x:c r="U133" s="191" t="str">
        <x:v>Illustrative surrogate only</x:v>
      </x:c>
      <x:c r="V133" s="191"/>
      <x:c r="W133" s="191"/>
      <x:c r="X133" s="191"/>
      <x:c r="Y133" s="191"/>
      <x:c r="Z133" s="191"/>
      <x:c r="AA133" s="191"/>
      <x:c r="AB133" s="191"/>
      <x:c r="AC133" s="191"/>
      <x:c r="AD133" s="191"/>
      <x:c r="AE133" s="191"/>
      <x:c r="AF133" s="191"/>
      <x:c r="AG133" s="191"/>
      <x:c r="AH133" s="191"/>
      <x:c r="AI133" s="191"/>
      <x:c r="AJ133" s="191"/>
      <x:c r="AK133" s="191"/>
    </x:row>
    <x:row r="134">
      <x:c r="A134" s="191"/>
      <x:c r="B134" s="191"/>
      <x:c r="C134" s="191"/>
      <x:c r="D134" s="191"/>
      <x:c r="E134" s="191"/>
      <x:c r="F134" s="191"/>
      <x:c r="G134" s="191"/>
      <x:c r="H134" s="191"/>
      <x:c r="I134" s="191"/>
      <x:c r="J134" s="191"/>
      <x:c r="K134" s="191"/>
      <x:c r="L134" s="198" t="str">
        <x:v>RHO</x:v>
      </x:c>
      <x:c r="M134" s="198" t="n">
        <x:v>4</x:v>
      </x:c>
      <x:c r="N134" s="198" t="str">
        <x:v>1Y</x:v>
      </x:c>
      <x:c r="O134" s="198" t="str">
        <x:v>1M</x:v>
      </x:c>
      <x:c r="P134" s="266" t="n">
        <x:v>-0.014000000000000002</x:v>
      </x:c>
      <x:c r="Q134" s="201" t="n">
        <x:v>7900</x:v>
      </x:c>
      <x:c r="R134" s="267" t="n">
        <x:v>1000</x:v>
      </x:c>
      <x:c r="S134" s="254" t="n">
        <x:f>Q134*P134+0.5*R134*P134^2</x:f>
        <x:v>-110.50200000000002</x:v>
      </x:c>
      <x:c r="T134" s="191" t="str">
        <x:v>IR</x:v>
      </x:c>
      <x:c r="U134" s="191" t="str">
        <x:v>Illustrative surrogate only</x:v>
      </x:c>
      <x:c r="V134" s="191"/>
      <x:c r="W134" s="191"/>
      <x:c r="X134" s="191"/>
      <x:c r="Y134" s="191"/>
      <x:c r="Z134" s="191"/>
      <x:c r="AA134" s="191"/>
      <x:c r="AB134" s="191"/>
      <x:c r="AC134" s="191"/>
      <x:c r="AD134" s="191"/>
      <x:c r="AE134" s="191"/>
      <x:c r="AF134" s="191"/>
      <x:c r="AG134" s="191"/>
      <x:c r="AH134" s="191"/>
      <x:c r="AI134" s="191"/>
      <x:c r="AJ134" s="191"/>
      <x:c r="AK134" s="191"/>
    </x:row>
    <x:row r="135">
      <x:c r="A135" s="191"/>
      <x:c r="B135" s="191"/>
      <x:c r="C135" s="191"/>
      <x:c r="D135" s="191"/>
      <x:c r="E135" s="191"/>
      <x:c r="F135" s="191"/>
      <x:c r="G135" s="191"/>
      <x:c r="H135" s="191"/>
      <x:c r="I135" s="191"/>
      <x:c r="J135" s="191"/>
      <x:c r="K135" s="191"/>
      <x:c r="L135" s="198" t="str">
        <x:v>RHO</x:v>
      </x:c>
      <x:c r="M135" s="198" t="n">
        <x:v>4</x:v>
      </x:c>
      <x:c r="N135" s="198" t="str">
        <x:v>1Y</x:v>
      </x:c>
      <x:c r="O135" s="198" t="str">
        <x:v>3M</x:v>
      </x:c>
      <x:c r="P135" s="266" t="n">
        <x:v>-0.015000000000000001</x:v>
      </x:c>
      <x:c r="Q135" s="201" t="n">
        <x:v>8000</x:v>
      </x:c>
      <x:c r="R135" s="267" t="n">
        <x:v>1000</x:v>
      </x:c>
      <x:c r="S135" s="254" t="n">
        <x:f>Q135*P135+0.5*R135*P135^2</x:f>
        <x:v>-119.88750000000002</x:v>
      </x:c>
      <x:c r="T135" s="191" t="str">
        <x:v>IR</x:v>
      </x:c>
      <x:c r="U135" s="191" t="str">
        <x:v>Illustrative surrogate only</x:v>
      </x:c>
      <x:c r="V135" s="191"/>
      <x:c r="W135" s="191"/>
      <x:c r="X135" s="191"/>
      <x:c r="Y135" s="191"/>
      <x:c r="Z135" s="191"/>
      <x:c r="AA135" s="191"/>
      <x:c r="AB135" s="191"/>
      <x:c r="AC135" s="191"/>
      <x:c r="AD135" s="191"/>
      <x:c r="AE135" s="191"/>
      <x:c r="AF135" s="191"/>
      <x:c r="AG135" s="191"/>
      <x:c r="AH135" s="191"/>
      <x:c r="AI135" s="191"/>
      <x:c r="AJ135" s="191"/>
      <x:c r="AK135" s="191"/>
    </x:row>
    <x:row r="136">
      <x:c r="A136" s="191"/>
      <x:c r="B136" s="191"/>
      <x:c r="C136" s="191"/>
      <x:c r="D136" s="191"/>
      <x:c r="E136" s="191"/>
      <x:c r="F136" s="191"/>
      <x:c r="G136" s="191"/>
      <x:c r="H136" s="191"/>
      <x:c r="I136" s="191"/>
      <x:c r="J136" s="191"/>
      <x:c r="K136" s="191"/>
      <x:c r="L136" s="198" t="str">
        <x:v>RHO</x:v>
      </x:c>
      <x:c r="M136" s="198" t="n">
        <x:v>4</x:v>
      </x:c>
      <x:c r="N136" s="198" t="str">
        <x:v>1Y</x:v>
      </x:c>
      <x:c r="O136" s="198" t="str">
        <x:v>6M</x:v>
      </x:c>
      <x:c r="P136" s="266" t="n">
        <x:v>-0.016</x:v>
      </x:c>
      <x:c r="Q136" s="201" t="n">
        <x:v>8100</x:v>
      </x:c>
      <x:c r="R136" s="267" t="n">
        <x:v>1000</x:v>
      </x:c>
      <x:c r="S136" s="254" t="n">
        <x:f>Q136*P136+0.5*R136*P136^2</x:f>
        <x:v>-129.472</x:v>
      </x:c>
      <x:c r="T136" s="191" t="str">
        <x:v>IR</x:v>
      </x:c>
      <x:c r="U136" s="191" t="str">
        <x:v>Illustrative surrogate only</x:v>
      </x:c>
      <x:c r="V136" s="191"/>
      <x:c r="W136" s="191"/>
      <x:c r="X136" s="191"/>
      <x:c r="Y136" s="191"/>
      <x:c r="Z136" s="191"/>
      <x:c r="AA136" s="191"/>
      <x:c r="AB136" s="191"/>
      <x:c r="AC136" s="191"/>
      <x:c r="AD136" s="191"/>
      <x:c r="AE136" s="191"/>
      <x:c r="AF136" s="191"/>
      <x:c r="AG136" s="191"/>
      <x:c r="AH136" s="191"/>
      <x:c r="AI136" s="191"/>
      <x:c r="AJ136" s="191"/>
      <x:c r="AK136" s="191"/>
    </x:row>
    <x:row r="137">
      <x:c r="A137" s="191"/>
      <x:c r="B137" s="191"/>
      <x:c r="C137" s="191"/>
      <x:c r="D137" s="191"/>
      <x:c r="E137" s="191"/>
      <x:c r="F137" s="191"/>
      <x:c r="G137" s="191"/>
      <x:c r="H137" s="191"/>
      <x:c r="I137" s="191"/>
      <x:c r="J137" s="191"/>
      <x:c r="K137" s="191"/>
      <x:c r="L137" s="198" t="str">
        <x:v>RHO</x:v>
      </x:c>
      <x:c r="M137" s="198" t="n">
        <x:v>4</x:v>
      </x:c>
      <x:c r="N137" s="198" t="str">
        <x:v>1Y</x:v>
      </x:c>
      <x:c r="O137" s="198" t="str">
        <x:v>1Y</x:v>
      </x:c>
      <x:c r="P137" s="266" t="n">
        <x:v>-0.017</x:v>
      </x:c>
      <x:c r="Q137" s="201" t="n">
        <x:v>8200</x:v>
      </x:c>
      <x:c r="R137" s="267" t="n">
        <x:v>1000</x:v>
      </x:c>
      <x:c r="S137" s="254" t="n">
        <x:f>Q137*P137+0.5*R137*P137^2</x:f>
        <x:v>-139.2555</x:v>
      </x:c>
      <x:c r="T137" s="191" t="str">
        <x:v>IR</x:v>
      </x:c>
      <x:c r="U137" s="191" t="str">
        <x:v>Illustrative surrogate only</x:v>
      </x:c>
      <x:c r="V137" s="191"/>
      <x:c r="W137" s="191"/>
      <x:c r="X137" s="191"/>
      <x:c r="Y137" s="191"/>
      <x:c r="Z137" s="191"/>
      <x:c r="AA137" s="191"/>
      <x:c r="AB137" s="191"/>
      <x:c r="AC137" s="191"/>
      <x:c r="AD137" s="191"/>
      <x:c r="AE137" s="191"/>
      <x:c r="AF137" s="191"/>
      <x:c r="AG137" s="191"/>
      <x:c r="AH137" s="191"/>
      <x:c r="AI137" s="191"/>
      <x:c r="AJ137" s="191"/>
      <x:c r="AK137" s="191"/>
    </x:row>
    <x:row r="138">
      <x:c r="A138" s="191"/>
      <x:c r="B138" s="191"/>
      <x:c r="C138" s="191"/>
      <x:c r="D138" s="191"/>
      <x:c r="E138" s="191"/>
      <x:c r="F138" s="191"/>
      <x:c r="G138" s="191"/>
      <x:c r="H138" s="191"/>
      <x:c r="I138" s="191"/>
      <x:c r="J138" s="191"/>
      <x:c r="K138" s="191"/>
      <x:c r="L138" s="198" t="str">
        <x:v>RHO</x:v>
      </x:c>
      <x:c r="M138" s="198" t="n">
        <x:v>4</x:v>
      </x:c>
      <x:c r="N138" s="198" t="str">
        <x:v>1Y</x:v>
      </x:c>
      <x:c r="O138" s="198" t="str">
        <x:v>2Y</x:v>
      </x:c>
      <x:c r="P138" s="266" t="n">
        <x:v>-0.018000000000000002</x:v>
      </x:c>
      <x:c r="Q138" s="201" t="n">
        <x:v>8300</x:v>
      </x:c>
      <x:c r="R138" s="267" t="n">
        <x:v>1000</x:v>
      </x:c>
      <x:c r="S138" s="254" t="n">
        <x:f>Q138*P138+0.5*R138*P138^2</x:f>
        <x:v>-149.238</x:v>
      </x:c>
      <x:c r="T138" s="191" t="str">
        <x:v>IR</x:v>
      </x:c>
      <x:c r="U138" s="191" t="str">
        <x:v>Illustrative surrogate only</x:v>
      </x:c>
      <x:c r="V138" s="191"/>
      <x:c r="W138" s="191"/>
      <x:c r="X138" s="191"/>
      <x:c r="Y138" s="191"/>
      <x:c r="Z138" s="191"/>
      <x:c r="AA138" s="191"/>
      <x:c r="AB138" s="191"/>
      <x:c r="AC138" s="191"/>
      <x:c r="AD138" s="191"/>
      <x:c r="AE138" s="191"/>
      <x:c r="AF138" s="191"/>
      <x:c r="AG138" s="191"/>
      <x:c r="AH138" s="191"/>
      <x:c r="AI138" s="191"/>
      <x:c r="AJ138" s="191"/>
      <x:c r="AK138" s="191"/>
    </x:row>
    <x:row r="139">
      <x:c r="A139" s="191"/>
      <x:c r="B139" s="191"/>
      <x:c r="C139" s="191"/>
      <x:c r="D139" s="191"/>
      <x:c r="E139" s="191"/>
      <x:c r="F139" s="191"/>
      <x:c r="G139" s="191"/>
      <x:c r="H139" s="191"/>
      <x:c r="I139" s="191"/>
      <x:c r="J139" s="191"/>
      <x:c r="K139" s="191"/>
      <x:c r="L139" s="198" t="str">
        <x:v>RHO</x:v>
      </x:c>
      <x:c r="M139" s="198" t="n">
        <x:v>4</x:v>
      </x:c>
      <x:c r="N139" s="198" t="str">
        <x:v>1Y</x:v>
      </x:c>
      <x:c r="O139" s="198" t="str">
        <x:v>3Y</x:v>
      </x:c>
      <x:c r="P139" s="266" t="n">
        <x:v>-0.019000000000000003</x:v>
      </x:c>
      <x:c r="Q139" s="201" t="n">
        <x:v>8400</x:v>
      </x:c>
      <x:c r="R139" s="267" t="n">
        <x:v>1000</x:v>
      </x:c>
      <x:c r="S139" s="254" t="n">
        <x:f>Q139*P139+0.5*R139*P139^2</x:f>
        <x:v>-159.41950000000003</x:v>
      </x:c>
      <x:c r="T139" s="191" t="str">
        <x:v>IR</x:v>
      </x:c>
      <x:c r="U139" s="191" t="str">
        <x:v>Illustrative surrogate only</x:v>
      </x:c>
      <x:c r="V139" s="191"/>
      <x:c r="W139" s="191"/>
      <x:c r="X139" s="191"/>
      <x:c r="Y139" s="191"/>
      <x:c r="Z139" s="191"/>
      <x:c r="AA139" s="191"/>
      <x:c r="AB139" s="191"/>
      <x:c r="AC139" s="191"/>
      <x:c r="AD139" s="191"/>
      <x:c r="AE139" s="191"/>
      <x:c r="AF139" s="191"/>
      <x:c r="AG139" s="191"/>
      <x:c r="AH139" s="191"/>
      <x:c r="AI139" s="191"/>
      <x:c r="AJ139" s="191"/>
      <x:c r="AK139" s="191"/>
    </x:row>
    <x:row r="140">
      <x:c r="A140" s="191"/>
      <x:c r="B140" s="191"/>
      <x:c r="C140" s="191"/>
      <x:c r="D140" s="191"/>
      <x:c r="E140" s="191"/>
      <x:c r="F140" s="191"/>
      <x:c r="G140" s="191"/>
      <x:c r="H140" s="191"/>
      <x:c r="I140" s="191"/>
      <x:c r="J140" s="191"/>
      <x:c r="K140" s="191"/>
      <x:c r="L140" s="198" t="str">
        <x:v>RHO</x:v>
      </x:c>
      <x:c r="M140" s="198" t="n">
        <x:v>4</x:v>
      </x:c>
      <x:c r="N140" s="198" t="str">
        <x:v>1Y</x:v>
      </x:c>
      <x:c r="O140" s="198" t="str">
        <x:v>5Y</x:v>
      </x:c>
      <x:c r="P140" s="266" t="n">
        <x:v>-0.02</x:v>
      </x:c>
      <x:c r="Q140" s="201" t="n">
        <x:v>8500</x:v>
      </x:c>
      <x:c r="R140" s="267" t="n">
        <x:v>1000</x:v>
      </x:c>
      <x:c r="S140" s="254" t="n">
        <x:f>Q140*P140+0.5*R140*P140^2</x:f>
        <x:v>-169.8</x:v>
      </x:c>
      <x:c r="T140" s="191" t="str">
        <x:v>IR</x:v>
      </x:c>
      <x:c r="U140" s="191" t="str">
        <x:v>Illustrative surrogate only</x:v>
      </x:c>
      <x:c r="V140" s="191"/>
      <x:c r="W140" s="191"/>
      <x:c r="X140" s="191"/>
      <x:c r="Y140" s="191"/>
      <x:c r="Z140" s="191"/>
      <x:c r="AA140" s="191"/>
      <x:c r="AB140" s="191"/>
      <x:c r="AC140" s="191"/>
      <x:c r="AD140" s="191"/>
      <x:c r="AE140" s="191"/>
      <x:c r="AF140" s="191"/>
      <x:c r="AG140" s="191"/>
      <x:c r="AH140" s="191"/>
      <x:c r="AI140" s="191"/>
      <x:c r="AJ140" s="191"/>
      <x:c r="AK140" s="191"/>
    </x:row>
    <x:row r="141">
      <x:c r="A141" s="191"/>
      <x:c r="B141" s="191"/>
      <x:c r="C141" s="191"/>
      <x:c r="D141" s="191"/>
      <x:c r="E141" s="191"/>
      <x:c r="F141" s="191"/>
      <x:c r="G141" s="191"/>
      <x:c r="H141" s="191"/>
      <x:c r="I141" s="191"/>
      <x:c r="J141" s="191"/>
      <x:c r="K141" s="191"/>
      <x:c r="L141" s="198" t="str">
        <x:v>RHO</x:v>
      </x:c>
      <x:c r="M141" s="198" t="n">
        <x:v>4</x:v>
      </x:c>
      <x:c r="N141" s="198" t="str">
        <x:v>1Y</x:v>
      </x:c>
      <x:c r="O141" s="198" t="str">
        <x:v>10Y</x:v>
      </x:c>
      <x:c r="P141" s="266" t="n">
        <x:v>-0.021</x:v>
      </x:c>
      <x:c r="Q141" s="201" t="n">
        <x:v>8600</x:v>
      </x:c>
      <x:c r="R141" s="267" t="n">
        <x:v>1000</x:v>
      </x:c>
      <x:c r="S141" s="254" t="n">
        <x:f>Q141*P141+0.5*R141*P141^2</x:f>
        <x:v>-180.37950000000004</x:v>
      </x:c>
      <x:c r="T141" s="191" t="str">
        <x:v>IR</x:v>
      </x:c>
      <x:c r="U141" s="191" t="str">
        <x:v>Illustrative surrogate only</x:v>
      </x:c>
      <x:c r="V141" s="191"/>
      <x:c r="W141" s="191"/>
      <x:c r="X141" s="191"/>
      <x:c r="Y141" s="191"/>
      <x:c r="Z141" s="191"/>
      <x:c r="AA141" s="191"/>
      <x:c r="AB141" s="191"/>
      <x:c r="AC141" s="191"/>
      <x:c r="AD141" s="191"/>
      <x:c r="AE141" s="191"/>
      <x:c r="AF141" s="191"/>
      <x:c r="AG141" s="191"/>
      <x:c r="AH141" s="191"/>
      <x:c r="AI141" s="191"/>
      <x:c r="AJ141" s="191"/>
      <x:c r="AK141" s="191"/>
    </x:row>
    <x:row r="142">
      <x:c r="A142" s="191"/>
      <x:c r="B142" s="191"/>
      <x:c r="C142" s="191"/>
      <x:c r="D142" s="191"/>
      <x:c r="E142" s="191"/>
      <x:c r="F142" s="191"/>
      <x:c r="G142" s="191"/>
      <x:c r="H142" s="191"/>
      <x:c r="I142" s="191"/>
      <x:c r="J142" s="191"/>
      <x:c r="K142" s="191"/>
      <x:c r="L142" s="198" t="str">
        <x:v>RHO</x:v>
      </x:c>
      <x:c r="M142" s="198" t="n">
        <x:v>4</x:v>
      </x:c>
      <x:c r="N142" s="198" t="str">
        <x:v>1Y</x:v>
      </x:c>
      <x:c r="O142" s="198" t="str">
        <x:v>20Y</x:v>
      </x:c>
      <x:c r="P142" s="266" t="n">
        <x:v>-0.022000000000000002</x:v>
      </x:c>
      <x:c r="Q142" s="201" t="n">
        <x:v>8700</x:v>
      </x:c>
      <x:c r="R142" s="267" t="n">
        <x:v>1000</x:v>
      </x:c>
      <x:c r="S142" s="254" t="n">
        <x:f>Q142*P142+0.5*R142*P142^2</x:f>
        <x:v>-191.15800000000002</x:v>
      </x:c>
      <x:c r="T142" s="191" t="str">
        <x:v>IR</x:v>
      </x:c>
      <x:c r="U142" s="191" t="str">
        <x:v>Illustrative surrogate only</x:v>
      </x:c>
      <x:c r="V142" s="191"/>
      <x:c r="W142" s="191"/>
      <x:c r="X142" s="191"/>
      <x:c r="Y142" s="191"/>
      <x:c r="Z142" s="191"/>
      <x:c r="AA142" s="191"/>
      <x:c r="AB142" s="191"/>
      <x:c r="AC142" s="191"/>
      <x:c r="AD142" s="191"/>
      <x:c r="AE142" s="191"/>
      <x:c r="AF142" s="191"/>
      <x:c r="AG142" s="191"/>
      <x:c r="AH142" s="191"/>
      <x:c r="AI142" s="191"/>
      <x:c r="AJ142" s="191"/>
      <x:c r="AK142" s="191"/>
    </x:row>
    <x:row r="143">
      <x:c r="A143" s="191"/>
      <x:c r="B143" s="191"/>
      <x:c r="C143" s="191"/>
      <x:c r="D143" s="191"/>
      <x:c r="E143" s="191"/>
      <x:c r="F143" s="191"/>
      <x:c r="G143" s="191"/>
      <x:c r="H143" s="191"/>
      <x:c r="I143" s="191"/>
      <x:c r="J143" s="191"/>
      <x:c r="K143" s="191"/>
      <x:c r="L143" s="198" t="str">
        <x:v>RHO</x:v>
      </x:c>
      <x:c r="M143" s="198" t="n">
        <x:v>4</x:v>
      </x:c>
      <x:c r="N143" s="198" t="str">
        <x:v>1Y</x:v>
      </x:c>
      <x:c r="O143" s="198" t="str">
        <x:v>30Y</x:v>
      </x:c>
      <x:c r="P143" s="266" t="n">
        <x:v>-0.023</x:v>
      </x:c>
      <x:c r="Q143" s="201" t="n">
        <x:v>8800</x:v>
      </x:c>
      <x:c r="R143" s="267" t="n">
        <x:v>1000</x:v>
      </x:c>
      <x:c r="S143" s="254" t="n">
        <x:f>Q143*P143+0.5*R143*P143^2</x:f>
        <x:v>-202.1355</x:v>
      </x:c>
      <x:c r="T143" s="191" t="str">
        <x:v>IR</x:v>
      </x:c>
      <x:c r="U143" s="191" t="str">
        <x:v>Illustrative surrogate only</x:v>
      </x:c>
      <x:c r="V143" s="191"/>
      <x:c r="W143" s="191"/>
      <x:c r="X143" s="191"/>
      <x:c r="Y143" s="191"/>
      <x:c r="Z143" s="191"/>
      <x:c r="AA143" s="191"/>
      <x:c r="AB143" s="191"/>
      <x:c r="AC143" s="191"/>
      <x:c r="AD143" s="191"/>
      <x:c r="AE143" s="191"/>
      <x:c r="AF143" s="191"/>
      <x:c r="AG143" s="191"/>
      <x:c r="AH143" s="191"/>
      <x:c r="AI143" s="191"/>
      <x:c r="AJ143" s="191"/>
      <x:c r="AK143" s="191"/>
    </x:row>
    <x:row r="144">
      <x:c r="A144" s="191"/>
      <x:c r="B144" s="191"/>
      <x:c r="C144" s="191"/>
      <x:c r="D144" s="191"/>
      <x:c r="E144" s="191"/>
      <x:c r="F144" s="191"/>
      <x:c r="G144" s="191"/>
      <x:c r="H144" s="191"/>
      <x:c r="I144" s="191"/>
      <x:c r="J144" s="191"/>
      <x:c r="K144" s="191"/>
      <x:c r="L144" s="198" t="str">
        <x:v>RHO</x:v>
      </x:c>
      <x:c r="M144" s="198" t="n">
        <x:v>5</x:v>
      </x:c>
      <x:c r="N144" s="198" t="str">
        <x:v>2Y</x:v>
      </x:c>
      <x:c r="O144" s="198" t="str">
        <x:v>1M</x:v>
      </x:c>
      <x:c r="P144" s="266" t="n">
        <x:v>-0.011000000000000003</x:v>
      </x:c>
      <x:c r="Q144" s="201" t="n">
        <x:v>8100</x:v>
      </x:c>
      <x:c r="R144" s="267" t="n">
        <x:v>1000</x:v>
      </x:c>
      <x:c r="S144" s="254" t="n">
        <x:f>Q144*P144+0.5*R144*P144^2</x:f>
        <x:v>-89.03950000000002</x:v>
      </x:c>
      <x:c r="T144" s="191" t="str">
        <x:v>IR</x:v>
      </x:c>
      <x:c r="U144" s="191" t="str">
        <x:v>Illustrative surrogate only</x:v>
      </x:c>
      <x:c r="V144" s="191"/>
      <x:c r="W144" s="191"/>
      <x:c r="X144" s="191"/>
      <x:c r="Y144" s="191"/>
      <x:c r="Z144" s="191"/>
      <x:c r="AA144" s="191"/>
      <x:c r="AB144" s="191"/>
      <x:c r="AC144" s="191"/>
      <x:c r="AD144" s="191"/>
      <x:c r="AE144" s="191"/>
      <x:c r="AF144" s="191"/>
      <x:c r="AG144" s="191"/>
      <x:c r="AH144" s="191"/>
      <x:c r="AI144" s="191"/>
      <x:c r="AJ144" s="191"/>
      <x:c r="AK144" s="191"/>
    </x:row>
    <x:row r="145">
      <x:c r="A145" s="191"/>
      <x:c r="B145" s="191"/>
      <x:c r="C145" s="191"/>
      <x:c r="D145" s="191"/>
      <x:c r="E145" s="191"/>
      <x:c r="F145" s="191"/>
      <x:c r="G145" s="191"/>
      <x:c r="H145" s="191"/>
      <x:c r="I145" s="191"/>
      <x:c r="J145" s="191"/>
      <x:c r="K145" s="191"/>
      <x:c r="L145" s="198" t="str">
        <x:v>RHO</x:v>
      </x:c>
      <x:c r="M145" s="198" t="n">
        <x:v>5</x:v>
      </x:c>
      <x:c r="N145" s="198" t="str">
        <x:v>2Y</x:v>
      </x:c>
      <x:c r="O145" s="198" t="str">
        <x:v>3M</x:v>
      </x:c>
      <x:c r="P145" s="266" t="n">
        <x:v>-0.012000000000000002</x:v>
      </x:c>
      <x:c r="Q145" s="201" t="n">
        <x:v>8200</x:v>
      </x:c>
      <x:c r="R145" s="267" t="n">
        <x:v>1000</x:v>
      </x:c>
      <x:c r="S145" s="254" t="n">
        <x:f>Q145*P145+0.5*R145*P145^2</x:f>
        <x:v>-98.32800000000002</x:v>
      </x:c>
      <x:c r="T145" s="191" t="str">
        <x:v>IR</x:v>
      </x:c>
      <x:c r="U145" s="191" t="str">
        <x:v>Illustrative surrogate only</x:v>
      </x:c>
      <x:c r="V145" s="191"/>
      <x:c r="W145" s="191"/>
      <x:c r="X145" s="191"/>
      <x:c r="Y145" s="191"/>
      <x:c r="Z145" s="191"/>
      <x:c r="AA145" s="191"/>
      <x:c r="AB145" s="191"/>
      <x:c r="AC145" s="191"/>
      <x:c r="AD145" s="191"/>
      <x:c r="AE145" s="191"/>
      <x:c r="AF145" s="191"/>
      <x:c r="AG145" s="191"/>
      <x:c r="AH145" s="191"/>
      <x:c r="AI145" s="191"/>
      <x:c r="AJ145" s="191"/>
      <x:c r="AK145" s="191"/>
    </x:row>
    <x:row r="146">
      <x:c r="A146" s="191"/>
      <x:c r="B146" s="191"/>
      <x:c r="C146" s="191"/>
      <x:c r="D146" s="191"/>
      <x:c r="E146" s="191"/>
      <x:c r="F146" s="191"/>
      <x:c r="G146" s="191"/>
      <x:c r="H146" s="191"/>
      <x:c r="I146" s="191"/>
      <x:c r="J146" s="191"/>
      <x:c r="K146" s="191"/>
      <x:c r="L146" s="198" t="str">
        <x:v>RHO</x:v>
      </x:c>
      <x:c r="M146" s="198" t="n">
        <x:v>5</x:v>
      </x:c>
      <x:c r="N146" s="198" t="str">
        <x:v>2Y</x:v>
      </x:c>
      <x:c r="O146" s="198" t="str">
        <x:v>6M</x:v>
      </x:c>
      <x:c r="P146" s="266" t="n">
        <x:v>-0.013000000000000001</x:v>
      </x:c>
      <x:c r="Q146" s="201" t="n">
        <x:v>8300</x:v>
      </x:c>
      <x:c r="R146" s="267" t="n">
        <x:v>1000</x:v>
      </x:c>
      <x:c r="S146" s="254" t="n">
        <x:f>Q146*P146+0.5*R146*P146^2</x:f>
        <x:v>-107.8155</x:v>
      </x:c>
      <x:c r="T146" s="191" t="str">
        <x:v>IR</x:v>
      </x:c>
      <x:c r="U146" s="191" t="str">
        <x:v>Illustrative surrogate only</x:v>
      </x:c>
      <x:c r="V146" s="191"/>
      <x:c r="W146" s="191"/>
      <x:c r="X146" s="191"/>
      <x:c r="Y146" s="191"/>
      <x:c r="Z146" s="191"/>
      <x:c r="AA146" s="191"/>
      <x:c r="AB146" s="191"/>
      <x:c r="AC146" s="191"/>
      <x:c r="AD146" s="191"/>
      <x:c r="AE146" s="191"/>
      <x:c r="AF146" s="191"/>
      <x:c r="AG146" s="191"/>
      <x:c r="AH146" s="191"/>
      <x:c r="AI146" s="191"/>
      <x:c r="AJ146" s="191"/>
      <x:c r="AK146" s="191"/>
    </x:row>
    <x:row r="147">
      <x:c r="A147" s="191"/>
      <x:c r="B147" s="191"/>
      <x:c r="C147" s="191"/>
      <x:c r="D147" s="191"/>
      <x:c r="E147" s="191"/>
      <x:c r="F147" s="191"/>
      <x:c r="G147" s="191"/>
      <x:c r="H147" s="191"/>
      <x:c r="I147" s="191"/>
      <x:c r="J147" s="191"/>
      <x:c r="K147" s="191"/>
      <x:c r="L147" s="198" t="str">
        <x:v>RHO</x:v>
      </x:c>
      <x:c r="M147" s="198" t="n">
        <x:v>5</x:v>
      </x:c>
      <x:c r="N147" s="198" t="str">
        <x:v>2Y</x:v>
      </x:c>
      <x:c r="O147" s="198" t="str">
        <x:v>1Y</x:v>
      </x:c>
      <x:c r="P147" s="266" t="n">
        <x:v>-0.014000000000000002</x:v>
      </x:c>
      <x:c r="Q147" s="201" t="n">
        <x:v>8400</x:v>
      </x:c>
      <x:c r="R147" s="267" t="n">
        <x:v>1000</x:v>
      </x:c>
      <x:c r="S147" s="254" t="n">
        <x:f>Q147*P147+0.5*R147*P147^2</x:f>
        <x:v>-117.50200000000002</x:v>
      </x:c>
      <x:c r="T147" s="191" t="str">
        <x:v>IR</x:v>
      </x:c>
      <x:c r="U147" s="191" t="str">
        <x:v>Illustrative surrogate only</x:v>
      </x:c>
      <x:c r="V147" s="191"/>
      <x:c r="W147" s="191"/>
      <x:c r="X147" s="191"/>
      <x:c r="Y147" s="191"/>
      <x:c r="Z147" s="191"/>
      <x:c r="AA147" s="191"/>
      <x:c r="AB147" s="191"/>
      <x:c r="AC147" s="191"/>
      <x:c r="AD147" s="191"/>
      <x:c r="AE147" s="191"/>
      <x:c r="AF147" s="191"/>
      <x:c r="AG147" s="191"/>
      <x:c r="AH147" s="191"/>
      <x:c r="AI147" s="191"/>
      <x:c r="AJ147" s="191"/>
      <x:c r="AK147" s="191"/>
    </x:row>
    <x:row r="148">
      <x:c r="A148" s="191"/>
      <x:c r="B148" s="191"/>
      <x:c r="C148" s="191"/>
      <x:c r="D148" s="191"/>
      <x:c r="E148" s="191"/>
      <x:c r="F148" s="191"/>
      <x:c r="G148" s="191"/>
      <x:c r="H148" s="191"/>
      <x:c r="I148" s="191"/>
      <x:c r="J148" s="191"/>
      <x:c r="K148" s="191"/>
      <x:c r="L148" s="198" t="str">
        <x:v>RHO</x:v>
      </x:c>
      <x:c r="M148" s="198" t="n">
        <x:v>5</x:v>
      </x:c>
      <x:c r="N148" s="198" t="str">
        <x:v>2Y</x:v>
      </x:c>
      <x:c r="O148" s="198" t="str">
        <x:v>2Y</x:v>
      </x:c>
      <x:c r="P148" s="266" t="n">
        <x:v>-0.015000000000000003</x:v>
      </x:c>
      <x:c r="Q148" s="201" t="n">
        <x:v>8500</x:v>
      </x:c>
      <x:c r="R148" s="267" t="n">
        <x:v>1000</x:v>
      </x:c>
      <x:c r="S148" s="254" t="n">
        <x:f>Q148*P148+0.5*R148*P148^2</x:f>
        <x:v>-127.38750000000003</x:v>
      </x:c>
      <x:c r="T148" s="191" t="str">
        <x:v>IR</x:v>
      </x:c>
      <x:c r="U148" s="191" t="str">
        <x:v>Illustrative surrogate only</x:v>
      </x:c>
      <x:c r="V148" s="191"/>
      <x:c r="W148" s="191"/>
      <x:c r="X148" s="191"/>
      <x:c r="Y148" s="191"/>
      <x:c r="Z148" s="191"/>
      <x:c r="AA148" s="191"/>
      <x:c r="AB148" s="191"/>
      <x:c r="AC148" s="191"/>
      <x:c r="AD148" s="191"/>
      <x:c r="AE148" s="191"/>
      <x:c r="AF148" s="191"/>
      <x:c r="AG148" s="191"/>
      <x:c r="AH148" s="191"/>
      <x:c r="AI148" s="191"/>
      <x:c r="AJ148" s="191"/>
      <x:c r="AK148" s="191"/>
    </x:row>
    <x:row r="149">
      <x:c r="A149" s="191"/>
      <x:c r="B149" s="191"/>
      <x:c r="C149" s="191"/>
      <x:c r="D149" s="191"/>
      <x:c r="E149" s="191"/>
      <x:c r="F149" s="191"/>
      <x:c r="G149" s="191"/>
      <x:c r="H149" s="191"/>
      <x:c r="I149" s="191"/>
      <x:c r="J149" s="191"/>
      <x:c r="K149" s="191"/>
      <x:c r="L149" s="198" t="str">
        <x:v>RHO</x:v>
      </x:c>
      <x:c r="M149" s="198" t="n">
        <x:v>5</x:v>
      </x:c>
      <x:c r="N149" s="198" t="str">
        <x:v>2Y</x:v>
      </x:c>
      <x:c r="O149" s="198" t="str">
        <x:v>3Y</x:v>
      </x:c>
      <x:c r="P149" s="266" t="n">
        <x:v>-0.016</x:v>
      </x:c>
      <x:c r="Q149" s="201" t="n">
        <x:v>8600</x:v>
      </x:c>
      <x:c r="R149" s="267" t="n">
        <x:v>1000</x:v>
      </x:c>
      <x:c r="S149" s="254" t="n">
        <x:f>Q149*P149+0.5*R149*P149^2</x:f>
        <x:v>-137.472</x:v>
      </x:c>
      <x:c r="T149" s="191" t="str">
        <x:v>IR</x:v>
      </x:c>
      <x:c r="U149" s="191" t="str">
        <x:v>Illustrative surrogate only</x:v>
      </x:c>
      <x:c r="V149" s="191"/>
      <x:c r="W149" s="191"/>
      <x:c r="X149" s="191"/>
      <x:c r="Y149" s="191"/>
      <x:c r="Z149" s="191"/>
      <x:c r="AA149" s="191"/>
      <x:c r="AB149" s="191"/>
      <x:c r="AC149" s="191"/>
      <x:c r="AD149" s="191"/>
      <x:c r="AE149" s="191"/>
      <x:c r="AF149" s="191"/>
      <x:c r="AG149" s="191"/>
      <x:c r="AH149" s="191"/>
      <x:c r="AI149" s="191"/>
      <x:c r="AJ149" s="191"/>
      <x:c r="AK149" s="191"/>
    </x:row>
    <x:row r="150">
      <x:c r="A150" s="191"/>
      <x:c r="B150" s="191"/>
      <x:c r="C150" s="191"/>
      <x:c r="D150" s="191"/>
      <x:c r="E150" s="191"/>
      <x:c r="F150" s="191"/>
      <x:c r="G150" s="191"/>
      <x:c r="H150" s="191"/>
      <x:c r="I150" s="191"/>
      <x:c r="J150" s="191"/>
      <x:c r="K150" s="191"/>
      <x:c r="L150" s="198" t="str">
        <x:v>RHO</x:v>
      </x:c>
      <x:c r="M150" s="198" t="n">
        <x:v>5</x:v>
      </x:c>
      <x:c r="N150" s="198" t="str">
        <x:v>2Y</x:v>
      </x:c>
      <x:c r="O150" s="198" t="str">
        <x:v>5Y</x:v>
      </x:c>
      <x:c r="P150" s="266" t="n">
        <x:v>-0.017</x:v>
      </x:c>
      <x:c r="Q150" s="201" t="n">
        <x:v>8700</x:v>
      </x:c>
      <x:c r="R150" s="267" t="n">
        <x:v>1000</x:v>
      </x:c>
      <x:c r="S150" s="254" t="n">
        <x:f>Q150*P150+0.5*R150*P150^2</x:f>
        <x:v>-147.7555</x:v>
      </x:c>
      <x:c r="T150" s="191" t="str">
        <x:v>IR</x:v>
      </x:c>
      <x:c r="U150" s="191" t="str">
        <x:v>Illustrative surrogate only</x:v>
      </x:c>
      <x:c r="V150" s="191"/>
      <x:c r="W150" s="191"/>
      <x:c r="X150" s="191"/>
      <x:c r="Y150" s="191"/>
      <x:c r="Z150" s="191"/>
      <x:c r="AA150" s="191"/>
      <x:c r="AB150" s="191"/>
      <x:c r="AC150" s="191"/>
      <x:c r="AD150" s="191"/>
      <x:c r="AE150" s="191"/>
      <x:c r="AF150" s="191"/>
      <x:c r="AG150" s="191"/>
      <x:c r="AH150" s="191"/>
      <x:c r="AI150" s="191"/>
      <x:c r="AJ150" s="191"/>
      <x:c r="AK150" s="191"/>
    </x:row>
    <x:row r="151">
      <x:c r="A151" s="191"/>
      <x:c r="B151" s="191"/>
      <x:c r="C151" s="191"/>
      <x:c r="D151" s="191"/>
      <x:c r="E151" s="191"/>
      <x:c r="F151" s="191"/>
      <x:c r="G151" s="191"/>
      <x:c r="H151" s="191"/>
      <x:c r="I151" s="191"/>
      <x:c r="J151" s="191"/>
      <x:c r="K151" s="191"/>
      <x:c r="L151" s="198" t="str">
        <x:v>RHO</x:v>
      </x:c>
      <x:c r="M151" s="198" t="n">
        <x:v>5</x:v>
      </x:c>
      <x:c r="N151" s="198" t="str">
        <x:v>2Y</x:v>
      </x:c>
      <x:c r="O151" s="198" t="str">
        <x:v>10Y</x:v>
      </x:c>
      <x:c r="P151" s="266" t="n">
        <x:v>-0.018000000000000002</x:v>
      </x:c>
      <x:c r="Q151" s="201" t="n">
        <x:v>8800</x:v>
      </x:c>
      <x:c r="R151" s="267" t="n">
        <x:v>1000</x:v>
      </x:c>
      <x:c r="S151" s="254" t="n">
        <x:f>Q151*P151+0.5*R151*P151^2</x:f>
        <x:v>-158.238</x:v>
      </x:c>
      <x:c r="T151" s="191" t="str">
        <x:v>IR</x:v>
      </x:c>
      <x:c r="U151" s="191" t="str">
        <x:v>Illustrative surrogate only</x:v>
      </x:c>
      <x:c r="V151" s="191"/>
      <x:c r="W151" s="191"/>
      <x:c r="X151" s="191"/>
      <x:c r="Y151" s="191"/>
      <x:c r="Z151" s="191"/>
      <x:c r="AA151" s="191"/>
      <x:c r="AB151" s="191"/>
      <x:c r="AC151" s="191"/>
      <x:c r="AD151" s="191"/>
      <x:c r="AE151" s="191"/>
      <x:c r="AF151" s="191"/>
      <x:c r="AG151" s="191"/>
      <x:c r="AH151" s="191"/>
      <x:c r="AI151" s="191"/>
      <x:c r="AJ151" s="191"/>
      <x:c r="AK151" s="191"/>
    </x:row>
    <x:row r="152">
      <x:c r="A152" s="191"/>
      <x:c r="B152" s="191"/>
      <x:c r="C152" s="191"/>
      <x:c r="D152" s="191"/>
      <x:c r="E152" s="191"/>
      <x:c r="F152" s="191"/>
      <x:c r="G152" s="191"/>
      <x:c r="H152" s="191"/>
      <x:c r="I152" s="191"/>
      <x:c r="J152" s="191"/>
      <x:c r="K152" s="191"/>
      <x:c r="L152" s="198" t="str">
        <x:v>RHO</x:v>
      </x:c>
      <x:c r="M152" s="198" t="n">
        <x:v>5</x:v>
      </x:c>
      <x:c r="N152" s="198" t="str">
        <x:v>2Y</x:v>
      </x:c>
      <x:c r="O152" s="198" t="str">
        <x:v>20Y</x:v>
      </x:c>
      <x:c r="P152" s="266" t="n">
        <x:v>-0.019000000000000003</x:v>
      </x:c>
      <x:c r="Q152" s="201" t="n">
        <x:v>8900</x:v>
      </x:c>
      <x:c r="R152" s="267" t="n">
        <x:v>1000</x:v>
      </x:c>
      <x:c r="S152" s="254" t="n">
        <x:f>Q152*P152+0.5*R152*P152^2</x:f>
        <x:v>-168.91950000000003</x:v>
      </x:c>
      <x:c r="T152" s="191" t="str">
        <x:v>IR</x:v>
      </x:c>
      <x:c r="U152" s="191" t="str">
        <x:v>Illustrative surrogate only</x:v>
      </x:c>
      <x:c r="V152" s="191"/>
      <x:c r="W152" s="191"/>
      <x:c r="X152" s="191"/>
      <x:c r="Y152" s="191"/>
      <x:c r="Z152" s="191"/>
      <x:c r="AA152" s="191"/>
      <x:c r="AB152" s="191"/>
      <x:c r="AC152" s="191"/>
      <x:c r="AD152" s="191"/>
      <x:c r="AE152" s="191"/>
      <x:c r="AF152" s="191"/>
      <x:c r="AG152" s="191"/>
      <x:c r="AH152" s="191"/>
      <x:c r="AI152" s="191"/>
      <x:c r="AJ152" s="191"/>
      <x:c r="AK152" s="191"/>
    </x:row>
    <x:row r="153">
      <x:c r="A153" s="191"/>
      <x:c r="B153" s="191"/>
      <x:c r="C153" s="191"/>
      <x:c r="D153" s="191"/>
      <x:c r="E153" s="191"/>
      <x:c r="F153" s="191"/>
      <x:c r="G153" s="191"/>
      <x:c r="H153" s="191"/>
      <x:c r="I153" s="191"/>
      <x:c r="J153" s="191"/>
      <x:c r="K153" s="191"/>
      <x:c r="L153" s="198" t="str">
        <x:v>RHO</x:v>
      </x:c>
      <x:c r="M153" s="198" t="n">
        <x:v>5</x:v>
      </x:c>
      <x:c r="N153" s="198" t="str">
        <x:v>2Y</x:v>
      </x:c>
      <x:c r="O153" s="198" t="str">
        <x:v>30Y</x:v>
      </x:c>
      <x:c r="P153" s="266" t="n">
        <x:v>-0.020000000000000004</x:v>
      </x:c>
      <x:c r="Q153" s="201" t="n">
        <x:v>9000</x:v>
      </x:c>
      <x:c r="R153" s="267" t="n">
        <x:v>1000</x:v>
      </x:c>
      <x:c r="S153" s="254" t="n">
        <x:f>Q153*P153+0.5*R153*P153^2</x:f>
        <x:v>-179.80000000000004</x:v>
      </x:c>
      <x:c r="T153" s="191" t="str">
        <x:v>IR</x:v>
      </x:c>
      <x:c r="U153" s="191" t="str">
        <x:v>Illustrative surrogate only</x:v>
      </x:c>
      <x:c r="V153" s="191"/>
      <x:c r="W153" s="191"/>
      <x:c r="X153" s="191"/>
      <x:c r="Y153" s="191"/>
      <x:c r="Z153" s="191"/>
      <x:c r="AA153" s="191"/>
      <x:c r="AB153" s="191"/>
      <x:c r="AC153" s="191"/>
      <x:c r="AD153" s="191"/>
      <x:c r="AE153" s="191"/>
      <x:c r="AF153" s="191"/>
      <x:c r="AG153" s="191"/>
      <x:c r="AH153" s="191"/>
      <x:c r="AI153" s="191"/>
      <x:c r="AJ153" s="191"/>
      <x:c r="AK153" s="191"/>
    </x:row>
    <x:row r="154">
      <x:c r="A154" s="191"/>
      <x:c r="B154" s="191"/>
      <x:c r="C154" s="191"/>
      <x:c r="D154" s="191"/>
      <x:c r="E154" s="191"/>
      <x:c r="F154" s="191"/>
      <x:c r="G154" s="191"/>
      <x:c r="H154" s="191"/>
      <x:c r="I154" s="191"/>
      <x:c r="J154" s="191"/>
      <x:c r="K154" s="191"/>
      <x:c r="L154" s="198" t="str">
        <x:v>RHO</x:v>
      </x:c>
      <x:c r="M154" s="198" t="n">
        <x:v>6</x:v>
      </x:c>
      <x:c r="N154" s="198" t="str">
        <x:v>3Y</x:v>
      </x:c>
      <x:c r="O154" s="198" t="str">
        <x:v>1M</x:v>
      </x:c>
      <x:c r="P154" s="266" t="n">
        <x:v>-0.008</x:v>
      </x:c>
      <x:c r="Q154" s="201" t="n">
        <x:v>8300</x:v>
      </x:c>
      <x:c r="R154" s="267" t="n">
        <x:v>1000</x:v>
      </x:c>
      <x:c r="S154" s="254" t="n">
        <x:f>Q154*P154+0.5*R154*P154^2</x:f>
        <x:v>-66.36800000000001</x:v>
      </x:c>
      <x:c r="T154" s="191" t="str">
        <x:v>IR</x:v>
      </x:c>
      <x:c r="U154" s="191" t="str">
        <x:v>Illustrative surrogate only</x:v>
      </x:c>
      <x:c r="V154" s="191"/>
      <x:c r="W154" s="191"/>
      <x:c r="X154" s="191"/>
      <x:c r="Y154" s="191"/>
      <x:c r="Z154" s="191"/>
      <x:c r="AA154" s="191"/>
      <x:c r="AB154" s="191"/>
      <x:c r="AC154" s="191"/>
      <x:c r="AD154" s="191"/>
      <x:c r="AE154" s="191"/>
      <x:c r="AF154" s="191"/>
      <x:c r="AG154" s="191"/>
      <x:c r="AH154" s="191"/>
      <x:c r="AI154" s="191"/>
      <x:c r="AJ154" s="191"/>
      <x:c r="AK154" s="191"/>
    </x:row>
    <x:row r="155">
      <x:c r="A155" s="191"/>
      <x:c r="B155" s="191"/>
      <x:c r="C155" s="191"/>
      <x:c r="D155" s="191"/>
      <x:c r="E155" s="191"/>
      <x:c r="F155" s="191"/>
      <x:c r="G155" s="191"/>
      <x:c r="H155" s="191"/>
      <x:c r="I155" s="191"/>
      <x:c r="J155" s="191"/>
      <x:c r="K155" s="191"/>
      <x:c r="L155" s="198" t="str">
        <x:v>RHO</x:v>
      </x:c>
      <x:c r="M155" s="198" t="n">
        <x:v>6</x:v>
      </x:c>
      <x:c r="N155" s="198" t="str">
        <x:v>3Y</x:v>
      </x:c>
      <x:c r="O155" s="198" t="str">
        <x:v>3M</x:v>
      </x:c>
      <x:c r="P155" s="266" t="n">
        <x:v>-0.009</x:v>
      </x:c>
      <x:c r="Q155" s="201" t="n">
        <x:v>8400</x:v>
      </x:c>
      <x:c r="R155" s="267" t="n">
        <x:v>1000</x:v>
      </x:c>
      <x:c r="S155" s="254" t="n">
        <x:f>Q155*P155+0.5*R155*P155^2</x:f>
        <x:v>-75.5595</x:v>
      </x:c>
      <x:c r="T155" s="191" t="str">
        <x:v>IR</x:v>
      </x:c>
      <x:c r="U155" s="191" t="str">
        <x:v>Illustrative surrogate only</x:v>
      </x:c>
      <x:c r="V155" s="191"/>
      <x:c r="W155" s="191"/>
      <x:c r="X155" s="191"/>
      <x:c r="Y155" s="191"/>
      <x:c r="Z155" s="191"/>
      <x:c r="AA155" s="191"/>
      <x:c r="AB155" s="191"/>
      <x:c r="AC155" s="191"/>
      <x:c r="AD155" s="191"/>
      <x:c r="AE155" s="191"/>
      <x:c r="AF155" s="191"/>
      <x:c r="AG155" s="191"/>
      <x:c r="AH155" s="191"/>
      <x:c r="AI155" s="191"/>
      <x:c r="AJ155" s="191"/>
      <x:c r="AK155" s="191"/>
    </x:row>
    <x:row r="156">
      <x:c r="A156" s="191"/>
      <x:c r="B156" s="191"/>
      <x:c r="C156" s="191"/>
      <x:c r="D156" s="191"/>
      <x:c r="E156" s="191"/>
      <x:c r="F156" s="191"/>
      <x:c r="G156" s="191"/>
      <x:c r="H156" s="191"/>
      <x:c r="I156" s="191"/>
      <x:c r="J156" s="191"/>
      <x:c r="K156" s="191"/>
      <x:c r="L156" s="198" t="str">
        <x:v>RHO</x:v>
      </x:c>
      <x:c r="M156" s="198" t="n">
        <x:v>6</x:v>
      </x:c>
      <x:c r="N156" s="198" t="str">
        <x:v>3Y</x:v>
      </x:c>
      <x:c r="O156" s="198" t="str">
        <x:v>6M</x:v>
      </x:c>
      <x:c r="P156" s="266" t="n">
        <x:v>-0.009999999999999998</x:v>
      </x:c>
      <x:c r="Q156" s="201" t="n">
        <x:v>8500</x:v>
      </x:c>
      <x:c r="R156" s="267" t="n">
        <x:v>1000</x:v>
      </x:c>
      <x:c r="S156" s="254" t="n">
        <x:f>Q156*P156+0.5*R156*P156^2</x:f>
        <x:v>-84.94999999999999</x:v>
      </x:c>
      <x:c r="T156" s="191" t="str">
        <x:v>IR</x:v>
      </x:c>
      <x:c r="U156" s="191" t="str">
        <x:v>Illustrative surrogate only</x:v>
      </x:c>
      <x:c r="V156" s="191"/>
      <x:c r="W156" s="191"/>
      <x:c r="X156" s="191"/>
      <x:c r="Y156" s="191"/>
      <x:c r="Z156" s="191"/>
      <x:c r="AA156" s="191"/>
      <x:c r="AB156" s="191"/>
      <x:c r="AC156" s="191"/>
      <x:c r="AD156" s="191"/>
      <x:c r="AE156" s="191"/>
      <x:c r="AF156" s="191"/>
      <x:c r="AG156" s="191"/>
      <x:c r="AH156" s="191"/>
      <x:c r="AI156" s="191"/>
      <x:c r="AJ156" s="191"/>
      <x:c r="AK156" s="191"/>
    </x:row>
    <x:row r="157">
      <x:c r="A157" s="191"/>
      <x:c r="B157" s="191"/>
      <x:c r="C157" s="191"/>
      <x:c r="D157" s="191"/>
      <x:c r="E157" s="191"/>
      <x:c r="F157" s="191"/>
      <x:c r="G157" s="191"/>
      <x:c r="H157" s="191"/>
      <x:c r="I157" s="191"/>
      <x:c r="J157" s="191"/>
      <x:c r="K157" s="191"/>
      <x:c r="L157" s="198" t="str">
        <x:v>RHO</x:v>
      </x:c>
      <x:c r="M157" s="198" t="n">
        <x:v>6</x:v>
      </x:c>
      <x:c r="N157" s="198" t="str">
        <x:v>3Y</x:v>
      </x:c>
      <x:c r="O157" s="198" t="str">
        <x:v>1Y</x:v>
      </x:c>
      <x:c r="P157" s="266" t="n">
        <x:v>-0.011</x:v>
      </x:c>
      <x:c r="Q157" s="201" t="n">
        <x:v>8600</x:v>
      </x:c>
      <x:c r="R157" s="267" t="n">
        <x:v>1000</x:v>
      </x:c>
      <x:c r="S157" s="254" t="n">
        <x:f>Q157*P157+0.5*R157*P157^2</x:f>
        <x:v>-94.53949999999999</x:v>
      </x:c>
      <x:c r="T157" s="191" t="str">
        <x:v>IR</x:v>
      </x:c>
      <x:c r="U157" s="191" t="str">
        <x:v>Illustrative surrogate only</x:v>
      </x:c>
      <x:c r="V157" s="191"/>
      <x:c r="W157" s="191"/>
      <x:c r="X157" s="191"/>
      <x:c r="Y157" s="191"/>
      <x:c r="Z157" s="191"/>
      <x:c r="AA157" s="191"/>
      <x:c r="AB157" s="191"/>
      <x:c r="AC157" s="191"/>
      <x:c r="AD157" s="191"/>
      <x:c r="AE157" s="191"/>
      <x:c r="AF157" s="191"/>
      <x:c r="AG157" s="191"/>
      <x:c r="AH157" s="191"/>
      <x:c r="AI157" s="191"/>
      <x:c r="AJ157" s="191"/>
      <x:c r="AK157" s="191"/>
    </x:row>
    <x:row r="158">
      <x:c r="A158" s="191"/>
      <x:c r="B158" s="191"/>
      <x:c r="C158" s="191"/>
      <x:c r="D158" s="191"/>
      <x:c r="E158" s="191"/>
      <x:c r="F158" s="191"/>
      <x:c r="G158" s="191"/>
      <x:c r="H158" s="191"/>
      <x:c r="I158" s="191"/>
      <x:c r="J158" s="191"/>
      <x:c r="K158" s="191"/>
      <x:c r="L158" s="198" t="str">
        <x:v>RHO</x:v>
      </x:c>
      <x:c r="M158" s="198" t="n">
        <x:v>6</x:v>
      </x:c>
      <x:c r="N158" s="198" t="str">
        <x:v>3Y</x:v>
      </x:c>
      <x:c r="O158" s="198" t="str">
        <x:v>2Y</x:v>
      </x:c>
      <x:c r="P158" s="266" t="n">
        <x:v>-0.012</x:v>
      </x:c>
      <x:c r="Q158" s="201" t="n">
        <x:v>8700</x:v>
      </x:c>
      <x:c r="R158" s="267" t="n">
        <x:v>1000</x:v>
      </x:c>
      <x:c r="S158" s="254" t="n">
        <x:f>Q158*P158+0.5*R158*P158^2</x:f>
        <x:v>-104.328</x:v>
      </x:c>
      <x:c r="T158" s="191" t="str">
        <x:v>IR</x:v>
      </x:c>
      <x:c r="U158" s="191" t="str">
        <x:v>Illustrative surrogate only</x:v>
      </x:c>
      <x:c r="V158" s="191"/>
      <x:c r="W158" s="191"/>
      <x:c r="X158" s="191"/>
      <x:c r="Y158" s="191"/>
      <x:c r="Z158" s="191"/>
      <x:c r="AA158" s="191"/>
      <x:c r="AB158" s="191"/>
      <x:c r="AC158" s="191"/>
      <x:c r="AD158" s="191"/>
      <x:c r="AE158" s="191"/>
      <x:c r="AF158" s="191"/>
      <x:c r="AG158" s="191"/>
      <x:c r="AH158" s="191"/>
      <x:c r="AI158" s="191"/>
      <x:c r="AJ158" s="191"/>
      <x:c r="AK158" s="191"/>
    </x:row>
    <x:row r="159">
      <x:c r="A159" s="191"/>
      <x:c r="B159" s="191"/>
      <x:c r="C159" s="191"/>
      <x:c r="D159" s="191"/>
      <x:c r="E159" s="191"/>
      <x:c r="F159" s="191"/>
      <x:c r="G159" s="191"/>
      <x:c r="H159" s="191"/>
      <x:c r="I159" s="191"/>
      <x:c r="J159" s="191"/>
      <x:c r="K159" s="191"/>
      <x:c r="L159" s="198" t="str">
        <x:v>RHO</x:v>
      </x:c>
      <x:c r="M159" s="198" t="n">
        <x:v>6</x:v>
      </x:c>
      <x:c r="N159" s="198" t="str">
        <x:v>3Y</x:v>
      </x:c>
      <x:c r="O159" s="198" t="str">
        <x:v>3Y</x:v>
      </x:c>
      <x:c r="P159" s="266" t="n">
        <x:v>-0.013</x:v>
      </x:c>
      <x:c r="Q159" s="201" t="n">
        <x:v>8800</x:v>
      </x:c>
      <x:c r="R159" s="267" t="n">
        <x:v>1000</x:v>
      </x:c>
      <x:c r="S159" s="254" t="n">
        <x:f>Q159*P159+0.5*R159*P159^2</x:f>
        <x:v>-114.31549999999999</x:v>
      </x:c>
      <x:c r="T159" s="191" t="str">
        <x:v>IR</x:v>
      </x:c>
      <x:c r="U159" s="191" t="str">
        <x:v>Illustrative surrogate only</x:v>
      </x:c>
      <x:c r="V159" s="191"/>
      <x:c r="W159" s="191"/>
      <x:c r="X159" s="191"/>
      <x:c r="Y159" s="191"/>
      <x:c r="Z159" s="191"/>
      <x:c r="AA159" s="191"/>
      <x:c r="AB159" s="191"/>
      <x:c r="AC159" s="191"/>
      <x:c r="AD159" s="191"/>
      <x:c r="AE159" s="191"/>
      <x:c r="AF159" s="191"/>
      <x:c r="AG159" s="191"/>
      <x:c r="AH159" s="191"/>
      <x:c r="AI159" s="191"/>
      <x:c r="AJ159" s="191"/>
      <x:c r="AK159" s="191"/>
    </x:row>
    <x:row r="160">
      <x:c r="A160" s="191"/>
      <x:c r="B160" s="191"/>
      <x:c r="C160" s="191"/>
      <x:c r="D160" s="191"/>
      <x:c r="E160" s="191"/>
      <x:c r="F160" s="191"/>
      <x:c r="G160" s="191"/>
      <x:c r="H160" s="191"/>
      <x:c r="I160" s="191"/>
      <x:c r="J160" s="191"/>
      <x:c r="K160" s="191"/>
      <x:c r="L160" s="198" t="str">
        <x:v>RHO</x:v>
      </x:c>
      <x:c r="M160" s="198" t="n">
        <x:v>6</x:v>
      </x:c>
      <x:c r="N160" s="198" t="str">
        <x:v>3Y</x:v>
      </x:c>
      <x:c r="O160" s="198" t="str">
        <x:v>5Y</x:v>
      </x:c>
      <x:c r="P160" s="266" t="n">
        <x:v>-0.013999999999999999</x:v>
      </x:c>
      <x:c r="Q160" s="201" t="n">
        <x:v>8900</x:v>
      </x:c>
      <x:c r="R160" s="267" t="n">
        <x:v>1000</x:v>
      </x:c>
      <x:c r="S160" s="254" t="n">
        <x:f>Q160*P160+0.5*R160*P160^2</x:f>
        <x:v>-124.50199999999998</x:v>
      </x:c>
      <x:c r="T160" s="191" t="str">
        <x:v>IR</x:v>
      </x:c>
      <x:c r="U160" s="191" t="str">
        <x:v>Illustrative surrogate only</x:v>
      </x:c>
      <x:c r="V160" s="191"/>
      <x:c r="W160" s="191"/>
      <x:c r="X160" s="191"/>
      <x:c r="Y160" s="191"/>
      <x:c r="Z160" s="191"/>
      <x:c r="AA160" s="191"/>
      <x:c r="AB160" s="191"/>
      <x:c r="AC160" s="191"/>
      <x:c r="AD160" s="191"/>
      <x:c r="AE160" s="191"/>
      <x:c r="AF160" s="191"/>
      <x:c r="AG160" s="191"/>
      <x:c r="AH160" s="191"/>
      <x:c r="AI160" s="191"/>
      <x:c r="AJ160" s="191"/>
      <x:c r="AK160" s="191"/>
    </x:row>
    <x:row r="161">
      <x:c r="A161" s="191"/>
      <x:c r="B161" s="191"/>
      <x:c r="C161" s="191"/>
      <x:c r="D161" s="191"/>
      <x:c r="E161" s="191"/>
      <x:c r="F161" s="191"/>
      <x:c r="G161" s="191"/>
      <x:c r="H161" s="191"/>
      <x:c r="I161" s="191"/>
      <x:c r="J161" s="191"/>
      <x:c r="K161" s="191"/>
      <x:c r="L161" s="198" t="str">
        <x:v>RHO</x:v>
      </x:c>
      <x:c r="M161" s="198" t="n">
        <x:v>6</x:v>
      </x:c>
      <x:c r="N161" s="198" t="str">
        <x:v>3Y</x:v>
      </x:c>
      <x:c r="O161" s="198" t="str">
        <x:v>10Y</x:v>
      </x:c>
      <x:c r="P161" s="266" t="n">
        <x:v>-0.015</x:v>
      </x:c>
      <x:c r="Q161" s="201" t="n">
        <x:v>9000</x:v>
      </x:c>
      <x:c r="R161" s="267" t="n">
        <x:v>1000</x:v>
      </x:c>
      <x:c r="S161" s="254" t="n">
        <x:f>Q161*P161+0.5*R161*P161^2</x:f>
        <x:v>-134.8875</x:v>
      </x:c>
      <x:c r="T161" s="191" t="str">
        <x:v>IR</x:v>
      </x:c>
      <x:c r="U161" s="191" t="str">
        <x:v>Illustrative surrogate only</x:v>
      </x:c>
      <x:c r="V161" s="191"/>
      <x:c r="W161" s="191"/>
      <x:c r="X161" s="191"/>
      <x:c r="Y161" s="191"/>
      <x:c r="Z161" s="191"/>
      <x:c r="AA161" s="191"/>
      <x:c r="AB161" s="191"/>
      <x:c r="AC161" s="191"/>
      <x:c r="AD161" s="191"/>
      <x:c r="AE161" s="191"/>
      <x:c r="AF161" s="191"/>
      <x:c r="AG161" s="191"/>
      <x:c r="AH161" s="191"/>
      <x:c r="AI161" s="191"/>
      <x:c r="AJ161" s="191"/>
      <x:c r="AK161" s="191"/>
    </x:row>
    <x:row r="162">
      <x:c r="A162" s="191"/>
      <x:c r="B162" s="191"/>
      <x:c r="C162" s="191"/>
      <x:c r="D162" s="191"/>
      <x:c r="E162" s="191"/>
      <x:c r="F162" s="191"/>
      <x:c r="G162" s="191"/>
      <x:c r="H162" s="191"/>
      <x:c r="I162" s="191"/>
      <x:c r="J162" s="191"/>
      <x:c r="K162" s="191"/>
      <x:c r="L162" s="198" t="str">
        <x:v>RHO</x:v>
      </x:c>
      <x:c r="M162" s="198" t="n">
        <x:v>6</x:v>
      </x:c>
      <x:c r="N162" s="198" t="str">
        <x:v>3Y</x:v>
      </x:c>
      <x:c r="O162" s="198" t="str">
        <x:v>20Y</x:v>
      </x:c>
      <x:c r="P162" s="266" t="n">
        <x:v>-0.016</x:v>
      </x:c>
      <x:c r="Q162" s="201" t="n">
        <x:v>9100</x:v>
      </x:c>
      <x:c r="R162" s="267" t="n">
        <x:v>1000</x:v>
      </x:c>
      <x:c r="S162" s="254" t="n">
        <x:f>Q162*P162+0.5*R162*P162^2</x:f>
        <x:v>-145.472</x:v>
      </x:c>
      <x:c r="T162" s="191" t="str">
        <x:v>IR</x:v>
      </x:c>
      <x:c r="U162" s="191" t="str">
        <x:v>Illustrative surrogate only</x:v>
      </x:c>
      <x:c r="V162" s="191"/>
      <x:c r="W162" s="191"/>
      <x:c r="X162" s="191"/>
      <x:c r="Y162" s="191"/>
      <x:c r="Z162" s="191"/>
      <x:c r="AA162" s="191"/>
      <x:c r="AB162" s="191"/>
      <x:c r="AC162" s="191"/>
      <x:c r="AD162" s="191"/>
      <x:c r="AE162" s="191"/>
      <x:c r="AF162" s="191"/>
      <x:c r="AG162" s="191"/>
      <x:c r="AH162" s="191"/>
      <x:c r="AI162" s="191"/>
      <x:c r="AJ162" s="191"/>
      <x:c r="AK162" s="191"/>
    </x:row>
    <x:row r="163">
      <x:c r="A163" s="191"/>
      <x:c r="B163" s="191"/>
      <x:c r="C163" s="191"/>
      <x:c r="D163" s="191"/>
      <x:c r="E163" s="191"/>
      <x:c r="F163" s="191"/>
      <x:c r="G163" s="191"/>
      <x:c r="H163" s="191"/>
      <x:c r="I163" s="191"/>
      <x:c r="J163" s="191"/>
      <x:c r="K163" s="191"/>
      <x:c r="L163" s="198" t="str">
        <x:v>RHO</x:v>
      </x:c>
      <x:c r="M163" s="198" t="n">
        <x:v>6</x:v>
      </x:c>
      <x:c r="N163" s="198" t="str">
        <x:v>3Y</x:v>
      </x:c>
      <x:c r="O163" s="198" t="str">
        <x:v>30Y</x:v>
      </x:c>
      <x:c r="P163" s="266" t="n">
        <x:v>-0.017</x:v>
      </x:c>
      <x:c r="Q163" s="201" t="n">
        <x:v>9200</x:v>
      </x:c>
      <x:c r="R163" s="267" t="n">
        <x:v>1000</x:v>
      </x:c>
      <x:c r="S163" s="254" t="n">
        <x:f>Q163*P163+0.5*R163*P163^2</x:f>
        <x:v>-156.2555</x:v>
      </x:c>
      <x:c r="T163" s="191" t="str">
        <x:v>IR</x:v>
      </x:c>
      <x:c r="U163" s="191" t="str">
        <x:v>Illustrative surrogate only</x:v>
      </x:c>
      <x:c r="V163" s="191"/>
      <x:c r="W163" s="191"/>
      <x:c r="X163" s="191"/>
      <x:c r="Y163" s="191"/>
      <x:c r="Z163" s="191"/>
      <x:c r="AA163" s="191"/>
      <x:c r="AB163" s="191"/>
      <x:c r="AC163" s="191"/>
      <x:c r="AD163" s="191"/>
      <x:c r="AE163" s="191"/>
      <x:c r="AF163" s="191"/>
      <x:c r="AG163" s="191"/>
      <x:c r="AH163" s="191"/>
      <x:c r="AI163" s="191"/>
      <x:c r="AJ163" s="191"/>
      <x:c r="AK163" s="191"/>
    </x:row>
    <x:row r="164">
      <x:c r="A164" s="191"/>
      <x:c r="B164" s="191"/>
      <x:c r="C164" s="191"/>
      <x:c r="D164" s="191"/>
      <x:c r="E164" s="191"/>
      <x:c r="F164" s="191"/>
      <x:c r="G164" s="191"/>
      <x:c r="H164" s="191"/>
      <x:c r="I164" s="191"/>
      <x:c r="J164" s="191"/>
      <x:c r="K164" s="191"/>
      <x:c r="L164" s="198" t="str">
        <x:v>RHO</x:v>
      </x:c>
      <x:c r="M164" s="198" t="n">
        <x:v>7</x:v>
      </x:c>
      <x:c r="N164" s="198" t="str">
        <x:v>5Y</x:v>
      </x:c>
      <x:c r="O164" s="198" t="str">
        <x:v>1M</x:v>
      </x:c>
      <x:c r="P164" s="266" t="n">
        <x:v>-0.005</x:v>
      </x:c>
      <x:c r="Q164" s="201" t="n">
        <x:v>8500</x:v>
      </x:c>
      <x:c r="R164" s="267" t="n">
        <x:v>1000</x:v>
      </x:c>
      <x:c r="S164" s="254" t="n">
        <x:f>Q164*P164+0.5*R164*P164^2</x:f>
        <x:v>-42.4875</x:v>
      </x:c>
      <x:c r="T164" s="191" t="str">
        <x:v>IR</x:v>
      </x:c>
      <x:c r="U164" s="191" t="str">
        <x:v>Illustrative surrogate only</x:v>
      </x:c>
      <x:c r="V164" s="191"/>
      <x:c r="W164" s="191"/>
      <x:c r="X164" s="191"/>
      <x:c r="Y164" s="191"/>
      <x:c r="Z164" s="191"/>
      <x:c r="AA164" s="191"/>
      <x:c r="AB164" s="191"/>
      <x:c r="AC164" s="191"/>
      <x:c r="AD164" s="191"/>
      <x:c r="AE164" s="191"/>
      <x:c r="AF164" s="191"/>
      <x:c r="AG164" s="191"/>
      <x:c r="AH164" s="191"/>
      <x:c r="AI164" s="191"/>
      <x:c r="AJ164" s="191"/>
      <x:c r="AK164" s="191"/>
    </x:row>
    <x:row r="165">
      <x:c r="A165" s="191"/>
      <x:c r="B165" s="191"/>
      <x:c r="C165" s="191"/>
      <x:c r="D165" s="191"/>
      <x:c r="E165" s="191"/>
      <x:c r="F165" s="191"/>
      <x:c r="G165" s="191"/>
      <x:c r="H165" s="191"/>
      <x:c r="I165" s="191"/>
      <x:c r="J165" s="191"/>
      <x:c r="K165" s="191"/>
      <x:c r="L165" s="198" t="str">
        <x:v>RHO</x:v>
      </x:c>
      <x:c r="M165" s="198" t="n">
        <x:v>7</x:v>
      </x:c>
      <x:c r="N165" s="198" t="str">
        <x:v>5Y</x:v>
      </x:c>
      <x:c r="O165" s="198" t="str">
        <x:v>3M</x:v>
      </x:c>
      <x:c r="P165" s="266" t="n">
        <x:v>-0.006</x:v>
      </x:c>
      <x:c r="Q165" s="201" t="n">
        <x:v>8600</x:v>
      </x:c>
      <x:c r="R165" s="267" t="n">
        <x:v>1000</x:v>
      </x:c>
      <x:c r="S165" s="254" t="n">
        <x:f>Q165*P165+0.5*R165*P165^2</x:f>
        <x:v>-51.582</x:v>
      </x:c>
      <x:c r="T165" s="191" t="str">
        <x:v>IR</x:v>
      </x:c>
      <x:c r="U165" s="191" t="str">
        <x:v>Illustrative surrogate only</x:v>
      </x:c>
      <x:c r="V165" s="191"/>
      <x:c r="W165" s="191"/>
      <x:c r="X165" s="191"/>
      <x:c r="Y165" s="191"/>
      <x:c r="Z165" s="191"/>
      <x:c r="AA165" s="191"/>
      <x:c r="AB165" s="191"/>
      <x:c r="AC165" s="191"/>
      <x:c r="AD165" s="191"/>
      <x:c r="AE165" s="191"/>
      <x:c r="AF165" s="191"/>
      <x:c r="AG165" s="191"/>
      <x:c r="AH165" s="191"/>
      <x:c r="AI165" s="191"/>
      <x:c r="AJ165" s="191"/>
      <x:c r="AK165" s="191"/>
    </x:row>
    <x:row r="166">
      <x:c r="A166" s="191"/>
      <x:c r="B166" s="191"/>
      <x:c r="C166" s="191"/>
      <x:c r="D166" s="191"/>
      <x:c r="E166" s="191"/>
      <x:c r="F166" s="191"/>
      <x:c r="G166" s="191"/>
      <x:c r="H166" s="191"/>
      <x:c r="I166" s="191"/>
      <x:c r="J166" s="191"/>
      <x:c r="K166" s="191"/>
      <x:c r="L166" s="198" t="str">
        <x:v>RHO</x:v>
      </x:c>
      <x:c r="M166" s="198" t="n">
        <x:v>7</x:v>
      </x:c>
      <x:c r="N166" s="198" t="str">
        <x:v>5Y</x:v>
      </x:c>
      <x:c r="O166" s="198" t="str">
        <x:v>6M</x:v>
      </x:c>
      <x:c r="P166" s="266" t="n">
        <x:v>-0.007</x:v>
      </x:c>
      <x:c r="Q166" s="201" t="n">
        <x:v>8700</x:v>
      </x:c>
      <x:c r="R166" s="267" t="n">
        <x:v>1000</x:v>
      </x:c>
      <x:c r="S166" s="254" t="n">
        <x:f>Q166*P166+0.5*R166*P166^2</x:f>
        <x:v>-60.875499999999995</x:v>
      </x:c>
      <x:c r="T166" s="191" t="str">
        <x:v>IR</x:v>
      </x:c>
      <x:c r="U166" s="191" t="str">
        <x:v>Illustrative surrogate only</x:v>
      </x:c>
      <x:c r="V166" s="191"/>
      <x:c r="W166" s="191"/>
      <x:c r="X166" s="191"/>
      <x:c r="Y166" s="191"/>
      <x:c r="Z166" s="191"/>
      <x:c r="AA166" s="191"/>
      <x:c r="AB166" s="191"/>
      <x:c r="AC166" s="191"/>
      <x:c r="AD166" s="191"/>
      <x:c r="AE166" s="191"/>
      <x:c r="AF166" s="191"/>
      <x:c r="AG166" s="191"/>
      <x:c r="AH166" s="191"/>
      <x:c r="AI166" s="191"/>
      <x:c r="AJ166" s="191"/>
      <x:c r="AK166" s="191"/>
    </x:row>
    <x:row r="167">
      <x:c r="A167" s="191"/>
      <x:c r="B167" s="191"/>
      <x:c r="C167" s="191"/>
      <x:c r="D167" s="191"/>
      <x:c r="E167" s="191"/>
      <x:c r="F167" s="191"/>
      <x:c r="G167" s="191"/>
      <x:c r="H167" s="191"/>
      <x:c r="I167" s="191"/>
      <x:c r="J167" s="191"/>
      <x:c r="K167" s="191"/>
      <x:c r="L167" s="198" t="str">
        <x:v>RHO</x:v>
      </x:c>
      <x:c r="M167" s="198" t="n">
        <x:v>7</x:v>
      </x:c>
      <x:c r="N167" s="198" t="str">
        <x:v>5Y</x:v>
      </x:c>
      <x:c r="O167" s="198" t="str">
        <x:v>1Y</x:v>
      </x:c>
      <x:c r="P167" s="266" t="n">
        <x:v>-0.008</x:v>
      </x:c>
      <x:c r="Q167" s="201" t="n">
        <x:v>8800</x:v>
      </x:c>
      <x:c r="R167" s="267" t="n">
        <x:v>1000</x:v>
      </x:c>
      <x:c r="S167" s="254" t="n">
        <x:f>Q167*P167+0.5*R167*P167^2</x:f>
        <x:v>-70.36800000000001</x:v>
      </x:c>
      <x:c r="T167" s="191" t="str">
        <x:v>IR</x:v>
      </x:c>
      <x:c r="U167" s="191" t="str">
        <x:v>Illustrative surrogate only</x:v>
      </x:c>
      <x:c r="V167" s="191"/>
      <x:c r="W167" s="191"/>
      <x:c r="X167" s="191"/>
      <x:c r="Y167" s="191"/>
      <x:c r="Z167" s="191"/>
      <x:c r="AA167" s="191"/>
      <x:c r="AB167" s="191"/>
      <x:c r="AC167" s="191"/>
      <x:c r="AD167" s="191"/>
      <x:c r="AE167" s="191"/>
      <x:c r="AF167" s="191"/>
      <x:c r="AG167" s="191"/>
      <x:c r="AH167" s="191"/>
      <x:c r="AI167" s="191"/>
      <x:c r="AJ167" s="191"/>
      <x:c r="AK167" s="191"/>
    </x:row>
    <x:row r="168">
      <x:c r="A168" s="191"/>
      <x:c r="B168" s="191"/>
      <x:c r="C168" s="191"/>
      <x:c r="D168" s="191"/>
      <x:c r="E168" s="191"/>
      <x:c r="F168" s="191"/>
      <x:c r="G168" s="191"/>
      <x:c r="H168" s="191"/>
      <x:c r="I168" s="191"/>
      <x:c r="J168" s="191"/>
      <x:c r="K168" s="191"/>
      <x:c r="L168" s="198" t="str">
        <x:v>RHO</x:v>
      </x:c>
      <x:c r="M168" s="198" t="n">
        <x:v>7</x:v>
      </x:c>
      <x:c r="N168" s="198" t="str">
        <x:v>5Y</x:v>
      </x:c>
      <x:c r="O168" s="198" t="str">
        <x:v>2Y</x:v>
      </x:c>
      <x:c r="P168" s="266" t="n">
        <x:v>-0.009000000000000001</x:v>
      </x:c>
      <x:c r="Q168" s="201" t="n">
        <x:v>8900</x:v>
      </x:c>
      <x:c r="R168" s="267" t="n">
        <x:v>1000</x:v>
      </x:c>
      <x:c r="S168" s="254" t="n">
        <x:f>Q168*P168+0.5*R168*P168^2</x:f>
        <x:v>-80.05950000000001</x:v>
      </x:c>
      <x:c r="T168" s="191" t="str">
        <x:v>IR</x:v>
      </x:c>
      <x:c r="U168" s="191" t="str">
        <x:v>Illustrative surrogate only</x:v>
      </x:c>
      <x:c r="V168" s="191"/>
      <x:c r="W168" s="191"/>
      <x:c r="X168" s="191"/>
      <x:c r="Y168" s="191"/>
      <x:c r="Z168" s="191"/>
      <x:c r="AA168" s="191"/>
      <x:c r="AB168" s="191"/>
      <x:c r="AC168" s="191"/>
      <x:c r="AD168" s="191"/>
      <x:c r="AE168" s="191"/>
      <x:c r="AF168" s="191"/>
      <x:c r="AG168" s="191"/>
      <x:c r="AH168" s="191"/>
      <x:c r="AI168" s="191"/>
      <x:c r="AJ168" s="191"/>
      <x:c r="AK168" s="191"/>
    </x:row>
    <x:row r="169">
      <x:c r="A169" s="191"/>
      <x:c r="B169" s="191"/>
      <x:c r="C169" s="191"/>
      <x:c r="D169" s="191"/>
      <x:c r="E169" s="191"/>
      <x:c r="F169" s="191"/>
      <x:c r="G169" s="191"/>
      <x:c r="H169" s="191"/>
      <x:c r="I169" s="191"/>
      <x:c r="J169" s="191"/>
      <x:c r="K169" s="191"/>
      <x:c r="L169" s="198" t="str">
        <x:v>RHO</x:v>
      </x:c>
      <x:c r="M169" s="198" t="n">
        <x:v>7</x:v>
      </x:c>
      <x:c r="N169" s="198" t="str">
        <x:v>5Y</x:v>
      </x:c>
      <x:c r="O169" s="198" t="str">
        <x:v>3Y</x:v>
      </x:c>
      <x:c r="P169" s="266" t="n">
        <x:v>-0.01</x:v>
      </x:c>
      <x:c r="Q169" s="201" t="n">
        <x:v>9000</x:v>
      </x:c>
      <x:c r="R169" s="267" t="n">
        <x:v>1000</x:v>
      </x:c>
      <x:c r="S169" s="254" t="n">
        <x:f>Q169*P169+0.5*R169*P169^2</x:f>
        <x:v>-89.95</x:v>
      </x:c>
      <x:c r="T169" s="191" t="str">
        <x:v>IR</x:v>
      </x:c>
      <x:c r="U169" s="191" t="str">
        <x:v>Illustrative surrogate only</x:v>
      </x:c>
      <x:c r="V169" s="191"/>
      <x:c r="W169" s="191"/>
      <x:c r="X169" s="191"/>
      <x:c r="Y169" s="191"/>
      <x:c r="Z169" s="191"/>
      <x:c r="AA169" s="191"/>
      <x:c r="AB169" s="191"/>
      <x:c r="AC169" s="191"/>
      <x:c r="AD169" s="191"/>
      <x:c r="AE169" s="191"/>
      <x:c r="AF169" s="191"/>
      <x:c r="AG169" s="191"/>
      <x:c r="AH169" s="191"/>
      <x:c r="AI169" s="191"/>
      <x:c r="AJ169" s="191"/>
      <x:c r="AK169" s="191"/>
    </x:row>
    <x:row r="170">
      <x:c r="A170" s="191"/>
      <x:c r="B170" s="191"/>
      <x:c r="C170" s="191"/>
      <x:c r="D170" s="191"/>
      <x:c r="E170" s="191"/>
      <x:c r="F170" s="191"/>
      <x:c r="G170" s="191"/>
      <x:c r="H170" s="191"/>
      <x:c r="I170" s="191"/>
      <x:c r="J170" s="191"/>
      <x:c r="K170" s="191"/>
      <x:c r="L170" s="198" t="str">
        <x:v>RHO</x:v>
      </x:c>
      <x:c r="M170" s="198" t="n">
        <x:v>7</x:v>
      </x:c>
      <x:c r="N170" s="198" t="str">
        <x:v>5Y</x:v>
      </x:c>
      <x:c r="O170" s="198" t="str">
        <x:v>5Y</x:v>
      </x:c>
      <x:c r="P170" s="266" t="n">
        <x:v>-0.011</x:v>
      </x:c>
      <x:c r="Q170" s="201" t="n">
        <x:v>9100</x:v>
      </x:c>
      <x:c r="R170" s="267" t="n">
        <x:v>1000</x:v>
      </x:c>
      <x:c r="S170" s="254" t="n">
        <x:f>Q170*P170+0.5*R170*P170^2</x:f>
        <x:v>-100.03949999999999</x:v>
      </x:c>
      <x:c r="T170" s="191" t="str">
        <x:v>IR</x:v>
      </x:c>
      <x:c r="U170" s="191" t="str">
        <x:v>Illustrative surrogate only</x:v>
      </x:c>
      <x:c r="V170" s="191"/>
      <x:c r="W170" s="191"/>
      <x:c r="X170" s="191"/>
      <x:c r="Y170" s="191"/>
      <x:c r="Z170" s="191"/>
      <x:c r="AA170" s="191"/>
      <x:c r="AB170" s="191"/>
      <x:c r="AC170" s="191"/>
      <x:c r="AD170" s="191"/>
      <x:c r="AE170" s="191"/>
      <x:c r="AF170" s="191"/>
      <x:c r="AG170" s="191"/>
      <x:c r="AH170" s="191"/>
      <x:c r="AI170" s="191"/>
      <x:c r="AJ170" s="191"/>
      <x:c r="AK170" s="191"/>
    </x:row>
    <x:row r="171">
      <x:c r="A171" s="191"/>
      <x:c r="B171" s="191"/>
      <x:c r="C171" s="191"/>
      <x:c r="D171" s="191"/>
      <x:c r="E171" s="191"/>
      <x:c r="F171" s="191"/>
      <x:c r="G171" s="191"/>
      <x:c r="H171" s="191"/>
      <x:c r="I171" s="191"/>
      <x:c r="J171" s="191"/>
      <x:c r="K171" s="191"/>
      <x:c r="L171" s="198" t="str">
        <x:v>RHO</x:v>
      </x:c>
      <x:c r="M171" s="198" t="n">
        <x:v>7</x:v>
      </x:c>
      <x:c r="N171" s="198" t="str">
        <x:v>5Y</x:v>
      </x:c>
      <x:c r="O171" s="198" t="str">
        <x:v>10Y</x:v>
      </x:c>
      <x:c r="P171" s="266" t="n">
        <x:v>-0.012</x:v>
      </x:c>
      <x:c r="Q171" s="201" t="n">
        <x:v>9200</x:v>
      </x:c>
      <x:c r="R171" s="267" t="n">
        <x:v>1000</x:v>
      </x:c>
      <x:c r="S171" s="254" t="n">
        <x:f>Q171*P171+0.5*R171*P171^2</x:f>
        <x:v>-110.328</x:v>
      </x:c>
      <x:c r="T171" s="191" t="str">
        <x:v>IR</x:v>
      </x:c>
      <x:c r="U171" s="191" t="str">
        <x:v>Illustrative surrogate only</x:v>
      </x:c>
      <x:c r="V171" s="191"/>
      <x:c r="W171" s="191"/>
      <x:c r="X171" s="191"/>
      <x:c r="Y171" s="191"/>
      <x:c r="Z171" s="191"/>
      <x:c r="AA171" s="191"/>
      <x:c r="AB171" s="191"/>
      <x:c r="AC171" s="191"/>
      <x:c r="AD171" s="191"/>
      <x:c r="AE171" s="191"/>
      <x:c r="AF171" s="191"/>
      <x:c r="AG171" s="191"/>
      <x:c r="AH171" s="191"/>
      <x:c r="AI171" s="191"/>
      <x:c r="AJ171" s="191"/>
      <x:c r="AK171" s="191"/>
    </x:row>
    <x:row r="172">
      <x:c r="A172" s="191"/>
      <x:c r="B172" s="191"/>
      <x:c r="C172" s="191"/>
      <x:c r="D172" s="191"/>
      <x:c r="E172" s="191"/>
      <x:c r="F172" s="191"/>
      <x:c r="G172" s="191"/>
      <x:c r="H172" s="191"/>
      <x:c r="I172" s="191"/>
      <x:c r="J172" s="191"/>
      <x:c r="K172" s="191"/>
      <x:c r="L172" s="198" t="str">
        <x:v>RHO</x:v>
      </x:c>
      <x:c r="M172" s="198" t="n">
        <x:v>7</x:v>
      </x:c>
      <x:c r="N172" s="198" t="str">
        <x:v>5Y</x:v>
      </x:c>
      <x:c r="O172" s="198" t="str">
        <x:v>20Y</x:v>
      </x:c>
      <x:c r="P172" s="266" t="n">
        <x:v>-0.013000000000000001</x:v>
      </x:c>
      <x:c r="Q172" s="201" t="n">
        <x:v>9300</x:v>
      </x:c>
      <x:c r="R172" s="267" t="n">
        <x:v>1000</x:v>
      </x:c>
      <x:c r="S172" s="254" t="n">
        <x:f>Q172*P172+0.5*R172*P172^2</x:f>
        <x:v>-120.8155</x:v>
      </x:c>
      <x:c r="T172" s="191" t="str">
        <x:v>IR</x:v>
      </x:c>
      <x:c r="U172" s="191" t="str">
        <x:v>Illustrative surrogate only</x:v>
      </x:c>
      <x:c r="V172" s="191"/>
      <x:c r="W172" s="191"/>
      <x:c r="X172" s="191"/>
      <x:c r="Y172" s="191"/>
      <x:c r="Z172" s="191"/>
      <x:c r="AA172" s="191"/>
      <x:c r="AB172" s="191"/>
      <x:c r="AC172" s="191"/>
      <x:c r="AD172" s="191"/>
      <x:c r="AE172" s="191"/>
      <x:c r="AF172" s="191"/>
      <x:c r="AG172" s="191"/>
      <x:c r="AH172" s="191"/>
      <x:c r="AI172" s="191"/>
      <x:c r="AJ172" s="191"/>
      <x:c r="AK172" s="191"/>
    </x:row>
    <x:row r="173">
      <x:c r="A173" s="191"/>
      <x:c r="B173" s="191"/>
      <x:c r="C173" s="191"/>
      <x:c r="D173" s="191"/>
      <x:c r="E173" s="191"/>
      <x:c r="F173" s="191"/>
      <x:c r="G173" s="191"/>
      <x:c r="H173" s="191"/>
      <x:c r="I173" s="191"/>
      <x:c r="J173" s="191"/>
      <x:c r="K173" s="191"/>
      <x:c r="L173" s="198" t="str">
        <x:v>RHO</x:v>
      </x:c>
      <x:c r="M173" s="198" t="n">
        <x:v>7</x:v>
      </x:c>
      <x:c r="N173" s="198" t="str">
        <x:v>5Y</x:v>
      </x:c>
      <x:c r="O173" s="198" t="str">
        <x:v>30Y</x:v>
      </x:c>
      <x:c r="P173" s="266" t="n">
        <x:v>-0.014</x:v>
      </x:c>
      <x:c r="Q173" s="201" t="n">
        <x:v>9400</x:v>
      </x:c>
      <x:c r="R173" s="267" t="n">
        <x:v>1000</x:v>
      </x:c>
      <x:c r="S173" s="254" t="n">
        <x:f>Q173*P173+0.5*R173*P173^2</x:f>
        <x:v>-131.50199999999998</x:v>
      </x:c>
      <x:c r="T173" s="191" t="str">
        <x:v>IR</x:v>
      </x:c>
      <x:c r="U173" s="191" t="str">
        <x:v>Illustrative surrogate only</x:v>
      </x:c>
      <x:c r="V173" s="191"/>
      <x:c r="W173" s="191"/>
      <x:c r="X173" s="191"/>
      <x:c r="Y173" s="191"/>
      <x:c r="Z173" s="191"/>
      <x:c r="AA173" s="191"/>
      <x:c r="AB173" s="191"/>
      <x:c r="AC173" s="191"/>
      <x:c r="AD173" s="191"/>
      <x:c r="AE173" s="191"/>
      <x:c r="AF173" s="191"/>
      <x:c r="AG173" s="191"/>
      <x:c r="AH173" s="191"/>
      <x:c r="AI173" s="191"/>
      <x:c r="AJ173" s="191"/>
      <x:c r="AK173" s="191"/>
    </x:row>
    <x:row r="174">
      <x:c r="A174" s="191"/>
      <x:c r="B174" s="191"/>
      <x:c r="C174" s="191"/>
      <x:c r="D174" s="191"/>
      <x:c r="E174" s="191"/>
      <x:c r="F174" s="191"/>
      <x:c r="G174" s="191"/>
      <x:c r="H174" s="191"/>
      <x:c r="I174" s="191"/>
      <x:c r="J174" s="191"/>
      <x:c r="K174" s="191"/>
      <x:c r="L174" s="198" t="str">
        <x:v>RHO</x:v>
      </x:c>
      <x:c r="M174" s="198" t="n">
        <x:v>8</x:v>
      </x:c>
      <x:c r="N174" s="198" t="str">
        <x:v>10Y</x:v>
      </x:c>
      <x:c r="O174" s="198" t="str">
        <x:v>1M</x:v>
      </x:c>
      <x:c r="P174" s="266" t="n">
        <x:v>-0.002000000000000001</x:v>
      </x:c>
      <x:c r="Q174" s="201" t="n">
        <x:v>8700</x:v>
      </x:c>
      <x:c r="R174" s="267" t="n">
        <x:v>1000</x:v>
      </x:c>
      <x:c r="S174" s="254" t="n">
        <x:f>Q174*P174+0.5*R174*P174^2</x:f>
        <x:v>-17.39800000000001</x:v>
      </x:c>
      <x:c r="T174" s="191" t="str">
        <x:v>IR</x:v>
      </x:c>
      <x:c r="U174" s="191" t="str">
        <x:v>Illustrative surrogate only</x:v>
      </x:c>
      <x:c r="V174" s="191"/>
      <x:c r="W174" s="191"/>
      <x:c r="X174" s="191"/>
      <x:c r="Y174" s="191"/>
      <x:c r="Z174" s="191"/>
      <x:c r="AA174" s="191"/>
      <x:c r="AB174" s="191"/>
      <x:c r="AC174" s="191"/>
      <x:c r="AD174" s="191"/>
      <x:c r="AE174" s="191"/>
      <x:c r="AF174" s="191"/>
      <x:c r="AG174" s="191"/>
      <x:c r="AH174" s="191"/>
      <x:c r="AI174" s="191"/>
      <x:c r="AJ174" s="191"/>
      <x:c r="AK174" s="191"/>
    </x:row>
    <x:row r="175">
      <x:c r="A175" s="191"/>
      <x:c r="B175" s="191"/>
      <x:c r="C175" s="191"/>
      <x:c r="D175" s="191"/>
      <x:c r="E175" s="191"/>
      <x:c r="F175" s="191"/>
      <x:c r="G175" s="191"/>
      <x:c r="H175" s="191"/>
      <x:c r="I175" s="191"/>
      <x:c r="J175" s="191"/>
      <x:c r="K175" s="191"/>
      <x:c r="L175" s="198" t="str">
        <x:v>RHO</x:v>
      </x:c>
      <x:c r="M175" s="198" t="n">
        <x:v>8</x:v>
      </x:c>
      <x:c r="N175" s="198" t="str">
        <x:v>10Y</x:v>
      </x:c>
      <x:c r="O175" s="198" t="str">
        <x:v>3M</x:v>
      </x:c>
      <x:c r="P175" s="266" t="n">
        <x:v>-0.003000000000000001</x:v>
      </x:c>
      <x:c r="Q175" s="201" t="n">
        <x:v>8800</x:v>
      </x:c>
      <x:c r="R175" s="267" t="n">
        <x:v>1000</x:v>
      </x:c>
      <x:c r="S175" s="254" t="n">
        <x:f>Q175*P175+0.5*R175*P175^2</x:f>
        <x:v>-26.39550000000001</x:v>
      </x:c>
      <x:c r="T175" s="191" t="str">
        <x:v>IR</x:v>
      </x:c>
      <x:c r="U175" s="191" t="str">
        <x:v>Illustrative surrogate only</x:v>
      </x:c>
      <x:c r="V175" s="191"/>
      <x:c r="W175" s="191"/>
      <x:c r="X175" s="191"/>
      <x:c r="Y175" s="191"/>
      <x:c r="Z175" s="191"/>
      <x:c r="AA175" s="191"/>
      <x:c r="AB175" s="191"/>
      <x:c r="AC175" s="191"/>
      <x:c r="AD175" s="191"/>
      <x:c r="AE175" s="191"/>
      <x:c r="AF175" s="191"/>
      <x:c r="AG175" s="191"/>
      <x:c r="AH175" s="191"/>
      <x:c r="AI175" s="191"/>
      <x:c r="AJ175" s="191"/>
      <x:c r="AK175" s="191"/>
    </x:row>
    <x:row r="176">
      <x:c r="A176" s="191"/>
      <x:c r="B176" s="191"/>
      <x:c r="C176" s="191"/>
      <x:c r="D176" s="191"/>
      <x:c r="E176" s="191"/>
      <x:c r="F176" s="191"/>
      <x:c r="G176" s="191"/>
      <x:c r="H176" s="191"/>
      <x:c r="I176" s="191"/>
      <x:c r="J176" s="191"/>
      <x:c r="K176" s="191"/>
      <x:c r="L176" s="198" t="str">
        <x:v>RHO</x:v>
      </x:c>
      <x:c r="M176" s="198" t="n">
        <x:v>8</x:v>
      </x:c>
      <x:c r="N176" s="198" t="str">
        <x:v>10Y</x:v>
      </x:c>
      <x:c r="O176" s="198" t="str">
        <x:v>6M</x:v>
      </x:c>
      <x:c r="P176" s="266" t="n">
        <x:v>-0.004000000000000001</x:v>
      </x:c>
      <x:c r="Q176" s="201" t="n">
        <x:v>8900</x:v>
      </x:c>
      <x:c r="R176" s="267" t="n">
        <x:v>1000</x:v>
      </x:c>
      <x:c r="S176" s="254" t="n">
        <x:f>Q176*P176+0.5*R176*P176^2</x:f>
        <x:v>-35.592000000000006</x:v>
      </x:c>
      <x:c r="T176" s="191" t="str">
        <x:v>IR</x:v>
      </x:c>
      <x:c r="U176" s="191" t="str">
        <x:v>Illustrative surrogate only</x:v>
      </x:c>
      <x:c r="V176" s="191"/>
      <x:c r="W176" s="191"/>
      <x:c r="X176" s="191"/>
      <x:c r="Y176" s="191"/>
      <x:c r="Z176" s="191"/>
      <x:c r="AA176" s="191"/>
      <x:c r="AB176" s="191"/>
      <x:c r="AC176" s="191"/>
      <x:c r="AD176" s="191"/>
      <x:c r="AE176" s="191"/>
      <x:c r="AF176" s="191"/>
      <x:c r="AG176" s="191"/>
      <x:c r="AH176" s="191"/>
      <x:c r="AI176" s="191"/>
      <x:c r="AJ176" s="191"/>
      <x:c r="AK176" s="191"/>
    </x:row>
    <x:row r="177">
      <x:c r="A177" s="191"/>
      <x:c r="B177" s="191"/>
      <x:c r="C177" s="191"/>
      <x:c r="D177" s="191"/>
      <x:c r="E177" s="191"/>
      <x:c r="F177" s="191"/>
      <x:c r="G177" s="191"/>
      <x:c r="H177" s="191"/>
      <x:c r="I177" s="191"/>
      <x:c r="J177" s="191"/>
      <x:c r="K177" s="191"/>
      <x:c r="L177" s="198" t="str">
        <x:v>RHO</x:v>
      </x:c>
      <x:c r="M177" s="198" t="n">
        <x:v>8</x:v>
      </x:c>
      <x:c r="N177" s="198" t="str">
        <x:v>10Y</x:v>
      </x:c>
      <x:c r="O177" s="198" t="str">
        <x:v>1Y</x:v>
      </x:c>
      <x:c r="P177" s="266" t="n">
        <x:v>-0.005000000000000001</x:v>
      </x:c>
      <x:c r="Q177" s="201" t="n">
        <x:v>9000</x:v>
      </x:c>
      <x:c r="R177" s="267" t="n">
        <x:v>1000</x:v>
      </x:c>
      <x:c r="S177" s="254" t="n">
        <x:f>Q177*P177+0.5*R177*P177^2</x:f>
        <x:v>-44.987500000000004</x:v>
      </x:c>
      <x:c r="T177" s="191" t="str">
        <x:v>IR</x:v>
      </x:c>
      <x:c r="U177" s="191" t="str">
        <x:v>Illustrative surrogate only</x:v>
      </x:c>
      <x:c r="V177" s="191"/>
      <x:c r="W177" s="191"/>
      <x:c r="X177" s="191"/>
      <x:c r="Y177" s="191"/>
      <x:c r="Z177" s="191"/>
      <x:c r="AA177" s="191"/>
      <x:c r="AB177" s="191"/>
      <x:c r="AC177" s="191"/>
      <x:c r="AD177" s="191"/>
      <x:c r="AE177" s="191"/>
      <x:c r="AF177" s="191"/>
      <x:c r="AG177" s="191"/>
      <x:c r="AH177" s="191"/>
      <x:c r="AI177" s="191"/>
      <x:c r="AJ177" s="191"/>
      <x:c r="AK177" s="191"/>
    </x:row>
    <x:row r="178">
      <x:c r="A178" s="191"/>
      <x:c r="B178" s="191"/>
      <x:c r="C178" s="191"/>
      <x:c r="D178" s="191"/>
      <x:c r="E178" s="191"/>
      <x:c r="F178" s="191"/>
      <x:c r="G178" s="191"/>
      <x:c r="H178" s="191"/>
      <x:c r="I178" s="191"/>
      <x:c r="J178" s="191"/>
      <x:c r="K178" s="191"/>
      <x:c r="L178" s="198" t="str">
        <x:v>RHO</x:v>
      </x:c>
      <x:c r="M178" s="198" t="n">
        <x:v>8</x:v>
      </x:c>
      <x:c r="N178" s="198" t="str">
        <x:v>10Y</x:v>
      </x:c>
      <x:c r="O178" s="198" t="str">
        <x:v>2Y</x:v>
      </x:c>
      <x:c r="P178" s="266" t="n">
        <x:v>-0.006000000000000001</x:v>
      </x:c>
      <x:c r="Q178" s="201" t="n">
        <x:v>9100</x:v>
      </x:c>
      <x:c r="R178" s="267" t="n">
        <x:v>1000</x:v>
      </x:c>
      <x:c r="S178" s="254" t="n">
        <x:f>Q178*P178+0.5*R178*P178^2</x:f>
        <x:v>-54.58200000000001</x:v>
      </x:c>
      <x:c r="T178" s="191" t="str">
        <x:v>IR</x:v>
      </x:c>
      <x:c r="U178" s="191" t="str">
        <x:v>Illustrative surrogate only</x:v>
      </x:c>
      <x:c r="V178" s="191"/>
      <x:c r="W178" s="191"/>
      <x:c r="X178" s="191"/>
      <x:c r="Y178" s="191"/>
      <x:c r="Z178" s="191"/>
      <x:c r="AA178" s="191"/>
      <x:c r="AB178" s="191"/>
      <x:c r="AC178" s="191"/>
      <x:c r="AD178" s="191"/>
      <x:c r="AE178" s="191"/>
      <x:c r="AF178" s="191"/>
      <x:c r="AG178" s="191"/>
      <x:c r="AH178" s="191"/>
      <x:c r="AI178" s="191"/>
      <x:c r="AJ178" s="191"/>
      <x:c r="AK178" s="191"/>
    </x:row>
    <x:row r="179">
      <x:c r="A179" s="191"/>
      <x:c r="B179" s="191"/>
      <x:c r="C179" s="191"/>
      <x:c r="D179" s="191"/>
      <x:c r="E179" s="191"/>
      <x:c r="F179" s="191"/>
      <x:c r="G179" s="191"/>
      <x:c r="H179" s="191"/>
      <x:c r="I179" s="191"/>
      <x:c r="J179" s="191"/>
      <x:c r="K179" s="191"/>
      <x:c r="L179" s="198" t="str">
        <x:v>RHO</x:v>
      </x:c>
      <x:c r="M179" s="198" t="n">
        <x:v>8</x:v>
      </x:c>
      <x:c r="N179" s="198" t="str">
        <x:v>10Y</x:v>
      </x:c>
      <x:c r="O179" s="198" t="str">
        <x:v>3Y</x:v>
      </x:c>
      <x:c r="P179" s="266" t="n">
        <x:v>-0.007000000000000001</x:v>
      </x:c>
      <x:c r="Q179" s="201" t="n">
        <x:v>9200</x:v>
      </x:c>
      <x:c r="R179" s="267" t="n">
        <x:v>1000</x:v>
      </x:c>
      <x:c r="S179" s="254" t="n">
        <x:f>Q179*P179+0.5*R179*P179^2</x:f>
        <x:v>-64.3755</x:v>
      </x:c>
      <x:c r="T179" s="191" t="str">
        <x:v>IR</x:v>
      </x:c>
      <x:c r="U179" s="191" t="str">
        <x:v>Illustrative surrogate only</x:v>
      </x:c>
      <x:c r="V179" s="191"/>
      <x:c r="W179" s="191"/>
      <x:c r="X179" s="191"/>
      <x:c r="Y179" s="191"/>
      <x:c r="Z179" s="191"/>
      <x:c r="AA179" s="191"/>
      <x:c r="AB179" s="191"/>
      <x:c r="AC179" s="191"/>
      <x:c r="AD179" s="191"/>
      <x:c r="AE179" s="191"/>
      <x:c r="AF179" s="191"/>
      <x:c r="AG179" s="191"/>
      <x:c r="AH179" s="191"/>
      <x:c r="AI179" s="191"/>
      <x:c r="AJ179" s="191"/>
      <x:c r="AK179" s="191"/>
    </x:row>
    <x:row r="180">
      <x:c r="A180" s="191"/>
      <x:c r="B180" s="191"/>
      <x:c r="C180" s="191"/>
      <x:c r="D180" s="191"/>
      <x:c r="E180" s="191"/>
      <x:c r="F180" s="191"/>
      <x:c r="G180" s="191"/>
      <x:c r="H180" s="191"/>
      <x:c r="I180" s="191"/>
      <x:c r="J180" s="191"/>
      <x:c r="K180" s="191"/>
      <x:c r="L180" s="198" t="str">
        <x:v>RHO</x:v>
      </x:c>
      <x:c r="M180" s="198" t="n">
        <x:v>8</x:v>
      </x:c>
      <x:c r="N180" s="198" t="str">
        <x:v>10Y</x:v>
      </x:c>
      <x:c r="O180" s="198" t="str">
        <x:v>5Y</x:v>
      </x:c>
      <x:c r="P180" s="266" t="n">
        <x:v>-0.008</x:v>
      </x:c>
      <x:c r="Q180" s="201" t="n">
        <x:v>9300</x:v>
      </x:c>
      <x:c r="R180" s="267" t="n">
        <x:v>1000</x:v>
      </x:c>
      <x:c r="S180" s="254" t="n">
        <x:f>Q180*P180+0.5*R180*P180^2</x:f>
        <x:v>-74.36800000000001</x:v>
      </x:c>
      <x:c r="T180" s="191" t="str">
        <x:v>IR</x:v>
      </x:c>
      <x:c r="U180" s="191" t="str">
        <x:v>Illustrative surrogate only</x:v>
      </x:c>
      <x:c r="V180" s="191"/>
      <x:c r="W180" s="191"/>
      <x:c r="X180" s="191"/>
      <x:c r="Y180" s="191"/>
      <x:c r="Z180" s="191"/>
      <x:c r="AA180" s="191"/>
      <x:c r="AB180" s="191"/>
      <x:c r="AC180" s="191"/>
      <x:c r="AD180" s="191"/>
      <x:c r="AE180" s="191"/>
      <x:c r="AF180" s="191"/>
      <x:c r="AG180" s="191"/>
      <x:c r="AH180" s="191"/>
      <x:c r="AI180" s="191"/>
      <x:c r="AJ180" s="191"/>
      <x:c r="AK180" s="191"/>
    </x:row>
    <x:row r="181">
      <x:c r="A181" s="191"/>
      <x:c r="B181" s="191"/>
      <x:c r="C181" s="191"/>
      <x:c r="D181" s="191"/>
      <x:c r="E181" s="191"/>
      <x:c r="F181" s="191"/>
      <x:c r="G181" s="191"/>
      <x:c r="H181" s="191"/>
      <x:c r="I181" s="191"/>
      <x:c r="J181" s="191"/>
      <x:c r="K181" s="191"/>
      <x:c r="L181" s="198" t="str">
        <x:v>RHO</x:v>
      </x:c>
      <x:c r="M181" s="198" t="n">
        <x:v>8</x:v>
      </x:c>
      <x:c r="N181" s="198" t="str">
        <x:v>10Y</x:v>
      </x:c>
      <x:c r="O181" s="198" t="str">
        <x:v>10Y</x:v>
      </x:c>
      <x:c r="P181" s="266" t="n">
        <x:v>-0.009000000000000001</x:v>
      </x:c>
      <x:c r="Q181" s="201" t="n">
        <x:v>9400</x:v>
      </x:c>
      <x:c r="R181" s="267" t="n">
        <x:v>1000</x:v>
      </x:c>
      <x:c r="S181" s="254" t="n">
        <x:f>Q181*P181+0.5*R181*P181^2</x:f>
        <x:v>-84.55950000000001</x:v>
      </x:c>
      <x:c r="T181" s="191" t="str">
        <x:v>IR</x:v>
      </x:c>
      <x:c r="U181" s="191" t="str">
        <x:v>Illustrative surrogate only</x:v>
      </x:c>
      <x:c r="V181" s="191"/>
      <x:c r="W181" s="191"/>
      <x:c r="X181" s="191"/>
      <x:c r="Y181" s="191"/>
      <x:c r="Z181" s="191"/>
      <x:c r="AA181" s="191"/>
      <x:c r="AB181" s="191"/>
      <x:c r="AC181" s="191"/>
      <x:c r="AD181" s="191"/>
      <x:c r="AE181" s="191"/>
      <x:c r="AF181" s="191"/>
      <x:c r="AG181" s="191"/>
      <x:c r="AH181" s="191"/>
      <x:c r="AI181" s="191"/>
      <x:c r="AJ181" s="191"/>
      <x:c r="AK181" s="191"/>
    </x:row>
    <x:row r="182">
      <x:c r="A182" s="191"/>
      <x:c r="B182" s="191"/>
      <x:c r="C182" s="191"/>
      <x:c r="D182" s="191"/>
      <x:c r="E182" s="191"/>
      <x:c r="F182" s="191"/>
      <x:c r="G182" s="191"/>
      <x:c r="H182" s="191"/>
      <x:c r="I182" s="191"/>
      <x:c r="J182" s="191"/>
      <x:c r="K182" s="191"/>
      <x:c r="L182" s="198" t="str">
        <x:v>RHO</x:v>
      </x:c>
      <x:c r="M182" s="198" t="n">
        <x:v>8</x:v>
      </x:c>
      <x:c r="N182" s="198" t="str">
        <x:v>10Y</x:v>
      </x:c>
      <x:c r="O182" s="198" t="str">
        <x:v>20Y</x:v>
      </x:c>
      <x:c r="P182" s="266" t="n">
        <x:v>-0.010000000000000002</x:v>
      </x:c>
      <x:c r="Q182" s="201" t="n">
        <x:v>9500</x:v>
      </x:c>
      <x:c r="R182" s="267" t="n">
        <x:v>1000</x:v>
      </x:c>
      <x:c r="S182" s="254" t="n">
        <x:f>Q182*P182+0.5*R182*P182^2</x:f>
        <x:v>-94.95000000000002</x:v>
      </x:c>
      <x:c r="T182" s="191" t="str">
        <x:v>IR</x:v>
      </x:c>
      <x:c r="U182" s="191" t="str">
        <x:v>Illustrative surrogate only</x:v>
      </x:c>
      <x:c r="V182" s="191"/>
      <x:c r="W182" s="191"/>
      <x:c r="X182" s="191"/>
      <x:c r="Y182" s="191"/>
      <x:c r="Z182" s="191"/>
      <x:c r="AA182" s="191"/>
      <x:c r="AB182" s="191"/>
      <x:c r="AC182" s="191"/>
      <x:c r="AD182" s="191"/>
      <x:c r="AE182" s="191"/>
      <x:c r="AF182" s="191"/>
      <x:c r="AG182" s="191"/>
      <x:c r="AH182" s="191"/>
      <x:c r="AI182" s="191"/>
      <x:c r="AJ182" s="191"/>
      <x:c r="AK182" s="191"/>
    </x:row>
    <x:row r="183">
      <x:c r="A183" s="191"/>
      <x:c r="B183" s="191"/>
      <x:c r="C183" s="191"/>
      <x:c r="D183" s="191"/>
      <x:c r="E183" s="191"/>
      <x:c r="F183" s="191"/>
      <x:c r="G183" s="191"/>
      <x:c r="H183" s="191"/>
      <x:c r="I183" s="191"/>
      <x:c r="J183" s="191"/>
      <x:c r="K183" s="191"/>
      <x:c r="L183" s="198" t="str">
        <x:v>RHO</x:v>
      </x:c>
      <x:c r="M183" s="198" t="n">
        <x:v>8</x:v>
      </x:c>
      <x:c r="N183" s="198" t="str">
        <x:v>10Y</x:v>
      </x:c>
      <x:c r="O183" s="198" t="str">
        <x:v>30Y</x:v>
      </x:c>
      <x:c r="P183" s="266" t="n">
        <x:v>-0.011000000000000001</x:v>
      </x:c>
      <x:c r="Q183" s="201" t="n">
        <x:v>9600</x:v>
      </x:c>
      <x:c r="R183" s="267" t="n">
        <x:v>1000</x:v>
      </x:c>
      <x:c r="S183" s="254" t="n">
        <x:f>Q183*P183+0.5*R183*P183^2</x:f>
        <x:v>-105.5395</x:v>
      </x:c>
      <x:c r="T183" s="191" t="str">
        <x:v>IR</x:v>
      </x:c>
      <x:c r="U183" s="191" t="str">
        <x:v>Illustrative surrogate only</x:v>
      </x:c>
      <x:c r="V183" s="191"/>
      <x:c r="W183" s="191"/>
      <x:c r="X183" s="191"/>
      <x:c r="Y183" s="191"/>
      <x:c r="Z183" s="191"/>
      <x:c r="AA183" s="191"/>
      <x:c r="AB183" s="191"/>
      <x:c r="AC183" s="191"/>
      <x:c r="AD183" s="191"/>
      <x:c r="AE183" s="191"/>
      <x:c r="AF183" s="191"/>
      <x:c r="AG183" s="191"/>
      <x:c r="AH183" s="191"/>
      <x:c r="AI183" s="191"/>
      <x:c r="AJ183" s="191"/>
      <x:c r="AK183" s="191"/>
    </x:row>
    <x:row r="184">
      <x:c r="A184" s="191"/>
      <x:c r="B184" s="191"/>
      <x:c r="C184" s="191"/>
      <x:c r="D184" s="191"/>
      <x:c r="E184" s="191"/>
      <x:c r="F184" s="191"/>
      <x:c r="G184" s="191"/>
      <x:c r="H184" s="191"/>
      <x:c r="I184" s="191"/>
      <x:c r="J184" s="191"/>
      <x:c r="K184" s="191"/>
      <x:c r="L184" s="198" t="str">
        <x:v>RHO</x:v>
      </x:c>
      <x:c r="M184" s="198" t="n">
        <x:v>9</x:v>
      </x:c>
      <x:c r="N184" s="198" t="str">
        <x:v>20Y</x:v>
      </x:c>
      <x:c r="O184" s="198" t="str">
        <x:v>1M</x:v>
      </x:c>
      <x:c r="P184" s="266" t="n">
        <x:v>0.0009999999999999983</x:v>
      </x:c>
      <x:c r="Q184" s="201" t="n">
        <x:v>8900</x:v>
      </x:c>
      <x:c r="R184" s="267" t="n">
        <x:v>1000</x:v>
      </x:c>
      <x:c r="S184" s="254" t="n">
        <x:f>Q184*P184+0.5*R184*P184^2</x:f>
        <x:v>8.900499999999985</x:v>
      </x:c>
      <x:c r="T184" s="191" t="str">
        <x:v>IR</x:v>
      </x:c>
      <x:c r="U184" s="191" t="str">
        <x:v>Illustrative surrogate only</x:v>
      </x:c>
      <x:c r="V184" s="191"/>
      <x:c r="W184" s="191"/>
      <x:c r="X184" s="191"/>
      <x:c r="Y184" s="191"/>
      <x:c r="Z184" s="191"/>
      <x:c r="AA184" s="191"/>
      <x:c r="AB184" s="191"/>
      <x:c r="AC184" s="191"/>
      <x:c r="AD184" s="191"/>
      <x:c r="AE184" s="191"/>
      <x:c r="AF184" s="191"/>
      <x:c r="AG184" s="191"/>
      <x:c r="AH184" s="191"/>
      <x:c r="AI184" s="191"/>
      <x:c r="AJ184" s="191"/>
      <x:c r="AK184" s="191"/>
    </x:row>
    <x:row r="185">
      <x:c r="A185" s="191"/>
      <x:c r="B185" s="191"/>
      <x:c r="C185" s="191"/>
      <x:c r="D185" s="191"/>
      <x:c r="E185" s="191"/>
      <x:c r="F185" s="191"/>
      <x:c r="G185" s="191"/>
      <x:c r="H185" s="191"/>
      <x:c r="I185" s="191"/>
      <x:c r="J185" s="191"/>
      <x:c r="K185" s="191"/>
      <x:c r="L185" s="198" t="str">
        <x:v>RHO</x:v>
      </x:c>
      <x:c r="M185" s="198" t="n">
        <x:v>9</x:v>
      </x:c>
      <x:c r="N185" s="198" t="str">
        <x:v>20Y</x:v>
      </x:c>
      <x:c r="O185" s="198" t="str">
        <x:v>3M</x:v>
      </x:c>
      <x:c r="P185" s="266" t="n">
        <x:v>-1.734723475976807e-18</x:v>
      </x:c>
      <x:c r="Q185" s="201" t="n">
        <x:v>9000</x:v>
      </x:c>
      <x:c r="R185" s="267" t="n">
        <x:v>1000</x:v>
      </x:c>
      <x:c r="S185" s="254" t="n">
        <x:f>Q185*P185+0.5*R185*P185^2</x:f>
        <x:v>-1.5612511283791264e-14</x:v>
      </x:c>
      <x:c r="T185" s="191" t="str">
        <x:v>IR</x:v>
      </x:c>
      <x:c r="U185" s="191" t="str">
        <x:v>Illustrative surrogate only</x:v>
      </x:c>
      <x:c r="V185" s="191"/>
      <x:c r="W185" s="191"/>
      <x:c r="X185" s="191"/>
      <x:c r="Y185" s="191"/>
      <x:c r="Z185" s="191"/>
      <x:c r="AA185" s="191"/>
      <x:c r="AB185" s="191"/>
      <x:c r="AC185" s="191"/>
      <x:c r="AD185" s="191"/>
      <x:c r="AE185" s="191"/>
      <x:c r="AF185" s="191"/>
      <x:c r="AG185" s="191"/>
      <x:c r="AH185" s="191"/>
      <x:c r="AI185" s="191"/>
      <x:c r="AJ185" s="191"/>
      <x:c r="AK185" s="191"/>
    </x:row>
    <x:row r="186">
      <x:c r="A186" s="191"/>
      <x:c r="B186" s="191"/>
      <x:c r="C186" s="191"/>
      <x:c r="D186" s="191"/>
      <x:c r="E186" s="191"/>
      <x:c r="F186" s="191"/>
      <x:c r="G186" s="191"/>
      <x:c r="H186" s="191"/>
      <x:c r="I186" s="191"/>
      <x:c r="J186" s="191"/>
      <x:c r="K186" s="191"/>
      <x:c r="L186" s="198" t="str">
        <x:v>RHO</x:v>
      </x:c>
      <x:c r="M186" s="198" t="n">
        <x:v>9</x:v>
      </x:c>
      <x:c r="N186" s="198" t="str">
        <x:v>20Y</x:v>
      </x:c>
      <x:c r="O186" s="198" t="str">
        <x:v>6M</x:v>
      </x:c>
      <x:c r="P186" s="266" t="n">
        <x:v>-0.0010000000000000018</x:v>
      </x:c>
      <x:c r="Q186" s="201" t="n">
        <x:v>9100</x:v>
      </x:c>
      <x:c r="R186" s="267" t="n">
        <x:v>1000</x:v>
      </x:c>
      <x:c r="S186" s="254" t="n">
        <x:f>Q186*P186+0.5*R186*P186^2</x:f>
        <x:v>-9.099500000000015</x:v>
      </x:c>
      <x:c r="T186" s="191" t="str">
        <x:v>IR</x:v>
      </x:c>
      <x:c r="U186" s="191" t="str">
        <x:v>Illustrative surrogate only</x:v>
      </x:c>
      <x:c r="V186" s="191"/>
      <x:c r="W186" s="191"/>
      <x:c r="X186" s="191"/>
      <x:c r="Y186" s="191"/>
      <x:c r="Z186" s="191"/>
      <x:c r="AA186" s="191"/>
      <x:c r="AB186" s="191"/>
      <x:c r="AC186" s="191"/>
      <x:c r="AD186" s="191"/>
      <x:c r="AE186" s="191"/>
      <x:c r="AF186" s="191"/>
      <x:c r="AG186" s="191"/>
      <x:c r="AH186" s="191"/>
      <x:c r="AI186" s="191"/>
      <x:c r="AJ186" s="191"/>
      <x:c r="AK186" s="191"/>
    </x:row>
    <x:row r="187">
      <x:c r="A187" s="191"/>
      <x:c r="B187" s="191"/>
      <x:c r="C187" s="191"/>
      <x:c r="D187" s="191"/>
      <x:c r="E187" s="191"/>
      <x:c r="F187" s="191"/>
      <x:c r="G187" s="191"/>
      <x:c r="H187" s="191"/>
      <x:c r="I187" s="191"/>
      <x:c r="J187" s="191"/>
      <x:c r="K187" s="191"/>
      <x:c r="L187" s="198" t="str">
        <x:v>RHO</x:v>
      </x:c>
      <x:c r="M187" s="198" t="n">
        <x:v>9</x:v>
      </x:c>
      <x:c r="N187" s="198" t="str">
        <x:v>20Y</x:v>
      </x:c>
      <x:c r="O187" s="198" t="str">
        <x:v>1Y</x:v>
      </x:c>
      <x:c r="P187" s="266" t="n">
        <x:v>-0.0020000000000000018</x:v>
      </x:c>
      <x:c r="Q187" s="201" t="n">
        <x:v>9200</x:v>
      </x:c>
      <x:c r="R187" s="267" t="n">
        <x:v>1000</x:v>
      </x:c>
      <x:c r="S187" s="254" t="n">
        <x:f>Q187*P187+0.5*R187*P187^2</x:f>
        <x:v>-18.398000000000017</x:v>
      </x:c>
      <x:c r="T187" s="191" t="str">
        <x:v>IR</x:v>
      </x:c>
      <x:c r="U187" s="191" t="str">
        <x:v>Illustrative surrogate only</x:v>
      </x:c>
      <x:c r="V187" s="191"/>
      <x:c r="W187" s="191"/>
      <x:c r="X187" s="191"/>
      <x:c r="Y187" s="191"/>
      <x:c r="Z187" s="191"/>
      <x:c r="AA187" s="191"/>
      <x:c r="AB187" s="191"/>
      <x:c r="AC187" s="191"/>
      <x:c r="AD187" s="191"/>
      <x:c r="AE187" s="191"/>
      <x:c r="AF187" s="191"/>
      <x:c r="AG187" s="191"/>
      <x:c r="AH187" s="191"/>
      <x:c r="AI187" s="191"/>
      <x:c r="AJ187" s="191"/>
      <x:c r="AK187" s="191"/>
    </x:row>
    <x:row r="188">
      <x:c r="A188" s="191"/>
      <x:c r="B188" s="191"/>
      <x:c r="C188" s="191"/>
      <x:c r="D188" s="191"/>
      <x:c r="E188" s="191"/>
      <x:c r="F188" s="191"/>
      <x:c r="G188" s="191"/>
      <x:c r="H188" s="191"/>
      <x:c r="I188" s="191"/>
      <x:c r="J188" s="191"/>
      <x:c r="K188" s="191"/>
      <x:c r="L188" s="198" t="str">
        <x:v>RHO</x:v>
      </x:c>
      <x:c r="M188" s="198" t="n">
        <x:v>9</x:v>
      </x:c>
      <x:c r="N188" s="198" t="str">
        <x:v>20Y</x:v>
      </x:c>
      <x:c r="O188" s="198" t="str">
        <x:v>2Y</x:v>
      </x:c>
      <x:c r="P188" s="266" t="n">
        <x:v>-0.003000000000000002</x:v>
      </x:c>
      <x:c r="Q188" s="201" t="n">
        <x:v>9300</x:v>
      </x:c>
      <x:c r="R188" s="267" t="n">
        <x:v>1000</x:v>
      </x:c>
      <x:c r="S188" s="254" t="n">
        <x:f>Q188*P188+0.5*R188*P188^2</x:f>
        <x:v>-27.895500000000016</x:v>
      </x:c>
      <x:c r="T188" s="191" t="str">
        <x:v>IR</x:v>
      </x:c>
      <x:c r="U188" s="191" t="str">
        <x:v>Illustrative surrogate only</x:v>
      </x:c>
      <x:c r="V188" s="191"/>
      <x:c r="W188" s="191"/>
      <x:c r="X188" s="191"/>
      <x:c r="Y188" s="191"/>
      <x:c r="Z188" s="191"/>
      <x:c r="AA188" s="191"/>
      <x:c r="AB188" s="191"/>
      <x:c r="AC188" s="191"/>
      <x:c r="AD188" s="191"/>
      <x:c r="AE188" s="191"/>
      <x:c r="AF188" s="191"/>
      <x:c r="AG188" s="191"/>
      <x:c r="AH188" s="191"/>
      <x:c r="AI188" s="191"/>
      <x:c r="AJ188" s="191"/>
      <x:c r="AK188" s="191"/>
    </x:row>
    <x:row r="189">
      <x:c r="A189" s="191"/>
      <x:c r="B189" s="191"/>
      <x:c r="C189" s="191"/>
      <x:c r="D189" s="191"/>
      <x:c r="E189" s="191"/>
      <x:c r="F189" s="191"/>
      <x:c r="G189" s="191"/>
      <x:c r="H189" s="191"/>
      <x:c r="I189" s="191"/>
      <x:c r="J189" s="191"/>
      <x:c r="K189" s="191"/>
      <x:c r="L189" s="198" t="str">
        <x:v>RHO</x:v>
      </x:c>
      <x:c r="M189" s="198" t="n">
        <x:v>9</x:v>
      </x:c>
      <x:c r="N189" s="198" t="str">
        <x:v>20Y</x:v>
      </x:c>
      <x:c r="O189" s="198" t="str">
        <x:v>3Y</x:v>
      </x:c>
      <x:c r="P189" s="266" t="n">
        <x:v>-0.004000000000000002</x:v>
      </x:c>
      <x:c r="Q189" s="201" t="n">
        <x:v>9400</x:v>
      </x:c>
      <x:c r="R189" s="267" t="n">
        <x:v>1000</x:v>
      </x:c>
      <x:c r="S189" s="254" t="n">
        <x:f>Q189*P189+0.5*R189*P189^2</x:f>
        <x:v>-37.59200000000001</x:v>
      </x:c>
      <x:c r="T189" s="191" t="str">
        <x:v>IR</x:v>
      </x:c>
      <x:c r="U189" s="191" t="str">
        <x:v>Illustrative surrogate only</x:v>
      </x:c>
      <x:c r="V189" s="191"/>
      <x:c r="W189" s="191"/>
      <x:c r="X189" s="191"/>
      <x:c r="Y189" s="191"/>
      <x:c r="Z189" s="191"/>
      <x:c r="AA189" s="191"/>
      <x:c r="AB189" s="191"/>
      <x:c r="AC189" s="191"/>
      <x:c r="AD189" s="191"/>
      <x:c r="AE189" s="191"/>
      <x:c r="AF189" s="191"/>
      <x:c r="AG189" s="191"/>
      <x:c r="AH189" s="191"/>
      <x:c r="AI189" s="191"/>
      <x:c r="AJ189" s="191"/>
      <x:c r="AK189" s="191"/>
    </x:row>
    <x:row r="190">
      <x:c r="A190" s="191"/>
      <x:c r="B190" s="191"/>
      <x:c r="C190" s="191"/>
      <x:c r="D190" s="191"/>
      <x:c r="E190" s="191"/>
      <x:c r="F190" s="191"/>
      <x:c r="G190" s="191"/>
      <x:c r="H190" s="191"/>
      <x:c r="I190" s="191"/>
      <x:c r="J190" s="191"/>
      <x:c r="K190" s="191"/>
      <x:c r="L190" s="198" t="str">
        <x:v>RHO</x:v>
      </x:c>
      <x:c r="M190" s="198" t="n">
        <x:v>9</x:v>
      </x:c>
      <x:c r="N190" s="198" t="str">
        <x:v>20Y</x:v>
      </x:c>
      <x:c r="O190" s="198" t="str">
        <x:v>5Y</x:v>
      </x:c>
      <x:c r="P190" s="266" t="n">
        <x:v>-0.005000000000000002</x:v>
      </x:c>
      <x:c r="Q190" s="201" t="n">
        <x:v>9500</x:v>
      </x:c>
      <x:c r="R190" s="267" t="n">
        <x:v>1000</x:v>
      </x:c>
      <x:c r="S190" s="254" t="n">
        <x:f>Q190*P190+0.5*R190*P190^2</x:f>
        <x:v>-47.48750000000001</x:v>
      </x:c>
      <x:c r="T190" s="191" t="str">
        <x:v>IR</x:v>
      </x:c>
      <x:c r="U190" s="191" t="str">
        <x:v>Illustrative surrogate only</x:v>
      </x:c>
      <x:c r="V190" s="191"/>
      <x:c r="W190" s="191"/>
      <x:c r="X190" s="191"/>
      <x:c r="Y190" s="191"/>
      <x:c r="Z190" s="191"/>
      <x:c r="AA190" s="191"/>
      <x:c r="AB190" s="191"/>
      <x:c r="AC190" s="191"/>
      <x:c r="AD190" s="191"/>
      <x:c r="AE190" s="191"/>
      <x:c r="AF190" s="191"/>
      <x:c r="AG190" s="191"/>
      <x:c r="AH190" s="191"/>
      <x:c r="AI190" s="191"/>
      <x:c r="AJ190" s="191"/>
      <x:c r="AK190" s="191"/>
    </x:row>
    <x:row r="191">
      <x:c r="A191" s="191"/>
      <x:c r="B191" s="191"/>
      <x:c r="C191" s="191"/>
      <x:c r="D191" s="191"/>
      <x:c r="E191" s="191"/>
      <x:c r="F191" s="191"/>
      <x:c r="G191" s="191"/>
      <x:c r="H191" s="191"/>
      <x:c r="I191" s="191"/>
      <x:c r="J191" s="191"/>
      <x:c r="K191" s="191"/>
      <x:c r="L191" s="198" t="str">
        <x:v>RHO</x:v>
      </x:c>
      <x:c r="M191" s="198" t="n">
        <x:v>9</x:v>
      </x:c>
      <x:c r="N191" s="198" t="str">
        <x:v>20Y</x:v>
      </x:c>
      <x:c r="O191" s="198" t="str">
        <x:v>10Y</x:v>
      </x:c>
      <x:c r="P191" s="266" t="n">
        <x:v>-0.006000000000000002</x:v>
      </x:c>
      <x:c r="Q191" s="201" t="n">
        <x:v>9600</x:v>
      </x:c>
      <x:c r="R191" s="267" t="n">
        <x:v>1000</x:v>
      </x:c>
      <x:c r="S191" s="254" t="n">
        <x:f>Q191*P191+0.5*R191*P191^2</x:f>
        <x:v>-57.582000000000015</x:v>
      </x:c>
      <x:c r="T191" s="191" t="str">
        <x:v>IR</x:v>
      </x:c>
      <x:c r="U191" s="191" t="str">
        <x:v>Illustrative surrogate only</x:v>
      </x:c>
      <x:c r="V191" s="191"/>
      <x:c r="W191" s="191"/>
      <x:c r="X191" s="191"/>
      <x:c r="Y191" s="191"/>
      <x:c r="Z191" s="191"/>
      <x:c r="AA191" s="191"/>
      <x:c r="AB191" s="191"/>
      <x:c r="AC191" s="191"/>
      <x:c r="AD191" s="191"/>
      <x:c r="AE191" s="191"/>
      <x:c r="AF191" s="191"/>
      <x:c r="AG191" s="191"/>
      <x:c r="AH191" s="191"/>
      <x:c r="AI191" s="191"/>
      <x:c r="AJ191" s="191"/>
      <x:c r="AK191" s="191"/>
    </x:row>
    <x:row r="192">
      <x:c r="A192" s="191"/>
      <x:c r="B192" s="191"/>
      <x:c r="C192" s="191"/>
      <x:c r="D192" s="191"/>
      <x:c r="E192" s="191"/>
      <x:c r="F192" s="191"/>
      <x:c r="G192" s="191"/>
      <x:c r="H192" s="191"/>
      <x:c r="I192" s="191"/>
      <x:c r="J192" s="191"/>
      <x:c r="K192" s="191"/>
      <x:c r="L192" s="198" t="str">
        <x:v>RHO</x:v>
      </x:c>
      <x:c r="M192" s="198" t="n">
        <x:v>9</x:v>
      </x:c>
      <x:c r="N192" s="198" t="str">
        <x:v>20Y</x:v>
      </x:c>
      <x:c r="O192" s="198" t="str">
        <x:v>20Y</x:v>
      </x:c>
      <x:c r="P192" s="266" t="n">
        <x:v>-0.007000000000000003</x:v>
      </x:c>
      <x:c r="Q192" s="201" t="n">
        <x:v>9700</x:v>
      </x:c>
      <x:c r="R192" s="267" t="n">
        <x:v>1000</x:v>
      </x:c>
      <x:c r="S192" s="254" t="n">
        <x:f>Q192*P192+0.5*R192*P192^2</x:f>
        <x:v>-67.87550000000002</x:v>
      </x:c>
      <x:c r="T192" s="191" t="str">
        <x:v>IR</x:v>
      </x:c>
      <x:c r="U192" s="191" t="str">
        <x:v>Illustrative surrogate only</x:v>
      </x:c>
      <x:c r="V192" s="191"/>
      <x:c r="W192" s="191"/>
      <x:c r="X192" s="191"/>
      <x:c r="Y192" s="191"/>
      <x:c r="Z192" s="191"/>
      <x:c r="AA192" s="191"/>
      <x:c r="AB192" s="191"/>
      <x:c r="AC192" s="191"/>
      <x:c r="AD192" s="191"/>
      <x:c r="AE192" s="191"/>
      <x:c r="AF192" s="191"/>
      <x:c r="AG192" s="191"/>
      <x:c r="AH192" s="191"/>
      <x:c r="AI192" s="191"/>
      <x:c r="AJ192" s="191"/>
      <x:c r="AK192" s="191"/>
    </x:row>
    <x:row r="193">
      <x:c r="A193" s="191"/>
      <x:c r="B193" s="191"/>
      <x:c r="C193" s="191"/>
      <x:c r="D193" s="191"/>
      <x:c r="E193" s="191"/>
      <x:c r="F193" s="191"/>
      <x:c r="G193" s="191"/>
      <x:c r="H193" s="191"/>
      <x:c r="I193" s="191"/>
      <x:c r="J193" s="191"/>
      <x:c r="K193" s="191"/>
      <x:c r="L193" s="198" t="str">
        <x:v>RHO</x:v>
      </x:c>
      <x:c r="M193" s="198" t="n">
        <x:v>9</x:v>
      </x:c>
      <x:c r="N193" s="198" t="str">
        <x:v>20Y</x:v>
      </x:c>
      <x:c r="O193" s="198" t="str">
        <x:v>30Y</x:v>
      </x:c>
      <x:c r="P193" s="266" t="n">
        <x:v>-0.008000000000000002</x:v>
      </x:c>
      <x:c r="Q193" s="201" t="n">
        <x:v>9800</x:v>
      </x:c>
      <x:c r="R193" s="267" t="n">
        <x:v>1000</x:v>
      </x:c>
      <x:c r="S193" s="254" t="n">
        <x:f>Q193*P193+0.5*R193*P193^2</x:f>
        <x:v>-78.36800000000002</x:v>
      </x:c>
      <x:c r="T193" s="191" t="str">
        <x:v>IR</x:v>
      </x:c>
      <x:c r="U193" s="191" t="str">
        <x:v>Illustrative surrogate only</x:v>
      </x:c>
      <x:c r="V193" s="191"/>
      <x:c r="W193" s="191"/>
      <x:c r="X193" s="191"/>
      <x:c r="Y193" s="191"/>
      <x:c r="Z193" s="191"/>
      <x:c r="AA193" s="191"/>
      <x:c r="AB193" s="191"/>
      <x:c r="AC193" s="191"/>
      <x:c r="AD193" s="191"/>
      <x:c r="AE193" s="191"/>
      <x:c r="AF193" s="191"/>
      <x:c r="AG193" s="191"/>
      <x:c r="AH193" s="191"/>
      <x:c r="AI193" s="191"/>
      <x:c r="AJ193" s="191"/>
      <x:c r="AK193" s="191"/>
    </x:row>
    <x:row r="194">
      <x:c r="A194" s="191"/>
      <x:c r="B194" s="191"/>
      <x:c r="C194" s="191"/>
      <x:c r="D194" s="191"/>
      <x:c r="E194" s="191"/>
      <x:c r="F194" s="191"/>
      <x:c r="G194" s="191"/>
      <x:c r="H194" s="191"/>
      <x:c r="I194" s="191"/>
      <x:c r="J194" s="191"/>
      <x:c r="K194" s="191"/>
      <x:c r="L194" s="198" t="str">
        <x:v>RHO</x:v>
      </x:c>
      <x:c r="M194" s="198" t="n">
        <x:v>10</x:v>
      </x:c>
      <x:c r="N194" s="198" t="str">
        <x:v>30Y</x:v>
      </x:c>
      <x:c r="O194" s="198" t="str">
        <x:v>1M</x:v>
      </x:c>
      <x:c r="P194" s="266" t="n">
        <x:v>0.0039999999999999975</x:v>
      </x:c>
      <x:c r="Q194" s="201" t="n">
        <x:v>9100</x:v>
      </x:c>
      <x:c r="R194" s="267" t="n">
        <x:v>1000</x:v>
      </x:c>
      <x:c r="S194" s="254" t="n">
        <x:f>Q194*P194+0.5*R194*P194^2</x:f>
        <x:v>36.40799999999998</x:v>
      </x:c>
      <x:c r="T194" s="191" t="str">
        <x:v>IR</x:v>
      </x:c>
      <x:c r="U194" s="191" t="str">
        <x:v>Illustrative surrogate only</x:v>
      </x:c>
      <x:c r="V194" s="191"/>
      <x:c r="W194" s="191"/>
      <x:c r="X194" s="191"/>
      <x:c r="Y194" s="191"/>
      <x:c r="Z194" s="191"/>
      <x:c r="AA194" s="191"/>
      <x:c r="AB194" s="191"/>
      <x:c r="AC194" s="191"/>
      <x:c r="AD194" s="191"/>
      <x:c r="AE194" s="191"/>
      <x:c r="AF194" s="191"/>
      <x:c r="AG194" s="191"/>
      <x:c r="AH194" s="191"/>
      <x:c r="AI194" s="191"/>
      <x:c r="AJ194" s="191"/>
      <x:c r="AK194" s="191"/>
    </x:row>
    <x:row r="195">
      <x:c r="A195" s="191"/>
      <x:c r="B195" s="191"/>
      <x:c r="C195" s="191"/>
      <x:c r="D195" s="191"/>
      <x:c r="E195" s="191"/>
      <x:c r="F195" s="191"/>
      <x:c r="G195" s="191"/>
      <x:c r="H195" s="191"/>
      <x:c r="I195" s="191"/>
      <x:c r="J195" s="191"/>
      <x:c r="K195" s="191"/>
      <x:c r="L195" s="198" t="str">
        <x:v>RHO</x:v>
      </x:c>
      <x:c r="M195" s="198" t="n">
        <x:v>10</x:v>
      </x:c>
      <x:c r="N195" s="198" t="str">
        <x:v>30Y</x:v>
      </x:c>
      <x:c r="O195" s="198" t="str">
        <x:v>3M</x:v>
      </x:c>
      <x:c r="P195" s="266" t="n">
        <x:v>0.0029999999999999975</x:v>
      </x:c>
      <x:c r="Q195" s="201" t="n">
        <x:v>9200</x:v>
      </x:c>
      <x:c r="R195" s="267" t="n">
        <x:v>1000</x:v>
      </x:c>
      <x:c r="S195" s="254" t="n">
        <x:f>Q195*P195+0.5*R195*P195^2</x:f>
        <x:v>27.604499999999977</x:v>
      </x:c>
      <x:c r="T195" s="191" t="str">
        <x:v>IR</x:v>
      </x:c>
      <x:c r="U195" s="191" t="str">
        <x:v>Illustrative surrogate only</x:v>
      </x:c>
      <x:c r="V195" s="191"/>
      <x:c r="W195" s="191"/>
      <x:c r="X195" s="191"/>
      <x:c r="Y195" s="191"/>
      <x:c r="Z195" s="191"/>
      <x:c r="AA195" s="191"/>
      <x:c r="AB195" s="191"/>
      <x:c r="AC195" s="191"/>
      <x:c r="AD195" s="191"/>
      <x:c r="AE195" s="191"/>
      <x:c r="AF195" s="191"/>
      <x:c r="AG195" s="191"/>
      <x:c r="AH195" s="191"/>
      <x:c r="AI195" s="191"/>
      <x:c r="AJ195" s="191"/>
      <x:c r="AK195" s="191"/>
    </x:row>
    <x:row r="196">
      <x:c r="A196" s="191"/>
      <x:c r="B196" s="191"/>
      <x:c r="C196" s="191"/>
      <x:c r="D196" s="191"/>
      <x:c r="E196" s="191"/>
      <x:c r="F196" s="191"/>
      <x:c r="G196" s="191"/>
      <x:c r="H196" s="191"/>
      <x:c r="I196" s="191"/>
      <x:c r="J196" s="191"/>
      <x:c r="K196" s="191"/>
      <x:c r="L196" s="198" t="str">
        <x:v>RHO</x:v>
      </x:c>
      <x:c r="M196" s="198" t="n">
        <x:v>10</x:v>
      </x:c>
      <x:c r="N196" s="198" t="str">
        <x:v>30Y</x:v>
      </x:c>
      <x:c r="O196" s="198" t="str">
        <x:v>6M</x:v>
      </x:c>
      <x:c r="P196" s="266" t="n">
        <x:v>0.0019999999999999974</x:v>
      </x:c>
      <x:c r="Q196" s="201" t="n">
        <x:v>9300</x:v>
      </x:c>
      <x:c r="R196" s="267" t="n">
        <x:v>1000</x:v>
      </x:c>
      <x:c r="S196" s="254" t="n">
        <x:f>Q196*P196+0.5*R196*P196^2</x:f>
        <x:v>18.601999999999975</x:v>
      </x:c>
      <x:c r="T196" s="191" t="str">
        <x:v>IR</x:v>
      </x:c>
      <x:c r="U196" s="191" t="str">
        <x:v>Illustrative surrogate only</x:v>
      </x:c>
      <x:c r="V196" s="191"/>
      <x:c r="W196" s="191"/>
      <x:c r="X196" s="191"/>
      <x:c r="Y196" s="191"/>
      <x:c r="Z196" s="191"/>
      <x:c r="AA196" s="191"/>
      <x:c r="AB196" s="191"/>
      <x:c r="AC196" s="191"/>
      <x:c r="AD196" s="191"/>
      <x:c r="AE196" s="191"/>
      <x:c r="AF196" s="191"/>
      <x:c r="AG196" s="191"/>
      <x:c r="AH196" s="191"/>
      <x:c r="AI196" s="191"/>
      <x:c r="AJ196" s="191"/>
      <x:c r="AK196" s="191"/>
    </x:row>
    <x:row r="197">
      <x:c r="A197" s="191"/>
      <x:c r="B197" s="191"/>
      <x:c r="C197" s="191"/>
      <x:c r="D197" s="191"/>
      <x:c r="E197" s="191"/>
      <x:c r="F197" s="191"/>
      <x:c r="G197" s="191"/>
      <x:c r="H197" s="191"/>
      <x:c r="I197" s="191"/>
      <x:c r="J197" s="191"/>
      <x:c r="K197" s="191"/>
      <x:c r="L197" s="198" t="str">
        <x:v>RHO</x:v>
      </x:c>
      <x:c r="M197" s="198" t="n">
        <x:v>10</x:v>
      </x:c>
      <x:c r="N197" s="198" t="str">
        <x:v>30Y</x:v>
      </x:c>
      <x:c r="O197" s="198" t="str">
        <x:v>1Y</x:v>
      </x:c>
      <x:c r="P197" s="266" t="n">
        <x:v>0.0009999999999999974</x:v>
      </x:c>
      <x:c r="Q197" s="201" t="n">
        <x:v>9400</x:v>
      </x:c>
      <x:c r="R197" s="267" t="n">
        <x:v>1000</x:v>
      </x:c>
      <x:c r="S197" s="254" t="n">
        <x:f>Q197*P197+0.5*R197*P197^2</x:f>
        <x:v>9.400499999999976</x:v>
      </x:c>
      <x:c r="T197" s="191" t="str">
        <x:v>IR</x:v>
      </x:c>
      <x:c r="U197" s="191" t="str">
        <x:v>Illustrative surrogate only</x:v>
      </x:c>
      <x:c r="V197" s="191"/>
      <x:c r="W197" s="191"/>
      <x:c r="X197" s="191"/>
      <x:c r="Y197" s="191"/>
      <x:c r="Z197" s="191"/>
      <x:c r="AA197" s="191"/>
      <x:c r="AB197" s="191"/>
      <x:c r="AC197" s="191"/>
      <x:c r="AD197" s="191"/>
      <x:c r="AE197" s="191"/>
      <x:c r="AF197" s="191"/>
      <x:c r="AG197" s="191"/>
      <x:c r="AH197" s="191"/>
      <x:c r="AI197" s="191"/>
      <x:c r="AJ197" s="191"/>
      <x:c r="AK197" s="191"/>
    </x:row>
    <x:row r="198">
      <x:c r="A198" s="191"/>
      <x:c r="B198" s="191"/>
      <x:c r="C198" s="191"/>
      <x:c r="D198" s="191"/>
      <x:c r="E198" s="191"/>
      <x:c r="F198" s="191"/>
      <x:c r="G198" s="191"/>
      <x:c r="H198" s="191"/>
      <x:c r="I198" s="191"/>
      <x:c r="J198" s="191"/>
      <x:c r="K198" s="191"/>
      <x:c r="L198" s="198" t="str">
        <x:v>RHO</x:v>
      </x:c>
      <x:c r="M198" s="198" t="n">
        <x:v>10</x:v>
      </x:c>
      <x:c r="N198" s="198" t="str">
        <x:v>30Y</x:v>
      </x:c>
      <x:c r="O198" s="198" t="str">
        <x:v>2Y</x:v>
      </x:c>
      <x:c r="P198" s="266" t="n">
        <x:v>-2.6020852139652106e-18</x:v>
      </x:c>
      <x:c r="Q198" s="201" t="n">
        <x:v>9500</x:v>
      </x:c>
      <x:c r="R198" s="267" t="n">
        <x:v>1000</x:v>
      </x:c>
      <x:c r="S198" s="254" t="n">
        <x:f>Q198*P198+0.5*R198*P198^2</x:f>
        <x:v>-2.47198095326695e-14</x:v>
      </x:c>
      <x:c r="T198" s="191" t="str">
        <x:v>IR</x:v>
      </x:c>
      <x:c r="U198" s="191" t="str">
        <x:v>Illustrative surrogate only</x:v>
      </x:c>
      <x:c r="V198" s="191"/>
      <x:c r="W198" s="191"/>
      <x:c r="X198" s="191"/>
      <x:c r="Y198" s="191"/>
      <x:c r="Z198" s="191"/>
      <x:c r="AA198" s="191"/>
      <x:c r="AB198" s="191"/>
      <x:c r="AC198" s="191"/>
      <x:c r="AD198" s="191"/>
      <x:c r="AE198" s="191"/>
      <x:c r="AF198" s="191"/>
      <x:c r="AG198" s="191"/>
      <x:c r="AH198" s="191"/>
      <x:c r="AI198" s="191"/>
      <x:c r="AJ198" s="191"/>
      <x:c r="AK198" s="191"/>
    </x:row>
    <x:row r="199">
      <x:c r="A199" s="191"/>
      <x:c r="B199" s="191"/>
      <x:c r="C199" s="191"/>
      <x:c r="D199" s="191"/>
      <x:c r="E199" s="191"/>
      <x:c r="F199" s="191"/>
      <x:c r="G199" s="191"/>
      <x:c r="H199" s="191"/>
      <x:c r="I199" s="191"/>
      <x:c r="J199" s="191"/>
      <x:c r="K199" s="191"/>
      <x:c r="L199" s="198" t="str">
        <x:v>RHO</x:v>
      </x:c>
      <x:c r="M199" s="198" t="n">
        <x:v>10</x:v>
      </x:c>
      <x:c r="N199" s="198" t="str">
        <x:v>30Y</x:v>
      </x:c>
      <x:c r="O199" s="198" t="str">
        <x:v>3Y</x:v>
      </x:c>
      <x:c r="P199" s="266" t="n">
        <x:v>-0.0010000000000000026</x:v>
      </x:c>
      <x:c r="Q199" s="201" t="n">
        <x:v>9600</x:v>
      </x:c>
      <x:c r="R199" s="267" t="n">
        <x:v>1000</x:v>
      </x:c>
      <x:c r="S199" s="254" t="n">
        <x:f>Q199*P199+0.5*R199*P199^2</x:f>
        <x:v>-9.599500000000024</x:v>
      </x:c>
      <x:c r="T199" s="191" t="str">
        <x:v>IR</x:v>
      </x:c>
      <x:c r="U199" s="191" t="str">
        <x:v>Illustrative surrogate only</x:v>
      </x:c>
      <x:c r="V199" s="191"/>
      <x:c r="W199" s="191"/>
      <x:c r="X199" s="191"/>
      <x:c r="Y199" s="191"/>
      <x:c r="Z199" s="191"/>
      <x:c r="AA199" s="191"/>
      <x:c r="AB199" s="191"/>
      <x:c r="AC199" s="191"/>
      <x:c r="AD199" s="191"/>
      <x:c r="AE199" s="191"/>
      <x:c r="AF199" s="191"/>
      <x:c r="AG199" s="191"/>
      <x:c r="AH199" s="191"/>
      <x:c r="AI199" s="191"/>
      <x:c r="AJ199" s="191"/>
      <x:c r="AK199" s="191"/>
    </x:row>
    <x:row r="200">
      <x:c r="A200" s="191"/>
      <x:c r="B200" s="191"/>
      <x:c r="C200" s="191"/>
      <x:c r="D200" s="191"/>
      <x:c r="E200" s="191"/>
      <x:c r="F200" s="191"/>
      <x:c r="G200" s="191"/>
      <x:c r="H200" s="191"/>
      <x:c r="I200" s="191"/>
      <x:c r="J200" s="191"/>
      <x:c r="K200" s="191"/>
      <x:c r="L200" s="198" t="str">
        <x:v>RHO</x:v>
      </x:c>
      <x:c r="M200" s="198" t="n">
        <x:v>10</x:v>
      </x:c>
      <x:c r="N200" s="198" t="str">
        <x:v>30Y</x:v>
      </x:c>
      <x:c r="O200" s="198" t="str">
        <x:v>5Y</x:v>
      </x:c>
      <x:c r="P200" s="266" t="n">
        <x:v>-0.0020000000000000026</x:v>
      </x:c>
      <x:c r="Q200" s="201" t="n">
        <x:v>9700</x:v>
      </x:c>
      <x:c r="R200" s="267" t="n">
        <x:v>1000</x:v>
      </x:c>
      <x:c r="S200" s="254" t="n">
        <x:f>Q200*P200+0.5*R200*P200^2</x:f>
        <x:v>-19.398000000000028</x:v>
      </x:c>
      <x:c r="T200" s="191" t="str">
        <x:v>IR</x:v>
      </x:c>
      <x:c r="U200" s="191" t="str">
        <x:v>Illustrative surrogate only</x:v>
      </x:c>
      <x:c r="V200" s="191"/>
      <x:c r="W200" s="191"/>
      <x:c r="X200" s="191"/>
      <x:c r="Y200" s="191"/>
      <x:c r="Z200" s="191"/>
      <x:c r="AA200" s="191"/>
      <x:c r="AB200" s="191"/>
      <x:c r="AC200" s="191"/>
      <x:c r="AD200" s="191"/>
      <x:c r="AE200" s="191"/>
      <x:c r="AF200" s="191"/>
      <x:c r="AG200" s="191"/>
      <x:c r="AH200" s="191"/>
      <x:c r="AI200" s="191"/>
      <x:c r="AJ200" s="191"/>
      <x:c r="AK200" s="191"/>
    </x:row>
    <x:row r="201">
      <x:c r="A201" s="191"/>
      <x:c r="B201" s="191"/>
      <x:c r="C201" s="191"/>
      <x:c r="D201" s="191"/>
      <x:c r="E201" s="191"/>
      <x:c r="F201" s="191"/>
      <x:c r="G201" s="191"/>
      <x:c r="H201" s="191"/>
      <x:c r="I201" s="191"/>
      <x:c r="J201" s="191"/>
      <x:c r="K201" s="191"/>
      <x:c r="L201" s="198" t="str">
        <x:v>RHO</x:v>
      </x:c>
      <x:c r="M201" s="198" t="n">
        <x:v>10</x:v>
      </x:c>
      <x:c r="N201" s="198" t="str">
        <x:v>30Y</x:v>
      </x:c>
      <x:c r="O201" s="198" t="str">
        <x:v>10Y</x:v>
      </x:c>
      <x:c r="P201" s="266" t="n">
        <x:v>-0.0030000000000000027</x:v>
      </x:c>
      <x:c r="Q201" s="201" t="n">
        <x:v>9800</x:v>
      </x:c>
      <x:c r="R201" s="267" t="n">
        <x:v>1000</x:v>
      </x:c>
      <x:c r="S201" s="254" t="n">
        <x:f>Q201*P201+0.5*R201*P201^2</x:f>
        <x:v>-29.395500000000027</x:v>
      </x:c>
      <x:c r="T201" s="191" t="str">
        <x:v>IR</x:v>
      </x:c>
      <x:c r="U201" s="191" t="str">
        <x:v>Illustrative surrogate only</x:v>
      </x:c>
      <x:c r="V201" s="191"/>
      <x:c r="W201" s="191"/>
      <x:c r="X201" s="191"/>
      <x:c r="Y201" s="191"/>
      <x:c r="Z201" s="191"/>
      <x:c r="AA201" s="191"/>
      <x:c r="AB201" s="191"/>
      <x:c r="AC201" s="191"/>
      <x:c r="AD201" s="191"/>
      <x:c r="AE201" s="191"/>
      <x:c r="AF201" s="191"/>
      <x:c r="AG201" s="191"/>
      <x:c r="AH201" s="191"/>
      <x:c r="AI201" s="191"/>
      <x:c r="AJ201" s="191"/>
      <x:c r="AK201" s="191"/>
    </x:row>
    <x:row r="202">
      <x:c r="A202" s="191"/>
      <x:c r="B202" s="191"/>
      <x:c r="C202" s="191"/>
      <x:c r="D202" s="191"/>
      <x:c r="E202" s="191"/>
      <x:c r="F202" s="191"/>
      <x:c r="G202" s="191"/>
      <x:c r="H202" s="191"/>
      <x:c r="I202" s="191"/>
      <x:c r="J202" s="191"/>
      <x:c r="K202" s="191"/>
      <x:c r="L202" s="198" t="str">
        <x:v>RHO</x:v>
      </x:c>
      <x:c r="M202" s="198" t="n">
        <x:v>10</x:v>
      </x:c>
      <x:c r="N202" s="198" t="str">
        <x:v>30Y</x:v>
      </x:c>
      <x:c r="O202" s="198" t="str">
        <x:v>20Y</x:v>
      </x:c>
      <x:c r="P202" s="266" t="n">
        <x:v>-0.0040000000000000036</x:v>
      </x:c>
      <x:c r="Q202" s="201" t="n">
        <x:v>9900</x:v>
      </x:c>
      <x:c r="R202" s="267" t="n">
        <x:v>1000</x:v>
      </x:c>
      <x:c r="S202" s="254" t="n">
        <x:f>Q202*P202+0.5*R202*P202^2</x:f>
        <x:v>-39.592000000000034</x:v>
      </x:c>
      <x:c r="T202" s="191" t="str">
        <x:v>IR</x:v>
      </x:c>
      <x:c r="U202" s="191" t="str">
        <x:v>Illustrative surrogate only</x:v>
      </x:c>
      <x:c r="V202" s="191"/>
      <x:c r="W202" s="191"/>
      <x:c r="X202" s="191"/>
      <x:c r="Y202" s="191"/>
      <x:c r="Z202" s="191"/>
      <x:c r="AA202" s="191"/>
      <x:c r="AB202" s="191"/>
      <x:c r="AC202" s="191"/>
      <x:c r="AD202" s="191"/>
      <x:c r="AE202" s="191"/>
      <x:c r="AF202" s="191"/>
      <x:c r="AG202" s="191"/>
      <x:c r="AH202" s="191"/>
      <x:c r="AI202" s="191"/>
      <x:c r="AJ202" s="191"/>
      <x:c r="AK202" s="191"/>
    </x:row>
    <x:row r="203">
      <x:c r="A203" s="191"/>
      <x:c r="B203" s="191"/>
      <x:c r="C203" s="191"/>
      <x:c r="D203" s="191"/>
      <x:c r="E203" s="191"/>
      <x:c r="F203" s="191"/>
      <x:c r="G203" s="191"/>
      <x:c r="H203" s="191"/>
      <x:c r="I203" s="191"/>
      <x:c r="J203" s="191"/>
      <x:c r="K203" s="191"/>
      <x:c r="L203" s="198" t="str">
        <x:v>RHO</x:v>
      </x:c>
      <x:c r="M203" s="198" t="n">
        <x:v>10</x:v>
      </x:c>
      <x:c r="N203" s="198" t="str">
        <x:v>30Y</x:v>
      </x:c>
      <x:c r="O203" s="198" t="str">
        <x:v>30Y</x:v>
      </x:c>
      <x:c r="P203" s="266" t="n">
        <x:v>-0.005000000000000003</x:v>
      </x:c>
      <x:c r="Q203" s="201" t="n">
        <x:v>10000</x:v>
      </x:c>
      <x:c r="R203" s="267" t="n">
        <x:v>1000</x:v>
      </x:c>
      <x:c r="S203" s="254" t="n">
        <x:f>Q203*P203+0.5*R203*P203^2</x:f>
        <x:v>-49.987500000000026</x:v>
      </x:c>
      <x:c r="T203" s="191" t="str">
        <x:v>IR</x:v>
      </x:c>
      <x:c r="U203" s="191" t="str">
        <x:v>Illustrative surrogate only</x:v>
      </x:c>
      <x:c r="V203" s="191"/>
      <x:c r="W203" s="191"/>
      <x:c r="X203" s="191"/>
      <x:c r="Y203" s="191"/>
      <x:c r="Z203" s="191"/>
      <x:c r="AA203" s="191"/>
      <x:c r="AB203" s="191"/>
      <x:c r="AC203" s="191"/>
      <x:c r="AD203" s="191"/>
      <x:c r="AE203" s="191"/>
      <x:c r="AF203" s="191"/>
      <x:c r="AG203" s="191"/>
      <x:c r="AH203" s="191"/>
      <x:c r="AI203" s="191"/>
      <x:c r="AJ203" s="191"/>
      <x:c r="AK203" s="191"/>
    </x:row>
    <x:row r="204">
      <x:c r="A204" s="191"/>
      <x:c r="B204" s="191"/>
      <x:c r="C204" s="191"/>
      <x:c r="D204" s="191"/>
      <x:c r="E204" s="191"/>
      <x:c r="F204" s="191"/>
      <x:c r="G204" s="191"/>
      <x:c r="H204" s="191"/>
      <x:c r="I204" s="191"/>
      <x:c r="J204" s="191"/>
      <x:c r="K204" s="191"/>
      <x:c r="L204" s="198" t="str">
        <x:v>NU</x:v>
      </x:c>
      <x:c r="M204" s="198" t="n">
        <x:v>1</x:v>
      </x:c>
      <x:c r="N204" s="198" t="str">
        <x:v>1M</x:v>
      </x:c>
      <x:c r="O204" s="198" t="str">
        <x:v>1M</x:v>
      </x:c>
      <x:c r="P204" s="266" t="n">
        <x:v>0.04000000000000001</x:v>
      </x:c>
      <x:c r="Q204" s="201" t="n">
        <x:v>9450</x:v>
      </x:c>
      <x:c r="R204" s="267" t="n">
        <x:v>1500</x:v>
      </x:c>
      <x:c r="S204" s="254" t="n">
        <x:f>Q204*P204+0.5*R204*P204^2</x:f>
        <x:v>379.20000000000005</x:v>
      </x:c>
      <x:c r="T204" s="191" t="str">
        <x:v>IR</x:v>
      </x:c>
      <x:c r="U204" s="191" t="str">
        <x:v>Illustrative surrogate only</x:v>
      </x:c>
      <x:c r="V204" s="191"/>
      <x:c r="W204" s="191"/>
      <x:c r="X204" s="191"/>
      <x:c r="Y204" s="191"/>
      <x:c r="Z204" s="191"/>
      <x:c r="AA204" s="191"/>
      <x:c r="AB204" s="191"/>
      <x:c r="AC204" s="191"/>
      <x:c r="AD204" s="191"/>
      <x:c r="AE204" s="191"/>
      <x:c r="AF204" s="191"/>
      <x:c r="AG204" s="191"/>
      <x:c r="AH204" s="191"/>
      <x:c r="AI204" s="191"/>
      <x:c r="AJ204" s="191"/>
      <x:c r="AK204" s="191"/>
    </x:row>
    <x:row r="205">
      <x:c r="A205" s="191"/>
      <x:c r="B205" s="191"/>
      <x:c r="C205" s="191"/>
      <x:c r="D205" s="191"/>
      <x:c r="E205" s="191"/>
      <x:c r="F205" s="191"/>
      <x:c r="G205" s="191"/>
      <x:c r="H205" s="191"/>
      <x:c r="I205" s="191"/>
      <x:c r="J205" s="191"/>
      <x:c r="K205" s="191"/>
      <x:c r="L205" s="198" t="str">
        <x:v>NU</x:v>
      </x:c>
      <x:c r="M205" s="198" t="n">
        <x:v>1</x:v>
      </x:c>
      <x:c r="N205" s="198" t="str">
        <x:v>1M</x:v>
      </x:c>
      <x:c r="O205" s="198" t="str">
        <x:v>3M</x:v>
      </x:c>
      <x:c r="P205" s="266" t="n">
        <x:v>0.04200000000000001</x:v>
      </x:c>
      <x:c r="Q205" s="201" t="n">
        <x:v>9600</x:v>
      </x:c>
      <x:c r="R205" s="267" t="n">
        <x:v>1500</x:v>
      </x:c>
      <x:c r="S205" s="254" t="n">
        <x:f>Q205*P205+0.5*R205*P205^2</x:f>
        <x:v>404.5230000000001</x:v>
      </x:c>
      <x:c r="T205" s="191" t="str">
        <x:v>IR</x:v>
      </x:c>
      <x:c r="U205" s="191" t="str">
        <x:v>Illustrative surrogate only</x:v>
      </x:c>
      <x:c r="V205" s="191"/>
      <x:c r="W205" s="191"/>
      <x:c r="X205" s="191"/>
      <x:c r="Y205" s="191"/>
      <x:c r="Z205" s="191"/>
      <x:c r="AA205" s="191"/>
      <x:c r="AB205" s="191"/>
      <x:c r="AC205" s="191"/>
      <x:c r="AD205" s="191"/>
      <x:c r="AE205" s="191"/>
      <x:c r="AF205" s="191"/>
      <x:c r="AG205" s="191"/>
      <x:c r="AH205" s="191"/>
      <x:c r="AI205" s="191"/>
      <x:c r="AJ205" s="191"/>
      <x:c r="AK205" s="191"/>
    </x:row>
    <x:row r="206">
      <x:c r="A206" s="191"/>
      <x:c r="B206" s="191"/>
      <x:c r="C206" s="191"/>
      <x:c r="D206" s="191"/>
      <x:c r="E206" s="191"/>
      <x:c r="F206" s="191"/>
      <x:c r="G206" s="191"/>
      <x:c r="H206" s="191"/>
      <x:c r="I206" s="191"/>
      <x:c r="J206" s="191"/>
      <x:c r="K206" s="191"/>
      <x:c r="L206" s="198" t="str">
        <x:v>NU</x:v>
      </x:c>
      <x:c r="M206" s="198" t="n">
        <x:v>1</x:v>
      </x:c>
      <x:c r="N206" s="198" t="str">
        <x:v>1M</x:v>
      </x:c>
      <x:c r="O206" s="198" t="str">
        <x:v>6M</x:v>
      </x:c>
      <x:c r="P206" s="266" t="n">
        <x:v>0.044000000000000004</x:v>
      </x:c>
      <x:c r="Q206" s="201" t="n">
        <x:v>9750</x:v>
      </x:c>
      <x:c r="R206" s="267" t="n">
        <x:v>1500</x:v>
      </x:c>
      <x:c r="S206" s="254" t="n">
        <x:f>Q206*P206+0.5*R206*P206^2</x:f>
        <x:v>430.45200000000006</x:v>
      </x:c>
      <x:c r="T206" s="191" t="str">
        <x:v>IR</x:v>
      </x:c>
      <x:c r="U206" s="191" t="str">
        <x:v>Illustrative surrogate only</x:v>
      </x:c>
      <x:c r="V206" s="191"/>
      <x:c r="W206" s="191"/>
      <x:c r="X206" s="191"/>
      <x:c r="Y206" s="191"/>
      <x:c r="Z206" s="191"/>
      <x:c r="AA206" s="191"/>
      <x:c r="AB206" s="191"/>
      <x:c r="AC206" s="191"/>
      <x:c r="AD206" s="191"/>
      <x:c r="AE206" s="191"/>
      <x:c r="AF206" s="191"/>
      <x:c r="AG206" s="191"/>
      <x:c r="AH206" s="191"/>
      <x:c r="AI206" s="191"/>
      <x:c r="AJ206" s="191"/>
      <x:c r="AK206" s="191"/>
    </x:row>
    <x:row r="207">
      <x:c r="A207" s="191"/>
      <x:c r="B207" s="191"/>
      <x:c r="C207" s="191"/>
      <x:c r="D207" s="191"/>
      <x:c r="E207" s="191"/>
      <x:c r="F207" s="191"/>
      <x:c r="G207" s="191"/>
      <x:c r="H207" s="191"/>
      <x:c r="I207" s="191"/>
      <x:c r="J207" s="191"/>
      <x:c r="K207" s="191"/>
      <x:c r="L207" s="198" t="str">
        <x:v>NU</x:v>
      </x:c>
      <x:c r="M207" s="198" t="n">
        <x:v>1</x:v>
      </x:c>
      <x:c r="N207" s="198" t="str">
        <x:v>1M</x:v>
      </x:c>
      <x:c r="O207" s="198" t="str">
        <x:v>1Y</x:v>
      </x:c>
      <x:c r="P207" s="266" t="n">
        <x:v>0.046000000000000006</x:v>
      </x:c>
      <x:c r="Q207" s="201" t="n">
        <x:v>9900</x:v>
      </x:c>
      <x:c r="R207" s="267" t="n">
        <x:v>1500</x:v>
      </x:c>
      <x:c r="S207" s="254" t="n">
        <x:f>Q207*P207+0.5*R207*P207^2</x:f>
        <x:v>456.987</x:v>
      </x:c>
      <x:c r="T207" s="191" t="str">
        <x:v>IR</x:v>
      </x:c>
      <x:c r="U207" s="191" t="str">
        <x:v>Illustrative surrogate only</x:v>
      </x:c>
      <x:c r="V207" s="191"/>
      <x:c r="W207" s="191"/>
      <x:c r="X207" s="191"/>
      <x:c r="Y207" s="191"/>
      <x:c r="Z207" s="191"/>
      <x:c r="AA207" s="191"/>
      <x:c r="AB207" s="191"/>
      <x:c r="AC207" s="191"/>
      <x:c r="AD207" s="191"/>
      <x:c r="AE207" s="191"/>
      <x:c r="AF207" s="191"/>
      <x:c r="AG207" s="191"/>
      <x:c r="AH207" s="191"/>
      <x:c r="AI207" s="191"/>
      <x:c r="AJ207" s="191"/>
      <x:c r="AK207" s="191"/>
    </x:row>
    <x:row r="208">
      <x:c r="A208" s="191"/>
      <x:c r="B208" s="191"/>
      <x:c r="C208" s="191"/>
      <x:c r="D208" s="191"/>
      <x:c r="E208" s="191"/>
      <x:c r="F208" s="191"/>
      <x:c r="G208" s="191"/>
      <x:c r="H208" s="191"/>
      <x:c r="I208" s="191"/>
      <x:c r="J208" s="191"/>
      <x:c r="K208" s="191"/>
      <x:c r="L208" s="198" t="str">
        <x:v>NU</x:v>
      </x:c>
      <x:c r="M208" s="198" t="n">
        <x:v>1</x:v>
      </x:c>
      <x:c r="N208" s="198" t="str">
        <x:v>1M</x:v>
      </x:c>
      <x:c r="O208" s="198" t="str">
        <x:v>2Y</x:v>
      </x:c>
      <x:c r="P208" s="266" t="n">
        <x:v>0.04800000000000001</x:v>
      </x:c>
      <x:c r="Q208" s="201" t="n">
        <x:v>10050</x:v>
      </x:c>
      <x:c r="R208" s="267" t="n">
        <x:v>1500</x:v>
      </x:c>
      <x:c r="S208" s="254" t="n">
        <x:f>Q208*P208+0.5*R208*P208^2</x:f>
        <x:v>484.1280000000001</x:v>
      </x:c>
      <x:c r="T208" s="191" t="str">
        <x:v>IR</x:v>
      </x:c>
      <x:c r="U208" s="191" t="str">
        <x:v>Illustrative surrogate only</x:v>
      </x:c>
      <x:c r="V208" s="191"/>
      <x:c r="W208" s="191"/>
      <x:c r="X208" s="191"/>
      <x:c r="Y208" s="191"/>
      <x:c r="Z208" s="191"/>
      <x:c r="AA208" s="191"/>
      <x:c r="AB208" s="191"/>
      <x:c r="AC208" s="191"/>
      <x:c r="AD208" s="191"/>
      <x:c r="AE208" s="191"/>
      <x:c r="AF208" s="191"/>
      <x:c r="AG208" s="191"/>
      <x:c r="AH208" s="191"/>
      <x:c r="AI208" s="191"/>
      <x:c r="AJ208" s="191"/>
      <x:c r="AK208" s="191"/>
    </x:row>
    <x:row r="209">
      <x:c r="A209" s="191"/>
      <x:c r="B209" s="191"/>
      <x:c r="C209" s="191"/>
      <x:c r="D209" s="191"/>
      <x:c r="E209" s="191"/>
      <x:c r="F209" s="191"/>
      <x:c r="G209" s="191"/>
      <x:c r="H209" s="191"/>
      <x:c r="I209" s="191"/>
      <x:c r="J209" s="191"/>
      <x:c r="K209" s="191"/>
      <x:c r="L209" s="198" t="str">
        <x:v>NU</x:v>
      </x:c>
      <x:c r="M209" s="198" t="n">
        <x:v>1</x:v>
      </x:c>
      <x:c r="N209" s="198" t="str">
        <x:v>1M</x:v>
      </x:c>
      <x:c r="O209" s="198" t="str">
        <x:v>3Y</x:v>
      </x:c>
      <x:c r="P209" s="266" t="n">
        <x:v>0.05</x:v>
      </x:c>
      <x:c r="Q209" s="201" t="n">
        <x:v>10200</x:v>
      </x:c>
      <x:c r="R209" s="267" t="n">
        <x:v>1500</x:v>
      </x:c>
      <x:c r="S209" s="254" t="n">
        <x:f>Q209*P209+0.5*R209*P209^2</x:f>
        <x:v>511.875</x:v>
      </x:c>
      <x:c r="T209" s="191" t="str">
        <x:v>IR</x:v>
      </x:c>
      <x:c r="U209" s="191" t="str">
        <x:v>Illustrative surrogate only</x:v>
      </x:c>
      <x:c r="V209" s="191"/>
      <x:c r="W209" s="191"/>
      <x:c r="X209" s="191"/>
      <x:c r="Y209" s="191"/>
      <x:c r="Z209" s="191"/>
      <x:c r="AA209" s="191"/>
      <x:c r="AB209" s="191"/>
      <x:c r="AC209" s="191"/>
      <x:c r="AD209" s="191"/>
      <x:c r="AE209" s="191"/>
      <x:c r="AF209" s="191"/>
      <x:c r="AG209" s="191"/>
      <x:c r="AH209" s="191"/>
      <x:c r="AI209" s="191"/>
      <x:c r="AJ209" s="191"/>
      <x:c r="AK209" s="191"/>
    </x:row>
    <x:row r="210">
      <x:c r="A210" s="191"/>
      <x:c r="B210" s="191"/>
      <x:c r="C210" s="191"/>
      <x:c r="D210" s="191"/>
      <x:c r="E210" s="191"/>
      <x:c r="F210" s="191"/>
      <x:c r="G210" s="191"/>
      <x:c r="H210" s="191"/>
      <x:c r="I210" s="191"/>
      <x:c r="J210" s="191"/>
      <x:c r="K210" s="191"/>
      <x:c r="L210" s="198" t="str">
        <x:v>NU</x:v>
      </x:c>
      <x:c r="M210" s="198" t="n">
        <x:v>1</x:v>
      </x:c>
      <x:c r="N210" s="198" t="str">
        <x:v>1M</x:v>
      </x:c>
      <x:c r="O210" s="198" t="str">
        <x:v>5Y</x:v>
      </x:c>
      <x:c r="P210" s="266" t="n">
        <x:v>0.052000000000000005</x:v>
      </x:c>
      <x:c r="Q210" s="201" t="n">
        <x:v>10350</x:v>
      </x:c>
      <x:c r="R210" s="267" t="n">
        <x:v>1500</x:v>
      </x:c>
      <x:c r="S210" s="254" t="n">
        <x:f>Q210*P210+0.5*R210*P210^2</x:f>
        <x:v>540.2280000000001</x:v>
      </x:c>
      <x:c r="T210" s="191" t="str">
        <x:v>IR</x:v>
      </x:c>
      <x:c r="U210" s="191" t="str">
        <x:v>Illustrative surrogate only</x:v>
      </x:c>
      <x:c r="V210" s="191"/>
      <x:c r="W210" s="191"/>
      <x:c r="X210" s="191"/>
      <x:c r="Y210" s="191"/>
      <x:c r="Z210" s="191"/>
      <x:c r="AA210" s="191"/>
      <x:c r="AB210" s="191"/>
      <x:c r="AC210" s="191"/>
      <x:c r="AD210" s="191"/>
      <x:c r="AE210" s="191"/>
      <x:c r="AF210" s="191"/>
      <x:c r="AG210" s="191"/>
      <x:c r="AH210" s="191"/>
      <x:c r="AI210" s="191"/>
      <x:c r="AJ210" s="191"/>
      <x:c r="AK210" s="191"/>
    </x:row>
    <x:row r="211">
      <x:c r="A211" s="191"/>
      <x:c r="B211" s="191"/>
      <x:c r="C211" s="191"/>
      <x:c r="D211" s="191"/>
      <x:c r="E211" s="191"/>
      <x:c r="F211" s="191"/>
      <x:c r="G211" s="191"/>
      <x:c r="H211" s="191"/>
      <x:c r="I211" s="191"/>
      <x:c r="J211" s="191"/>
      <x:c r="K211" s="191"/>
      <x:c r="L211" s="198" t="str">
        <x:v>NU</x:v>
      </x:c>
      <x:c r="M211" s="198" t="n">
        <x:v>1</x:v>
      </x:c>
      <x:c r="N211" s="198" t="str">
        <x:v>1M</x:v>
      </x:c>
      <x:c r="O211" s="198" t="str">
        <x:v>10Y</x:v>
      </x:c>
      <x:c r="P211" s="266" t="n">
        <x:v>0.054000000000000006</x:v>
      </x:c>
      <x:c r="Q211" s="201" t="n">
        <x:v>10500</x:v>
      </x:c>
      <x:c r="R211" s="267" t="n">
        <x:v>1500</x:v>
      </x:c>
      <x:c r="S211" s="254" t="n">
        <x:f>Q211*P211+0.5*R211*P211^2</x:f>
        <x:v>569.1870000000001</x:v>
      </x:c>
      <x:c r="T211" s="191" t="str">
        <x:v>IR</x:v>
      </x:c>
      <x:c r="U211" s="191" t="str">
        <x:v>Illustrative surrogate only</x:v>
      </x:c>
      <x:c r="V211" s="191"/>
      <x:c r="W211" s="191"/>
      <x:c r="X211" s="191"/>
      <x:c r="Y211" s="191"/>
      <x:c r="Z211" s="191"/>
      <x:c r="AA211" s="191"/>
      <x:c r="AB211" s="191"/>
      <x:c r="AC211" s="191"/>
      <x:c r="AD211" s="191"/>
      <x:c r="AE211" s="191"/>
      <x:c r="AF211" s="191"/>
      <x:c r="AG211" s="191"/>
      <x:c r="AH211" s="191"/>
      <x:c r="AI211" s="191"/>
      <x:c r="AJ211" s="191"/>
      <x:c r="AK211" s="191"/>
    </x:row>
    <x:row r="212">
      <x:c r="A212" s="191"/>
      <x:c r="B212" s="191"/>
      <x:c r="C212" s="191"/>
      <x:c r="D212" s="191"/>
      <x:c r="E212" s="191"/>
      <x:c r="F212" s="191"/>
      <x:c r="G212" s="191"/>
      <x:c r="H212" s="191"/>
      <x:c r="I212" s="191"/>
      <x:c r="J212" s="191"/>
      <x:c r="K212" s="191"/>
      <x:c r="L212" s="198" t="str">
        <x:v>NU</x:v>
      </x:c>
      <x:c r="M212" s="198" t="n">
        <x:v>1</x:v>
      </x:c>
      <x:c r="N212" s="198" t="str">
        <x:v>1M</x:v>
      </x:c>
      <x:c r="O212" s="198" t="str">
        <x:v>20Y</x:v>
      </x:c>
      <x:c r="P212" s="266" t="n">
        <x:v>0.05600000000000001</x:v>
      </x:c>
      <x:c r="Q212" s="201" t="n">
        <x:v>10650</x:v>
      </x:c>
      <x:c r="R212" s="267" t="n">
        <x:v>1500</x:v>
      </x:c>
      <x:c r="S212" s="254" t="n">
        <x:f>Q212*P212+0.5*R212*P212^2</x:f>
        <x:v>598.7520000000001</x:v>
      </x:c>
      <x:c r="T212" s="191" t="str">
        <x:v>IR</x:v>
      </x:c>
      <x:c r="U212" s="191" t="str">
        <x:v>Illustrative surrogate only</x:v>
      </x:c>
      <x:c r="V212" s="191"/>
      <x:c r="W212" s="191"/>
      <x:c r="X212" s="191"/>
      <x:c r="Y212" s="191"/>
      <x:c r="Z212" s="191"/>
      <x:c r="AA212" s="191"/>
      <x:c r="AB212" s="191"/>
      <x:c r="AC212" s="191"/>
      <x:c r="AD212" s="191"/>
      <x:c r="AE212" s="191"/>
      <x:c r="AF212" s="191"/>
      <x:c r="AG212" s="191"/>
      <x:c r="AH212" s="191"/>
      <x:c r="AI212" s="191"/>
      <x:c r="AJ212" s="191"/>
      <x:c r="AK212" s="191"/>
    </x:row>
    <x:row r="213">
      <x:c r="A213" s="191"/>
      <x:c r="B213" s="191"/>
      <x:c r="C213" s="191"/>
      <x:c r="D213" s="191"/>
      <x:c r="E213" s="191"/>
      <x:c r="F213" s="191"/>
      <x:c r="G213" s="191"/>
      <x:c r="H213" s="191"/>
      <x:c r="I213" s="191"/>
      <x:c r="J213" s="191"/>
      <x:c r="K213" s="191"/>
      <x:c r="L213" s="198" t="str">
        <x:v>NU</x:v>
      </x:c>
      <x:c r="M213" s="198" t="n">
        <x:v>1</x:v>
      </x:c>
      <x:c r="N213" s="198" t="str">
        <x:v>1M</x:v>
      </x:c>
      <x:c r="O213" s="198" t="str">
        <x:v>30Y</x:v>
      </x:c>
      <x:c r="P213" s="266" t="n">
        <x:v>0.05800000000000001</x:v>
      </x:c>
      <x:c r="Q213" s="201" t="n">
        <x:v>10800</x:v>
      </x:c>
      <x:c r="R213" s="267" t="n">
        <x:v>1500</x:v>
      </x:c>
      <x:c r="S213" s="254" t="n">
        <x:f>Q213*P213+0.5*R213*P213^2</x:f>
        <x:v>628.9230000000001</x:v>
      </x:c>
      <x:c r="T213" s="191" t="str">
        <x:v>IR</x:v>
      </x:c>
      <x:c r="U213" s="191" t="str">
        <x:v>Illustrative surrogate only</x:v>
      </x:c>
      <x:c r="V213" s="191"/>
      <x:c r="W213" s="191"/>
      <x:c r="X213" s="191"/>
      <x:c r="Y213" s="191"/>
      <x:c r="Z213" s="191"/>
      <x:c r="AA213" s="191"/>
      <x:c r="AB213" s="191"/>
      <x:c r="AC213" s="191"/>
      <x:c r="AD213" s="191"/>
      <x:c r="AE213" s="191"/>
      <x:c r="AF213" s="191"/>
      <x:c r="AG213" s="191"/>
      <x:c r="AH213" s="191"/>
      <x:c r="AI213" s="191"/>
      <x:c r="AJ213" s="191"/>
      <x:c r="AK213" s="191"/>
    </x:row>
    <x:row r="214">
      <x:c r="A214" s="191"/>
      <x:c r="B214" s="191"/>
      <x:c r="C214" s="191"/>
      <x:c r="D214" s="191"/>
      <x:c r="E214" s="191"/>
      <x:c r="F214" s="191"/>
      <x:c r="G214" s="191"/>
      <x:c r="H214" s="191"/>
      <x:c r="I214" s="191"/>
      <x:c r="J214" s="191"/>
      <x:c r="K214" s="191"/>
      <x:c r="L214" s="198" t="str">
        <x:v>NU</x:v>
      </x:c>
      <x:c r="M214" s="198" t="n">
        <x:v>2</x:v>
      </x:c>
      <x:c r="N214" s="198" t="str">
        <x:v>3M</x:v>
      </x:c>
      <x:c r="O214" s="198" t="str">
        <x:v>1M</x:v>
      </x:c>
      <x:c r="P214" s="266" t="n">
        <x:v>0.043000000000000003</x:v>
      </x:c>
      <x:c r="Q214" s="201" t="n">
        <x:v>9750</x:v>
      </x:c>
      <x:c r="R214" s="267" t="n">
        <x:v>1500</x:v>
      </x:c>
      <x:c r="S214" s="254" t="n">
        <x:f>Q214*P214+0.5*R214*P214^2</x:f>
        <x:v>420.63675000000006</x:v>
      </x:c>
      <x:c r="T214" s="191" t="str">
        <x:v>IR</x:v>
      </x:c>
      <x:c r="U214" s="191" t="str">
        <x:v>Illustrative surrogate only</x:v>
      </x:c>
      <x:c r="V214" s="191"/>
      <x:c r="W214" s="191"/>
      <x:c r="X214" s="191"/>
      <x:c r="Y214" s="191"/>
      <x:c r="Z214" s="191"/>
      <x:c r="AA214" s="191"/>
      <x:c r="AB214" s="191"/>
      <x:c r="AC214" s="191"/>
      <x:c r="AD214" s="191"/>
      <x:c r="AE214" s="191"/>
      <x:c r="AF214" s="191"/>
      <x:c r="AG214" s="191"/>
      <x:c r="AH214" s="191"/>
      <x:c r="AI214" s="191"/>
      <x:c r="AJ214" s="191"/>
      <x:c r="AK214" s="191"/>
    </x:row>
    <x:row r="215">
      <x:c r="A215" s="191"/>
      <x:c r="B215" s="191"/>
      <x:c r="C215" s="191"/>
      <x:c r="D215" s="191"/>
      <x:c r="E215" s="191"/>
      <x:c r="F215" s="191"/>
      <x:c r="G215" s="191"/>
      <x:c r="H215" s="191"/>
      <x:c r="I215" s="191"/>
      <x:c r="J215" s="191"/>
      <x:c r="K215" s="191"/>
      <x:c r="L215" s="198" t="str">
        <x:v>NU</x:v>
      </x:c>
      <x:c r="M215" s="198" t="n">
        <x:v>2</x:v>
      </x:c>
      <x:c r="N215" s="198" t="str">
        <x:v>3M</x:v>
      </x:c>
      <x:c r="O215" s="198" t="str">
        <x:v>3M</x:v>
      </x:c>
      <x:c r="P215" s="266" t="n">
        <x:v>0.045</x:v>
      </x:c>
      <x:c r="Q215" s="201" t="n">
        <x:v>9900</x:v>
      </x:c>
      <x:c r="R215" s="267" t="n">
        <x:v>1500</x:v>
      </x:c>
      <x:c r="S215" s="254" t="n">
        <x:f>Q215*P215+0.5*R215*P215^2</x:f>
        <x:v>447.01875</x:v>
      </x:c>
      <x:c r="T215" s="191" t="str">
        <x:v>IR</x:v>
      </x:c>
      <x:c r="U215" s="191" t="str">
        <x:v>Illustrative surrogate only</x:v>
      </x:c>
      <x:c r="V215" s="191"/>
      <x:c r="W215" s="191"/>
      <x:c r="X215" s="191"/>
      <x:c r="Y215" s="191"/>
      <x:c r="Z215" s="191"/>
      <x:c r="AA215" s="191"/>
      <x:c r="AB215" s="191"/>
      <x:c r="AC215" s="191"/>
      <x:c r="AD215" s="191"/>
      <x:c r="AE215" s="191"/>
      <x:c r="AF215" s="191"/>
      <x:c r="AG215" s="191"/>
      <x:c r="AH215" s="191"/>
      <x:c r="AI215" s="191"/>
      <x:c r="AJ215" s="191"/>
      <x:c r="AK215" s="191"/>
    </x:row>
    <x:row r="216">
      <x:c r="A216" s="191"/>
      <x:c r="B216" s="191"/>
      <x:c r="C216" s="191"/>
      <x:c r="D216" s="191"/>
      <x:c r="E216" s="191"/>
      <x:c r="F216" s="191"/>
      <x:c r="G216" s="191"/>
      <x:c r="H216" s="191"/>
      <x:c r="I216" s="191"/>
      <x:c r="J216" s="191"/>
      <x:c r="K216" s="191"/>
      <x:c r="L216" s="198" t="str">
        <x:v>NU</x:v>
      </x:c>
      <x:c r="M216" s="198" t="n">
        <x:v>2</x:v>
      </x:c>
      <x:c r="N216" s="198" t="str">
        <x:v>3M</x:v>
      </x:c>
      <x:c r="O216" s="198" t="str">
        <x:v>6M</x:v>
      </x:c>
      <x:c r="P216" s="266" t="n">
        <x:v>0.047</x:v>
      </x:c>
      <x:c r="Q216" s="201" t="n">
        <x:v>10050</x:v>
      </x:c>
      <x:c r="R216" s="267" t="n">
        <x:v>1500</x:v>
      </x:c>
      <x:c r="S216" s="254" t="n">
        <x:f>Q216*P216+0.5*R216*P216^2</x:f>
        <x:v>474.00675</x:v>
      </x:c>
      <x:c r="T216" s="191" t="str">
        <x:v>IR</x:v>
      </x:c>
      <x:c r="U216" s="191" t="str">
        <x:v>Illustrative surrogate only</x:v>
      </x:c>
      <x:c r="V216" s="191"/>
      <x:c r="W216" s="191"/>
      <x:c r="X216" s="191"/>
      <x:c r="Y216" s="191"/>
      <x:c r="Z216" s="191"/>
      <x:c r="AA216" s="191"/>
      <x:c r="AB216" s="191"/>
      <x:c r="AC216" s="191"/>
      <x:c r="AD216" s="191"/>
      <x:c r="AE216" s="191"/>
      <x:c r="AF216" s="191"/>
      <x:c r="AG216" s="191"/>
      <x:c r="AH216" s="191"/>
      <x:c r="AI216" s="191"/>
      <x:c r="AJ216" s="191"/>
      <x:c r="AK216" s="191"/>
    </x:row>
    <x:row r="217">
      <x:c r="A217" s="191"/>
      <x:c r="B217" s="191"/>
      <x:c r="C217" s="191"/>
      <x:c r="D217" s="191"/>
      <x:c r="E217" s="191"/>
      <x:c r="F217" s="191"/>
      <x:c r="G217" s="191"/>
      <x:c r="H217" s="191"/>
      <x:c r="I217" s="191"/>
      <x:c r="J217" s="191"/>
      <x:c r="K217" s="191"/>
      <x:c r="L217" s="198" t="str">
        <x:v>NU</x:v>
      </x:c>
      <x:c r="M217" s="198" t="n">
        <x:v>2</x:v>
      </x:c>
      <x:c r="N217" s="198" t="str">
        <x:v>3M</x:v>
      </x:c>
      <x:c r="O217" s="198" t="str">
        <x:v>1Y</x:v>
      </x:c>
      <x:c r="P217" s="266" t="n">
        <x:v>0.049</x:v>
      </x:c>
      <x:c r="Q217" s="201" t="n">
        <x:v>10200</x:v>
      </x:c>
      <x:c r="R217" s="267" t="n">
        <x:v>1500</x:v>
      </x:c>
      <x:c r="S217" s="254" t="n">
        <x:f>Q217*P217+0.5*R217*P217^2</x:f>
        <x:v>501.60075</x:v>
      </x:c>
      <x:c r="T217" s="191" t="str">
        <x:v>IR</x:v>
      </x:c>
      <x:c r="U217" s="191" t="str">
        <x:v>Illustrative surrogate only</x:v>
      </x:c>
      <x:c r="V217" s="191"/>
      <x:c r="W217" s="191"/>
      <x:c r="X217" s="191"/>
      <x:c r="Y217" s="191"/>
      <x:c r="Z217" s="191"/>
      <x:c r="AA217" s="191"/>
      <x:c r="AB217" s="191"/>
      <x:c r="AC217" s="191"/>
      <x:c r="AD217" s="191"/>
      <x:c r="AE217" s="191"/>
      <x:c r="AF217" s="191"/>
      <x:c r="AG217" s="191"/>
      <x:c r="AH217" s="191"/>
      <x:c r="AI217" s="191"/>
      <x:c r="AJ217" s="191"/>
      <x:c r="AK217" s="191"/>
    </x:row>
    <x:row r="218">
      <x:c r="A218" s="191"/>
      <x:c r="B218" s="191"/>
      <x:c r="C218" s="191"/>
      <x:c r="D218" s="191"/>
      <x:c r="E218" s="191"/>
      <x:c r="F218" s="191"/>
      <x:c r="G218" s="191"/>
      <x:c r="H218" s="191"/>
      <x:c r="I218" s="191"/>
      <x:c r="J218" s="191"/>
      <x:c r="K218" s="191"/>
      <x:c r="L218" s="198" t="str">
        <x:v>NU</x:v>
      </x:c>
      <x:c r="M218" s="198" t="n">
        <x:v>2</x:v>
      </x:c>
      <x:c r="N218" s="198" t="str">
        <x:v>3M</x:v>
      </x:c>
      <x:c r="O218" s="198" t="str">
        <x:v>2Y</x:v>
      </x:c>
      <x:c r="P218" s="266" t="n">
        <x:v>0.051000000000000004</x:v>
      </x:c>
      <x:c r="Q218" s="201" t="n">
        <x:v>10350</x:v>
      </x:c>
      <x:c r="R218" s="267" t="n">
        <x:v>1500</x:v>
      </x:c>
      <x:c r="S218" s="254" t="n">
        <x:f>Q218*P218+0.5*R218*P218^2</x:f>
        <x:v>529.80075</x:v>
      </x:c>
      <x:c r="T218" s="191" t="str">
        <x:v>IR</x:v>
      </x:c>
      <x:c r="U218" s="191" t="str">
        <x:v>Illustrative surrogate only</x:v>
      </x:c>
      <x:c r="V218" s="191"/>
      <x:c r="W218" s="191"/>
      <x:c r="X218" s="191"/>
      <x:c r="Y218" s="191"/>
      <x:c r="Z218" s="191"/>
      <x:c r="AA218" s="191"/>
      <x:c r="AB218" s="191"/>
      <x:c r="AC218" s="191"/>
      <x:c r="AD218" s="191"/>
      <x:c r="AE218" s="191"/>
      <x:c r="AF218" s="191"/>
      <x:c r="AG218" s="191"/>
      <x:c r="AH218" s="191"/>
      <x:c r="AI218" s="191"/>
      <x:c r="AJ218" s="191"/>
      <x:c r="AK218" s="191"/>
    </x:row>
    <x:row r="219">
      <x:c r="A219" s="191"/>
      <x:c r="B219" s="191"/>
      <x:c r="C219" s="191"/>
      <x:c r="D219" s="191"/>
      <x:c r="E219" s="191"/>
      <x:c r="F219" s="191"/>
      <x:c r="G219" s="191"/>
      <x:c r="H219" s="191"/>
      <x:c r="I219" s="191"/>
      <x:c r="J219" s="191"/>
      <x:c r="K219" s="191"/>
      <x:c r="L219" s="198" t="str">
        <x:v>NU</x:v>
      </x:c>
      <x:c r="M219" s="198" t="n">
        <x:v>2</x:v>
      </x:c>
      <x:c r="N219" s="198" t="str">
        <x:v>3M</x:v>
      </x:c>
      <x:c r="O219" s="198" t="str">
        <x:v>3Y</x:v>
      </x:c>
      <x:c r="P219" s="266" t="n">
        <x:v>0.053000000000000005</x:v>
      </x:c>
      <x:c r="Q219" s="201" t="n">
        <x:v>10500</x:v>
      </x:c>
      <x:c r="R219" s="267" t="n">
        <x:v>1500</x:v>
      </x:c>
      <x:c r="S219" s="254" t="n">
        <x:f>Q219*P219+0.5*R219*P219^2</x:f>
        <x:v>558.6067500000001</x:v>
      </x:c>
      <x:c r="T219" s="191" t="str">
        <x:v>IR</x:v>
      </x:c>
      <x:c r="U219" s="191" t="str">
        <x:v>Illustrative surrogate only</x:v>
      </x:c>
      <x:c r="V219" s="191"/>
      <x:c r="W219" s="191"/>
      <x:c r="X219" s="191"/>
      <x:c r="Y219" s="191"/>
      <x:c r="Z219" s="191"/>
      <x:c r="AA219" s="191"/>
      <x:c r="AB219" s="191"/>
      <x:c r="AC219" s="191"/>
      <x:c r="AD219" s="191"/>
      <x:c r="AE219" s="191"/>
      <x:c r="AF219" s="191"/>
      <x:c r="AG219" s="191"/>
      <x:c r="AH219" s="191"/>
      <x:c r="AI219" s="191"/>
      <x:c r="AJ219" s="191"/>
      <x:c r="AK219" s="191"/>
    </x:row>
    <x:row r="220">
      <x:c r="A220" s="191"/>
      <x:c r="B220" s="191"/>
      <x:c r="C220" s="191"/>
      <x:c r="D220" s="191"/>
      <x:c r="E220" s="191"/>
      <x:c r="F220" s="191"/>
      <x:c r="G220" s="191"/>
      <x:c r="H220" s="191"/>
      <x:c r="I220" s="191"/>
      <x:c r="J220" s="191"/>
      <x:c r="K220" s="191"/>
      <x:c r="L220" s="198" t="str">
        <x:v>NU</x:v>
      </x:c>
      <x:c r="M220" s="198" t="n">
        <x:v>2</x:v>
      </x:c>
      <x:c r="N220" s="198" t="str">
        <x:v>3M</x:v>
      </x:c>
      <x:c r="O220" s="198" t="str">
        <x:v>5Y</x:v>
      </x:c>
      <x:c r="P220" s="266" t="n">
        <x:v>0.055</x:v>
      </x:c>
      <x:c r="Q220" s="201" t="n">
        <x:v>10650</x:v>
      </x:c>
      <x:c r="R220" s="267" t="n">
        <x:v>1500</x:v>
      </x:c>
      <x:c r="S220" s="254" t="n">
        <x:f>Q220*P220+0.5*R220*P220^2</x:f>
        <x:v>588.01875</x:v>
      </x:c>
      <x:c r="T220" s="191" t="str">
        <x:v>IR</x:v>
      </x:c>
      <x:c r="U220" s="191" t="str">
        <x:v>Illustrative surrogate only</x:v>
      </x:c>
      <x:c r="V220" s="191"/>
      <x:c r="W220" s="191"/>
      <x:c r="X220" s="191"/>
      <x:c r="Y220" s="191"/>
      <x:c r="Z220" s="191"/>
      <x:c r="AA220" s="191"/>
      <x:c r="AB220" s="191"/>
      <x:c r="AC220" s="191"/>
      <x:c r="AD220" s="191"/>
      <x:c r="AE220" s="191"/>
      <x:c r="AF220" s="191"/>
      <x:c r="AG220" s="191"/>
      <x:c r="AH220" s="191"/>
      <x:c r="AI220" s="191"/>
      <x:c r="AJ220" s="191"/>
      <x:c r="AK220" s="191"/>
    </x:row>
    <x:row r="221">
      <x:c r="A221" s="191"/>
      <x:c r="B221" s="191"/>
      <x:c r="C221" s="191"/>
      <x:c r="D221" s="191"/>
      <x:c r="E221" s="191"/>
      <x:c r="F221" s="191"/>
      <x:c r="G221" s="191"/>
      <x:c r="H221" s="191"/>
      <x:c r="I221" s="191"/>
      <x:c r="J221" s="191"/>
      <x:c r="K221" s="191"/>
      <x:c r="L221" s="198" t="str">
        <x:v>NU</x:v>
      </x:c>
      <x:c r="M221" s="198" t="n">
        <x:v>2</x:v>
      </x:c>
      <x:c r="N221" s="198" t="str">
        <x:v>3M</x:v>
      </x:c>
      <x:c r="O221" s="198" t="str">
        <x:v>10Y</x:v>
      </x:c>
      <x:c r="P221" s="266" t="n">
        <x:v>0.057</x:v>
      </x:c>
      <x:c r="Q221" s="201" t="n">
        <x:v>10800</x:v>
      </x:c>
      <x:c r="R221" s="267" t="n">
        <x:v>1500</x:v>
      </x:c>
      <x:c r="S221" s="254" t="n">
        <x:f>Q221*P221+0.5*R221*P221^2</x:f>
        <x:v>618.03675</x:v>
      </x:c>
      <x:c r="T221" s="191" t="str">
        <x:v>IR</x:v>
      </x:c>
      <x:c r="U221" s="191" t="str">
        <x:v>Illustrative surrogate only</x:v>
      </x:c>
      <x:c r="V221" s="191"/>
      <x:c r="W221" s="191"/>
      <x:c r="X221" s="191"/>
      <x:c r="Y221" s="191"/>
      <x:c r="Z221" s="191"/>
      <x:c r="AA221" s="191"/>
      <x:c r="AB221" s="191"/>
      <x:c r="AC221" s="191"/>
      <x:c r="AD221" s="191"/>
      <x:c r="AE221" s="191"/>
      <x:c r="AF221" s="191"/>
      <x:c r="AG221" s="191"/>
      <x:c r="AH221" s="191"/>
      <x:c r="AI221" s="191"/>
      <x:c r="AJ221" s="191"/>
      <x:c r="AK221" s="191"/>
    </x:row>
    <x:row r="222">
      <x:c r="A222" s="191"/>
      <x:c r="B222" s="191"/>
      <x:c r="C222" s="191"/>
      <x:c r="D222" s="191"/>
      <x:c r="E222" s="191"/>
      <x:c r="F222" s="191"/>
      <x:c r="G222" s="191"/>
      <x:c r="H222" s="191"/>
      <x:c r="I222" s="191"/>
      <x:c r="J222" s="191"/>
      <x:c r="K222" s="191"/>
      <x:c r="L222" s="198" t="str">
        <x:v>NU</x:v>
      </x:c>
      <x:c r="M222" s="198" t="n">
        <x:v>2</x:v>
      </x:c>
      <x:c r="N222" s="198" t="str">
        <x:v>3M</x:v>
      </x:c>
      <x:c r="O222" s="198" t="str">
        <x:v>20Y</x:v>
      </x:c>
      <x:c r="P222" s="266" t="n">
        <x:v>0.059000000000000004</x:v>
      </x:c>
      <x:c r="Q222" s="201" t="n">
        <x:v>10950</x:v>
      </x:c>
      <x:c r="R222" s="267" t="n">
        <x:v>1500</x:v>
      </x:c>
      <x:c r="S222" s="254" t="n">
        <x:f>Q222*P222+0.5*R222*P222^2</x:f>
        <x:v>648.6607500000001</x:v>
      </x:c>
      <x:c r="T222" s="191" t="str">
        <x:v>IR</x:v>
      </x:c>
      <x:c r="U222" s="191" t="str">
        <x:v>Illustrative surrogate only</x:v>
      </x:c>
      <x:c r="V222" s="191"/>
      <x:c r="W222" s="191"/>
      <x:c r="X222" s="191"/>
      <x:c r="Y222" s="191"/>
      <x:c r="Z222" s="191"/>
      <x:c r="AA222" s="191"/>
      <x:c r="AB222" s="191"/>
      <x:c r="AC222" s="191"/>
      <x:c r="AD222" s="191"/>
      <x:c r="AE222" s="191"/>
      <x:c r="AF222" s="191"/>
      <x:c r="AG222" s="191"/>
      <x:c r="AH222" s="191"/>
      <x:c r="AI222" s="191"/>
      <x:c r="AJ222" s="191"/>
      <x:c r="AK222" s="191"/>
    </x:row>
    <x:row r="223">
      <x:c r="A223" s="191"/>
      <x:c r="B223" s="191"/>
      <x:c r="C223" s="191"/>
      <x:c r="D223" s="191"/>
      <x:c r="E223" s="191"/>
      <x:c r="F223" s="191"/>
      <x:c r="G223" s="191"/>
      <x:c r="H223" s="191"/>
      <x:c r="I223" s="191"/>
      <x:c r="J223" s="191"/>
      <x:c r="K223" s="191"/>
      <x:c r="L223" s="198" t="str">
        <x:v>NU</x:v>
      </x:c>
      <x:c r="M223" s="198" t="n">
        <x:v>2</x:v>
      </x:c>
      <x:c r="N223" s="198" t="str">
        <x:v>3M</x:v>
      </x:c>
      <x:c r="O223" s="198" t="str">
        <x:v>30Y</x:v>
      </x:c>
      <x:c r="P223" s="266" t="n">
        <x:v>0.061</x:v>
      </x:c>
      <x:c r="Q223" s="201" t="n">
        <x:v>11100</x:v>
      </x:c>
      <x:c r="R223" s="267" t="n">
        <x:v>1500</x:v>
      </x:c>
      <x:c r="S223" s="254" t="n">
        <x:f>Q223*P223+0.5*R223*P223^2</x:f>
        <x:v>679.89075</x:v>
      </x:c>
      <x:c r="T223" s="191" t="str">
        <x:v>IR</x:v>
      </x:c>
      <x:c r="U223" s="191" t="str">
        <x:v>Illustrative surrogate only</x:v>
      </x:c>
      <x:c r="V223" s="191"/>
      <x:c r="W223" s="191"/>
      <x:c r="X223" s="191"/>
      <x:c r="Y223" s="191"/>
      <x:c r="Z223" s="191"/>
      <x:c r="AA223" s="191"/>
      <x:c r="AB223" s="191"/>
      <x:c r="AC223" s="191"/>
      <x:c r="AD223" s="191"/>
      <x:c r="AE223" s="191"/>
      <x:c r="AF223" s="191"/>
      <x:c r="AG223" s="191"/>
      <x:c r="AH223" s="191"/>
      <x:c r="AI223" s="191"/>
      <x:c r="AJ223" s="191"/>
      <x:c r="AK223" s="191"/>
    </x:row>
    <x:row r="224">
      <x:c r="A224" s="191"/>
      <x:c r="B224" s="191"/>
      <x:c r="C224" s="191"/>
      <x:c r="D224" s="191"/>
      <x:c r="E224" s="191"/>
      <x:c r="F224" s="191"/>
      <x:c r="G224" s="191"/>
      <x:c r="H224" s="191"/>
      <x:c r="I224" s="191"/>
      <x:c r="J224" s="191"/>
      <x:c r="K224" s="191"/>
      <x:c r="L224" s="198" t="str">
        <x:v>NU</x:v>
      </x:c>
      <x:c r="M224" s="198" t="n">
        <x:v>3</x:v>
      </x:c>
      <x:c r="N224" s="198" t="str">
        <x:v>6M</x:v>
      </x:c>
      <x:c r="O224" s="198" t="str">
        <x:v>1M</x:v>
      </x:c>
      <x:c r="P224" s="266" t="n">
        <x:v>0.046000000000000006</x:v>
      </x:c>
      <x:c r="Q224" s="201" t="n">
        <x:v>10050</x:v>
      </x:c>
      <x:c r="R224" s="267" t="n">
        <x:v>1500</x:v>
      </x:c>
      <x:c r="S224" s="254" t="n">
        <x:f>Q224*P224+0.5*R224*P224^2</x:f>
        <x:v>463.88700000000006</x:v>
      </x:c>
      <x:c r="T224" s="191" t="str">
        <x:v>IR</x:v>
      </x:c>
      <x:c r="U224" s="191" t="str">
        <x:v>Illustrative surrogate only</x:v>
      </x:c>
      <x:c r="V224" s="191"/>
      <x:c r="W224" s="191"/>
      <x:c r="X224" s="191"/>
      <x:c r="Y224" s="191"/>
      <x:c r="Z224" s="191"/>
      <x:c r="AA224" s="191"/>
      <x:c r="AB224" s="191"/>
      <x:c r="AC224" s="191"/>
      <x:c r="AD224" s="191"/>
      <x:c r="AE224" s="191"/>
      <x:c r="AF224" s="191"/>
      <x:c r="AG224" s="191"/>
      <x:c r="AH224" s="191"/>
      <x:c r="AI224" s="191"/>
      <x:c r="AJ224" s="191"/>
      <x:c r="AK224" s="191"/>
    </x:row>
    <x:row r="225">
      <x:c r="A225" s="191"/>
      <x:c r="B225" s="191"/>
      <x:c r="C225" s="191"/>
      <x:c r="D225" s="191"/>
      <x:c r="E225" s="191"/>
      <x:c r="F225" s="191"/>
      <x:c r="G225" s="191"/>
      <x:c r="H225" s="191"/>
      <x:c r="I225" s="191"/>
      <x:c r="J225" s="191"/>
      <x:c r="K225" s="191"/>
      <x:c r="L225" s="198" t="str">
        <x:v>NU</x:v>
      </x:c>
      <x:c r="M225" s="198" t="n">
        <x:v>3</x:v>
      </x:c>
      <x:c r="N225" s="198" t="str">
        <x:v>6M</x:v>
      </x:c>
      <x:c r="O225" s="198" t="str">
        <x:v>3M</x:v>
      </x:c>
      <x:c r="P225" s="266" t="n">
        <x:v>0.048</x:v>
      </x:c>
      <x:c r="Q225" s="201" t="n">
        <x:v>10200</x:v>
      </x:c>
      <x:c r="R225" s="267" t="n">
        <x:v>1500</x:v>
      </x:c>
      <x:c r="S225" s="254" t="n">
        <x:f>Q225*P225+0.5*R225*P225^2</x:f>
        <x:v>491.32800000000003</x:v>
      </x:c>
      <x:c r="T225" s="191" t="str">
        <x:v>IR</x:v>
      </x:c>
      <x:c r="U225" s="191" t="str">
        <x:v>Illustrative surrogate only</x:v>
      </x:c>
      <x:c r="V225" s="191"/>
      <x:c r="W225" s="191"/>
      <x:c r="X225" s="191"/>
      <x:c r="Y225" s="191"/>
      <x:c r="Z225" s="191"/>
      <x:c r="AA225" s="191"/>
      <x:c r="AB225" s="191"/>
      <x:c r="AC225" s="191"/>
      <x:c r="AD225" s="191"/>
      <x:c r="AE225" s="191"/>
      <x:c r="AF225" s="191"/>
      <x:c r="AG225" s="191"/>
      <x:c r="AH225" s="191"/>
      <x:c r="AI225" s="191"/>
      <x:c r="AJ225" s="191"/>
      <x:c r="AK225" s="191"/>
    </x:row>
    <x:row r="226">
      <x:c r="A226" s="191"/>
      <x:c r="B226" s="191"/>
      <x:c r="C226" s="191"/>
      <x:c r="D226" s="191"/>
      <x:c r="E226" s="191"/>
      <x:c r="F226" s="191"/>
      <x:c r="G226" s="191"/>
      <x:c r="H226" s="191"/>
      <x:c r="I226" s="191"/>
      <x:c r="J226" s="191"/>
      <x:c r="K226" s="191"/>
      <x:c r="L226" s="198" t="str">
        <x:v>NU</x:v>
      </x:c>
      <x:c r="M226" s="198" t="n">
        <x:v>3</x:v>
      </x:c>
      <x:c r="N226" s="198" t="str">
        <x:v>6M</x:v>
      </x:c>
      <x:c r="O226" s="198" t="str">
        <x:v>6M</x:v>
      </x:c>
      <x:c r="P226" s="266" t="n">
        <x:v>0.05</x:v>
      </x:c>
      <x:c r="Q226" s="201" t="n">
        <x:v>10350</x:v>
      </x:c>
      <x:c r="R226" s="267" t="n">
        <x:v>1500</x:v>
      </x:c>
      <x:c r="S226" s="254" t="n">
        <x:f>Q226*P226+0.5*R226*P226^2</x:f>
        <x:v>519.375</x:v>
      </x:c>
      <x:c r="T226" s="191" t="str">
        <x:v>IR</x:v>
      </x:c>
      <x:c r="U226" s="191" t="str">
        <x:v>Illustrative surrogate only</x:v>
      </x:c>
      <x:c r="V226" s="191"/>
      <x:c r="W226" s="191"/>
      <x:c r="X226" s="191"/>
      <x:c r="Y226" s="191"/>
      <x:c r="Z226" s="191"/>
      <x:c r="AA226" s="191"/>
      <x:c r="AB226" s="191"/>
      <x:c r="AC226" s="191"/>
      <x:c r="AD226" s="191"/>
      <x:c r="AE226" s="191"/>
      <x:c r="AF226" s="191"/>
      <x:c r="AG226" s="191"/>
      <x:c r="AH226" s="191"/>
      <x:c r="AI226" s="191"/>
      <x:c r="AJ226" s="191"/>
      <x:c r="AK226" s="191"/>
    </x:row>
    <x:row r="227">
      <x:c r="A227" s="191"/>
      <x:c r="B227" s="191"/>
      <x:c r="C227" s="191"/>
      <x:c r="D227" s="191"/>
      <x:c r="E227" s="191"/>
      <x:c r="F227" s="191"/>
      <x:c r="G227" s="191"/>
      <x:c r="H227" s="191"/>
      <x:c r="I227" s="191"/>
      <x:c r="J227" s="191"/>
      <x:c r="K227" s="191"/>
      <x:c r="L227" s="198" t="str">
        <x:v>NU</x:v>
      </x:c>
      <x:c r="M227" s="198" t="n">
        <x:v>3</x:v>
      </x:c>
      <x:c r="N227" s="198" t="str">
        <x:v>6M</x:v>
      </x:c>
      <x:c r="O227" s="198" t="str">
        <x:v>1Y</x:v>
      </x:c>
      <x:c r="P227" s="266" t="n">
        <x:v>0.052000000000000005</x:v>
      </x:c>
      <x:c r="Q227" s="201" t="n">
        <x:v>10500</x:v>
      </x:c>
      <x:c r="R227" s="267" t="n">
        <x:v>1500</x:v>
      </x:c>
      <x:c r="S227" s="254" t="n">
        <x:f>Q227*P227+0.5*R227*P227^2</x:f>
        <x:v>548.028</x:v>
      </x:c>
      <x:c r="T227" s="191" t="str">
        <x:v>IR</x:v>
      </x:c>
      <x:c r="U227" s="191" t="str">
        <x:v>Illustrative surrogate only</x:v>
      </x:c>
      <x:c r="V227" s="191"/>
      <x:c r="W227" s="191"/>
      <x:c r="X227" s="191"/>
      <x:c r="Y227" s="191"/>
      <x:c r="Z227" s="191"/>
      <x:c r="AA227" s="191"/>
      <x:c r="AB227" s="191"/>
      <x:c r="AC227" s="191"/>
      <x:c r="AD227" s="191"/>
      <x:c r="AE227" s="191"/>
      <x:c r="AF227" s="191"/>
      <x:c r="AG227" s="191"/>
      <x:c r="AH227" s="191"/>
      <x:c r="AI227" s="191"/>
      <x:c r="AJ227" s="191"/>
      <x:c r="AK227" s="191"/>
    </x:row>
    <x:row r="228">
      <x:c r="A228" s="191"/>
      <x:c r="B228" s="191"/>
      <x:c r="C228" s="191"/>
      <x:c r="D228" s="191"/>
      <x:c r="E228" s="191"/>
      <x:c r="F228" s="191"/>
      <x:c r="G228" s="191"/>
      <x:c r="H228" s="191"/>
      <x:c r="I228" s="191"/>
      <x:c r="J228" s="191"/>
      <x:c r="K228" s="191"/>
      <x:c r="L228" s="198" t="str">
        <x:v>NU</x:v>
      </x:c>
      <x:c r="M228" s="198" t="n">
        <x:v>3</x:v>
      </x:c>
      <x:c r="N228" s="198" t="str">
        <x:v>6M</x:v>
      </x:c>
      <x:c r="O228" s="198" t="str">
        <x:v>2Y</x:v>
      </x:c>
      <x:c r="P228" s="266" t="n">
        <x:v>0.054000000000000006</x:v>
      </x:c>
      <x:c r="Q228" s="201" t="n">
        <x:v>10650</x:v>
      </x:c>
      <x:c r="R228" s="267" t="n">
        <x:v>1500</x:v>
      </x:c>
      <x:c r="S228" s="254" t="n">
        <x:f>Q228*P228+0.5*R228*P228^2</x:f>
        <x:v>577.287</x:v>
      </x:c>
      <x:c r="T228" s="191" t="str">
        <x:v>IR</x:v>
      </x:c>
      <x:c r="U228" s="191" t="str">
        <x:v>Illustrative surrogate only</x:v>
      </x:c>
      <x:c r="V228" s="191"/>
      <x:c r="W228" s="191"/>
      <x:c r="X228" s="191"/>
      <x:c r="Y228" s="191"/>
      <x:c r="Z228" s="191"/>
      <x:c r="AA228" s="191"/>
      <x:c r="AB228" s="191"/>
      <x:c r="AC228" s="191"/>
      <x:c r="AD228" s="191"/>
      <x:c r="AE228" s="191"/>
      <x:c r="AF228" s="191"/>
      <x:c r="AG228" s="191"/>
      <x:c r="AH228" s="191"/>
      <x:c r="AI228" s="191"/>
      <x:c r="AJ228" s="191"/>
      <x:c r="AK228" s="191"/>
    </x:row>
    <x:row r="229">
      <x:c r="A229" s="191"/>
      <x:c r="B229" s="191"/>
      <x:c r="C229" s="191"/>
      <x:c r="D229" s="191"/>
      <x:c r="E229" s="191"/>
      <x:c r="F229" s="191"/>
      <x:c r="G229" s="191"/>
      <x:c r="H229" s="191"/>
      <x:c r="I229" s="191"/>
      <x:c r="J229" s="191"/>
      <x:c r="K229" s="191"/>
      <x:c r="L229" s="198" t="str">
        <x:v>NU</x:v>
      </x:c>
      <x:c r="M229" s="198" t="n">
        <x:v>3</x:v>
      </x:c>
      <x:c r="N229" s="198" t="str">
        <x:v>6M</x:v>
      </x:c>
      <x:c r="O229" s="198" t="str">
        <x:v>3Y</x:v>
      </x:c>
      <x:c r="P229" s="266" t="n">
        <x:v>0.05600000000000001</x:v>
      </x:c>
      <x:c r="Q229" s="201" t="n">
        <x:v>10800</x:v>
      </x:c>
      <x:c r="R229" s="267" t="n">
        <x:v>1500</x:v>
      </x:c>
      <x:c r="S229" s="254" t="n">
        <x:f>Q229*P229+0.5*R229*P229^2</x:f>
        <x:v>607.152</x:v>
      </x:c>
      <x:c r="T229" s="191" t="str">
        <x:v>IR</x:v>
      </x:c>
      <x:c r="U229" s="191" t="str">
        <x:v>Illustrative surrogate only</x:v>
      </x:c>
      <x:c r="V229" s="191"/>
      <x:c r="W229" s="191"/>
      <x:c r="X229" s="191"/>
      <x:c r="Y229" s="191"/>
      <x:c r="Z229" s="191"/>
      <x:c r="AA229" s="191"/>
      <x:c r="AB229" s="191"/>
      <x:c r="AC229" s="191"/>
      <x:c r="AD229" s="191"/>
      <x:c r="AE229" s="191"/>
      <x:c r="AF229" s="191"/>
      <x:c r="AG229" s="191"/>
      <x:c r="AH229" s="191"/>
      <x:c r="AI229" s="191"/>
      <x:c r="AJ229" s="191"/>
      <x:c r="AK229" s="191"/>
    </x:row>
    <x:row r="230">
      <x:c r="A230" s="191"/>
      <x:c r="B230" s="191"/>
      <x:c r="C230" s="191"/>
      <x:c r="D230" s="191"/>
      <x:c r="E230" s="191"/>
      <x:c r="F230" s="191"/>
      <x:c r="G230" s="191"/>
      <x:c r="H230" s="191"/>
      <x:c r="I230" s="191"/>
      <x:c r="J230" s="191"/>
      <x:c r="K230" s="191"/>
      <x:c r="L230" s="198" t="str">
        <x:v>NU</x:v>
      </x:c>
      <x:c r="M230" s="198" t="n">
        <x:v>3</x:v>
      </x:c>
      <x:c r="N230" s="198" t="str">
        <x:v>6M</x:v>
      </x:c>
      <x:c r="O230" s="198" t="str">
        <x:v>5Y</x:v>
      </x:c>
      <x:c r="P230" s="266" t="n">
        <x:v>0.058</x:v>
      </x:c>
      <x:c r="Q230" s="201" t="n">
        <x:v>10950</x:v>
      </x:c>
      <x:c r="R230" s="267" t="n">
        <x:v>1500</x:v>
      </x:c>
      <x:c r="S230" s="254" t="n">
        <x:f>Q230*P230+0.5*R230*P230^2</x:f>
        <x:v>637.623</x:v>
      </x:c>
      <x:c r="T230" s="191" t="str">
        <x:v>IR</x:v>
      </x:c>
      <x:c r="U230" s="191" t="str">
        <x:v>Illustrative surrogate only</x:v>
      </x:c>
      <x:c r="V230" s="191"/>
      <x:c r="W230" s="191"/>
      <x:c r="X230" s="191"/>
      <x:c r="Y230" s="191"/>
      <x:c r="Z230" s="191"/>
      <x:c r="AA230" s="191"/>
      <x:c r="AB230" s="191"/>
      <x:c r="AC230" s="191"/>
      <x:c r="AD230" s="191"/>
      <x:c r="AE230" s="191"/>
      <x:c r="AF230" s="191"/>
      <x:c r="AG230" s="191"/>
      <x:c r="AH230" s="191"/>
      <x:c r="AI230" s="191"/>
      <x:c r="AJ230" s="191"/>
      <x:c r="AK230" s="191"/>
    </x:row>
    <x:row r="231">
      <x:c r="A231" s="191"/>
      <x:c r="B231" s="191"/>
      <x:c r="C231" s="191"/>
      <x:c r="D231" s="191"/>
      <x:c r="E231" s="191"/>
      <x:c r="F231" s="191"/>
      <x:c r="G231" s="191"/>
      <x:c r="H231" s="191"/>
      <x:c r="I231" s="191"/>
      <x:c r="J231" s="191"/>
      <x:c r="K231" s="191"/>
      <x:c r="L231" s="198" t="str">
        <x:v>NU</x:v>
      </x:c>
      <x:c r="M231" s="198" t="n">
        <x:v>3</x:v>
      </x:c>
      <x:c r="N231" s="198" t="str">
        <x:v>6M</x:v>
      </x:c>
      <x:c r="O231" s="198" t="str">
        <x:v>10Y</x:v>
      </x:c>
      <x:c r="P231" s="266" t="n">
        <x:v>0.060000000000000005</x:v>
      </x:c>
      <x:c r="Q231" s="201" t="n">
        <x:v>11100</x:v>
      </x:c>
      <x:c r="R231" s="267" t="n">
        <x:v>1500</x:v>
      </x:c>
      <x:c r="S231" s="254" t="n">
        <x:f>Q231*P231+0.5*R231*P231^2</x:f>
        <x:v>668.7</x:v>
      </x:c>
      <x:c r="T231" s="191" t="str">
        <x:v>IR</x:v>
      </x:c>
      <x:c r="U231" s="191" t="str">
        <x:v>Illustrative surrogate only</x:v>
      </x:c>
      <x:c r="V231" s="191"/>
      <x:c r="W231" s="191"/>
      <x:c r="X231" s="191"/>
      <x:c r="Y231" s="191"/>
      <x:c r="Z231" s="191"/>
      <x:c r="AA231" s="191"/>
      <x:c r="AB231" s="191"/>
      <x:c r="AC231" s="191"/>
      <x:c r="AD231" s="191"/>
      <x:c r="AE231" s="191"/>
      <x:c r="AF231" s="191"/>
      <x:c r="AG231" s="191"/>
      <x:c r="AH231" s="191"/>
      <x:c r="AI231" s="191"/>
      <x:c r="AJ231" s="191"/>
      <x:c r="AK231" s="191"/>
    </x:row>
    <x:row r="232">
      <x:c r="A232" s="191"/>
      <x:c r="B232" s="191"/>
      <x:c r="C232" s="191"/>
      <x:c r="D232" s="191"/>
      <x:c r="E232" s="191"/>
      <x:c r="F232" s="191"/>
      <x:c r="G232" s="191"/>
      <x:c r="H232" s="191"/>
      <x:c r="I232" s="191"/>
      <x:c r="J232" s="191"/>
      <x:c r="K232" s="191"/>
      <x:c r="L232" s="198" t="str">
        <x:v>NU</x:v>
      </x:c>
      <x:c r="M232" s="198" t="n">
        <x:v>3</x:v>
      </x:c>
      <x:c r="N232" s="198" t="str">
        <x:v>6M</x:v>
      </x:c>
      <x:c r="O232" s="198" t="str">
        <x:v>20Y</x:v>
      </x:c>
      <x:c r="P232" s="266" t="n">
        <x:v>0.062000000000000006</x:v>
      </x:c>
      <x:c r="Q232" s="201" t="n">
        <x:v>11250</x:v>
      </x:c>
      <x:c r="R232" s="267" t="n">
        <x:v>1500</x:v>
      </x:c>
      <x:c r="S232" s="254" t="n">
        <x:f>Q232*P232+0.5*R232*P232^2</x:f>
        <x:v>700.3830000000002</x:v>
      </x:c>
      <x:c r="T232" s="191" t="str">
        <x:v>IR</x:v>
      </x:c>
      <x:c r="U232" s="191" t="str">
        <x:v>Illustrative surrogate only</x:v>
      </x:c>
      <x:c r="V232" s="191"/>
      <x:c r="W232" s="191"/>
      <x:c r="X232" s="191"/>
      <x:c r="Y232" s="191"/>
      <x:c r="Z232" s="191"/>
      <x:c r="AA232" s="191"/>
      <x:c r="AB232" s="191"/>
      <x:c r="AC232" s="191"/>
      <x:c r="AD232" s="191"/>
      <x:c r="AE232" s="191"/>
      <x:c r="AF232" s="191"/>
      <x:c r="AG232" s="191"/>
      <x:c r="AH232" s="191"/>
      <x:c r="AI232" s="191"/>
      <x:c r="AJ232" s="191"/>
      <x:c r="AK232" s="191"/>
    </x:row>
    <x:row r="233">
      <x:c r="A233" s="191"/>
      <x:c r="B233" s="191"/>
      <x:c r="C233" s="191"/>
      <x:c r="D233" s="191"/>
      <x:c r="E233" s="191"/>
      <x:c r="F233" s="191"/>
      <x:c r="G233" s="191"/>
      <x:c r="H233" s="191"/>
      <x:c r="I233" s="191"/>
      <x:c r="J233" s="191"/>
      <x:c r="K233" s="191"/>
      <x:c r="L233" s="198" t="str">
        <x:v>NU</x:v>
      </x:c>
      <x:c r="M233" s="198" t="n">
        <x:v>3</x:v>
      </x:c>
      <x:c r="N233" s="198" t="str">
        <x:v>6M</x:v>
      </x:c>
      <x:c r="O233" s="198" t="str">
        <x:v>30Y</x:v>
      </x:c>
      <x:c r="P233" s="266" t="n">
        <x:v>0.064</x:v>
      </x:c>
      <x:c r="Q233" s="201" t="n">
        <x:v>11400</x:v>
      </x:c>
      <x:c r="R233" s="267" t="n">
        <x:v>1500</x:v>
      </x:c>
      <x:c r="S233" s="254" t="n">
        <x:f>Q233*P233+0.5*R233*P233^2</x:f>
        <x:v>732.672</x:v>
      </x:c>
      <x:c r="T233" s="191" t="str">
        <x:v>IR</x:v>
      </x:c>
      <x:c r="U233" s="191" t="str">
        <x:v>Illustrative surrogate only</x:v>
      </x:c>
      <x:c r="V233" s="191"/>
      <x:c r="W233" s="191"/>
      <x:c r="X233" s="191"/>
      <x:c r="Y233" s="191"/>
      <x:c r="Z233" s="191"/>
      <x:c r="AA233" s="191"/>
      <x:c r="AB233" s="191"/>
      <x:c r="AC233" s="191"/>
      <x:c r="AD233" s="191"/>
      <x:c r="AE233" s="191"/>
      <x:c r="AF233" s="191"/>
      <x:c r="AG233" s="191"/>
      <x:c r="AH233" s="191"/>
      <x:c r="AI233" s="191"/>
      <x:c r="AJ233" s="191"/>
      <x:c r="AK233" s="191"/>
    </x:row>
    <x:row r="234">
      <x:c r="A234" s="191"/>
      <x:c r="B234" s="191"/>
      <x:c r="C234" s="191"/>
      <x:c r="D234" s="191"/>
      <x:c r="E234" s="191"/>
      <x:c r="F234" s="191"/>
      <x:c r="G234" s="191"/>
      <x:c r="H234" s="191"/>
      <x:c r="I234" s="191"/>
      <x:c r="J234" s="191"/>
      <x:c r="K234" s="191"/>
      <x:c r="L234" s="198" t="str">
        <x:v>NU</x:v>
      </x:c>
      <x:c r="M234" s="198" t="n">
        <x:v>4</x:v>
      </x:c>
      <x:c r="N234" s="198" t="str">
        <x:v>1Y</x:v>
      </x:c>
      <x:c r="O234" s="198" t="str">
        <x:v>1M</x:v>
      </x:c>
      <x:c r="P234" s="266" t="n">
        <x:v>0.049</x:v>
      </x:c>
      <x:c r="Q234" s="201" t="n">
        <x:v>10350</x:v>
      </x:c>
      <x:c r="R234" s="267" t="n">
        <x:v>1500</x:v>
      </x:c>
      <x:c r="S234" s="254" t="n">
        <x:f>Q234*P234+0.5*R234*P234^2</x:f>
        <x:v>508.95075</x:v>
      </x:c>
      <x:c r="T234" s="191" t="str">
        <x:v>IR</x:v>
      </x:c>
      <x:c r="U234" s="191" t="str">
        <x:v>Illustrative surrogate only</x:v>
      </x:c>
      <x:c r="V234" s="191"/>
      <x:c r="W234" s="191"/>
      <x:c r="X234" s="191"/>
      <x:c r="Y234" s="191"/>
      <x:c r="Z234" s="191"/>
      <x:c r="AA234" s="191"/>
      <x:c r="AB234" s="191"/>
      <x:c r="AC234" s="191"/>
      <x:c r="AD234" s="191"/>
      <x:c r="AE234" s="191"/>
      <x:c r="AF234" s="191"/>
      <x:c r="AG234" s="191"/>
      <x:c r="AH234" s="191"/>
      <x:c r="AI234" s="191"/>
      <x:c r="AJ234" s="191"/>
      <x:c r="AK234" s="191"/>
    </x:row>
    <x:row r="235">
      <x:c r="A235" s="191"/>
      <x:c r="B235" s="191"/>
      <x:c r="C235" s="191"/>
      <x:c r="D235" s="191"/>
      <x:c r="E235" s="191"/>
      <x:c r="F235" s="191"/>
      <x:c r="G235" s="191"/>
      <x:c r="H235" s="191"/>
      <x:c r="I235" s="191"/>
      <x:c r="J235" s="191"/>
      <x:c r="K235" s="191"/>
      <x:c r="L235" s="198" t="str">
        <x:v>NU</x:v>
      </x:c>
      <x:c r="M235" s="198" t="n">
        <x:v>4</x:v>
      </x:c>
      <x:c r="N235" s="198" t="str">
        <x:v>1Y</x:v>
      </x:c>
      <x:c r="O235" s="198" t="str">
        <x:v>3M</x:v>
      </x:c>
      <x:c r="P235" s="266" t="n">
        <x:v>0.051000000000000004</x:v>
      </x:c>
      <x:c r="Q235" s="201" t="n">
        <x:v>10500</x:v>
      </x:c>
      <x:c r="R235" s="267" t="n">
        <x:v>1500</x:v>
      </x:c>
      <x:c r="S235" s="254" t="n">
        <x:f>Q235*P235+0.5*R235*P235^2</x:f>
        <x:v>537.45075</x:v>
      </x:c>
      <x:c r="T235" s="191" t="str">
        <x:v>IR</x:v>
      </x:c>
      <x:c r="U235" s="191" t="str">
        <x:v>Illustrative surrogate only</x:v>
      </x:c>
      <x:c r="V235" s="191"/>
      <x:c r="W235" s="191"/>
      <x:c r="X235" s="191"/>
      <x:c r="Y235" s="191"/>
      <x:c r="Z235" s="191"/>
      <x:c r="AA235" s="191"/>
      <x:c r="AB235" s="191"/>
      <x:c r="AC235" s="191"/>
      <x:c r="AD235" s="191"/>
      <x:c r="AE235" s="191"/>
      <x:c r="AF235" s="191"/>
      <x:c r="AG235" s="191"/>
      <x:c r="AH235" s="191"/>
      <x:c r="AI235" s="191"/>
      <x:c r="AJ235" s="191"/>
      <x:c r="AK235" s="191"/>
    </x:row>
    <x:row r="236">
      <x:c r="A236" s="191"/>
      <x:c r="B236" s="191"/>
      <x:c r="C236" s="191"/>
      <x:c r="D236" s="191"/>
      <x:c r="E236" s="191"/>
      <x:c r="F236" s="191"/>
      <x:c r="G236" s="191"/>
      <x:c r="H236" s="191"/>
      <x:c r="I236" s="191"/>
      <x:c r="J236" s="191"/>
      <x:c r="K236" s="191"/>
      <x:c r="L236" s="198" t="str">
        <x:v>NU</x:v>
      </x:c>
      <x:c r="M236" s="198" t="n">
        <x:v>4</x:v>
      </x:c>
      <x:c r="N236" s="198" t="str">
        <x:v>1Y</x:v>
      </x:c>
      <x:c r="O236" s="198" t="str">
        <x:v>6M</x:v>
      </x:c>
      <x:c r="P236" s="266" t="n">
        <x:v>0.053</x:v>
      </x:c>
      <x:c r="Q236" s="201" t="n">
        <x:v>10650</x:v>
      </x:c>
      <x:c r="R236" s="267" t="n">
        <x:v>1500</x:v>
      </x:c>
      <x:c r="S236" s="254" t="n">
        <x:f>Q236*P236+0.5*R236*P236^2</x:f>
        <x:v>566.55675</x:v>
      </x:c>
      <x:c r="T236" s="191" t="str">
        <x:v>IR</x:v>
      </x:c>
      <x:c r="U236" s="191" t="str">
        <x:v>Illustrative surrogate only</x:v>
      </x:c>
      <x:c r="V236" s="191"/>
      <x:c r="W236" s="191"/>
      <x:c r="X236" s="191"/>
      <x:c r="Y236" s="191"/>
      <x:c r="Z236" s="191"/>
      <x:c r="AA236" s="191"/>
      <x:c r="AB236" s="191"/>
      <x:c r="AC236" s="191"/>
      <x:c r="AD236" s="191"/>
      <x:c r="AE236" s="191"/>
      <x:c r="AF236" s="191"/>
      <x:c r="AG236" s="191"/>
      <x:c r="AH236" s="191"/>
      <x:c r="AI236" s="191"/>
      <x:c r="AJ236" s="191"/>
      <x:c r="AK236" s="191"/>
    </x:row>
    <x:row r="237">
      <x:c r="A237" s="191"/>
      <x:c r="B237" s="191"/>
      <x:c r="C237" s="191"/>
      <x:c r="D237" s="191"/>
      <x:c r="E237" s="191"/>
      <x:c r="F237" s="191"/>
      <x:c r="G237" s="191"/>
      <x:c r="H237" s="191"/>
      <x:c r="I237" s="191"/>
      <x:c r="J237" s="191"/>
      <x:c r="K237" s="191"/>
      <x:c r="L237" s="198" t="str">
        <x:v>NU</x:v>
      </x:c>
      <x:c r="M237" s="198" t="n">
        <x:v>4</x:v>
      </x:c>
      <x:c r="N237" s="198" t="str">
        <x:v>1Y</x:v>
      </x:c>
      <x:c r="O237" s="198" t="str">
        <x:v>1Y</x:v>
      </x:c>
      <x:c r="P237" s="266" t="n">
        <x:v>0.055</x:v>
      </x:c>
      <x:c r="Q237" s="201" t="n">
        <x:v>10800</x:v>
      </x:c>
      <x:c r="R237" s="267" t="n">
        <x:v>1500</x:v>
      </x:c>
      <x:c r="S237" s="254" t="n">
        <x:f>Q237*P237+0.5*R237*P237^2</x:f>
        <x:v>596.26875</x:v>
      </x:c>
      <x:c r="T237" s="191" t="str">
        <x:v>IR</x:v>
      </x:c>
      <x:c r="U237" s="191" t="str">
        <x:v>Illustrative surrogate only</x:v>
      </x:c>
      <x:c r="V237" s="191"/>
      <x:c r="W237" s="191"/>
      <x:c r="X237" s="191"/>
      <x:c r="Y237" s="191"/>
      <x:c r="Z237" s="191"/>
      <x:c r="AA237" s="191"/>
      <x:c r="AB237" s="191"/>
      <x:c r="AC237" s="191"/>
      <x:c r="AD237" s="191"/>
      <x:c r="AE237" s="191"/>
      <x:c r="AF237" s="191"/>
      <x:c r="AG237" s="191"/>
      <x:c r="AH237" s="191"/>
      <x:c r="AI237" s="191"/>
      <x:c r="AJ237" s="191"/>
      <x:c r="AK237" s="191"/>
    </x:row>
    <x:row r="238">
      <x:c r="A238" s="191"/>
      <x:c r="B238" s="191"/>
      <x:c r="C238" s="191"/>
      <x:c r="D238" s="191"/>
      <x:c r="E238" s="191"/>
      <x:c r="F238" s="191"/>
      <x:c r="G238" s="191"/>
      <x:c r="H238" s="191"/>
      <x:c r="I238" s="191"/>
      <x:c r="J238" s="191"/>
      <x:c r="K238" s="191"/>
      <x:c r="L238" s="198" t="str">
        <x:v>NU</x:v>
      </x:c>
      <x:c r="M238" s="198" t="n">
        <x:v>4</x:v>
      </x:c>
      <x:c r="N238" s="198" t="str">
        <x:v>1Y</x:v>
      </x:c>
      <x:c r="O238" s="198" t="str">
        <x:v>2Y</x:v>
      </x:c>
      <x:c r="P238" s="266" t="n">
        <x:v>0.057</x:v>
      </x:c>
      <x:c r="Q238" s="201" t="n">
        <x:v>10950</x:v>
      </x:c>
      <x:c r="R238" s="267" t="n">
        <x:v>1500</x:v>
      </x:c>
      <x:c r="S238" s="254" t="n">
        <x:f>Q238*P238+0.5*R238*P238^2</x:f>
        <x:v>626.5867499999999</x:v>
      </x:c>
      <x:c r="T238" s="191" t="str">
        <x:v>IR</x:v>
      </x:c>
      <x:c r="U238" s="191" t="str">
        <x:v>Illustrative surrogate only</x:v>
      </x:c>
      <x:c r="V238" s="191"/>
      <x:c r="W238" s="191"/>
      <x:c r="X238" s="191"/>
      <x:c r="Y238" s="191"/>
      <x:c r="Z238" s="191"/>
      <x:c r="AA238" s="191"/>
      <x:c r="AB238" s="191"/>
      <x:c r="AC238" s="191"/>
      <x:c r="AD238" s="191"/>
      <x:c r="AE238" s="191"/>
      <x:c r="AF238" s="191"/>
      <x:c r="AG238" s="191"/>
      <x:c r="AH238" s="191"/>
      <x:c r="AI238" s="191"/>
      <x:c r="AJ238" s="191"/>
      <x:c r="AK238" s="191"/>
    </x:row>
    <x:row r="239">
      <x:c r="A239" s="191"/>
      <x:c r="B239" s="191"/>
      <x:c r="C239" s="191"/>
      <x:c r="D239" s="191"/>
      <x:c r="E239" s="191"/>
      <x:c r="F239" s="191"/>
      <x:c r="G239" s="191"/>
      <x:c r="H239" s="191"/>
      <x:c r="I239" s="191"/>
      <x:c r="J239" s="191"/>
      <x:c r="K239" s="191"/>
      <x:c r="L239" s="198" t="str">
        <x:v>NU</x:v>
      </x:c>
      <x:c r="M239" s="198" t="n">
        <x:v>4</x:v>
      </x:c>
      <x:c r="N239" s="198" t="str">
        <x:v>1Y</x:v>
      </x:c>
      <x:c r="O239" s="198" t="str">
        <x:v>3Y</x:v>
      </x:c>
      <x:c r="P239" s="266" t="n">
        <x:v>0.059</x:v>
      </x:c>
      <x:c r="Q239" s="201" t="n">
        <x:v>11100</x:v>
      </x:c>
      <x:c r="R239" s="267" t="n">
        <x:v>1500</x:v>
      </x:c>
      <x:c r="S239" s="254" t="n">
        <x:f>Q239*P239+0.5*R239*P239^2</x:f>
        <x:v>657.51075</x:v>
      </x:c>
      <x:c r="T239" s="191" t="str">
        <x:v>IR</x:v>
      </x:c>
      <x:c r="U239" s="191" t="str">
        <x:v>Illustrative surrogate only</x:v>
      </x:c>
      <x:c r="V239" s="191"/>
      <x:c r="W239" s="191"/>
      <x:c r="X239" s="191"/>
      <x:c r="Y239" s="191"/>
      <x:c r="Z239" s="191"/>
      <x:c r="AA239" s="191"/>
      <x:c r="AB239" s="191"/>
      <x:c r="AC239" s="191"/>
      <x:c r="AD239" s="191"/>
      <x:c r="AE239" s="191"/>
      <x:c r="AF239" s="191"/>
      <x:c r="AG239" s="191"/>
      <x:c r="AH239" s="191"/>
      <x:c r="AI239" s="191"/>
      <x:c r="AJ239" s="191"/>
      <x:c r="AK239" s="191"/>
    </x:row>
    <x:row r="240">
      <x:c r="A240" s="191"/>
      <x:c r="B240" s="191"/>
      <x:c r="C240" s="191"/>
      <x:c r="D240" s="191"/>
      <x:c r="E240" s="191"/>
      <x:c r="F240" s="191"/>
      <x:c r="G240" s="191"/>
      <x:c r="H240" s="191"/>
      <x:c r="I240" s="191"/>
      <x:c r="J240" s="191"/>
      <x:c r="K240" s="191"/>
      <x:c r="L240" s="198" t="str">
        <x:v>NU</x:v>
      </x:c>
      <x:c r="M240" s="198" t="n">
        <x:v>4</x:v>
      </x:c>
      <x:c r="N240" s="198" t="str">
        <x:v>1Y</x:v>
      </x:c>
      <x:c r="O240" s="198" t="str">
        <x:v>5Y</x:v>
      </x:c>
      <x:c r="P240" s="266" t="n">
        <x:v>0.061</x:v>
      </x:c>
      <x:c r="Q240" s="201" t="n">
        <x:v>11250</x:v>
      </x:c>
      <x:c r="R240" s="267" t="n">
        <x:v>1500</x:v>
      </x:c>
      <x:c r="S240" s="254" t="n">
        <x:f>Q240*P240+0.5*R240*P240^2</x:f>
        <x:v>689.04075</x:v>
      </x:c>
      <x:c r="T240" s="191" t="str">
        <x:v>IR</x:v>
      </x:c>
      <x:c r="U240" s="191" t="str">
        <x:v>Illustrative surrogate only</x:v>
      </x:c>
      <x:c r="V240" s="191"/>
      <x:c r="W240" s="191"/>
      <x:c r="X240" s="191"/>
      <x:c r="Y240" s="191"/>
      <x:c r="Z240" s="191"/>
      <x:c r="AA240" s="191"/>
      <x:c r="AB240" s="191"/>
      <x:c r="AC240" s="191"/>
      <x:c r="AD240" s="191"/>
      <x:c r="AE240" s="191"/>
      <x:c r="AF240" s="191"/>
      <x:c r="AG240" s="191"/>
      <x:c r="AH240" s="191"/>
      <x:c r="AI240" s="191"/>
      <x:c r="AJ240" s="191"/>
      <x:c r="AK240" s="191"/>
    </x:row>
    <x:row r="241">
      <x:c r="A241" s="191"/>
      <x:c r="B241" s="191"/>
      <x:c r="C241" s="191"/>
      <x:c r="D241" s="191"/>
      <x:c r="E241" s="191"/>
      <x:c r="F241" s="191"/>
      <x:c r="G241" s="191"/>
      <x:c r="H241" s="191"/>
      <x:c r="I241" s="191"/>
      <x:c r="J241" s="191"/>
      <x:c r="K241" s="191"/>
      <x:c r="L241" s="198" t="str">
        <x:v>NU</x:v>
      </x:c>
      <x:c r="M241" s="198" t="n">
        <x:v>4</x:v>
      </x:c>
      <x:c r="N241" s="198" t="str">
        <x:v>1Y</x:v>
      </x:c>
      <x:c r="O241" s="198" t="str">
        <x:v>10Y</x:v>
      </x:c>
      <x:c r="P241" s="266" t="n">
        <x:v>0.063</x:v>
      </x:c>
      <x:c r="Q241" s="201" t="n">
        <x:v>11400</x:v>
      </x:c>
      <x:c r="R241" s="267" t="n">
        <x:v>1500</x:v>
      </x:c>
      <x:c r="S241" s="254" t="n">
        <x:f>Q241*P241+0.5*R241*P241^2</x:f>
        <x:v>721.1767500000001</x:v>
      </x:c>
      <x:c r="T241" s="191" t="str">
        <x:v>IR</x:v>
      </x:c>
      <x:c r="U241" s="191" t="str">
        <x:v>Illustrative surrogate only</x:v>
      </x:c>
      <x:c r="V241" s="191"/>
      <x:c r="W241" s="191"/>
      <x:c r="X241" s="191"/>
      <x:c r="Y241" s="191"/>
      <x:c r="Z241" s="191"/>
      <x:c r="AA241" s="191"/>
      <x:c r="AB241" s="191"/>
      <x:c r="AC241" s="191"/>
      <x:c r="AD241" s="191"/>
      <x:c r="AE241" s="191"/>
      <x:c r="AF241" s="191"/>
      <x:c r="AG241" s="191"/>
      <x:c r="AH241" s="191"/>
      <x:c r="AI241" s="191"/>
      <x:c r="AJ241" s="191"/>
      <x:c r="AK241" s="191"/>
    </x:row>
    <x:row r="242">
      <x:c r="A242" s="191"/>
      <x:c r="B242" s="191"/>
      <x:c r="C242" s="191"/>
      <x:c r="D242" s="191"/>
      <x:c r="E242" s="191"/>
      <x:c r="F242" s="191"/>
      <x:c r="G242" s="191"/>
      <x:c r="H242" s="191"/>
      <x:c r="I242" s="191"/>
      <x:c r="J242" s="191"/>
      <x:c r="K242" s="191"/>
      <x:c r="L242" s="198" t="str">
        <x:v>NU</x:v>
      </x:c>
      <x:c r="M242" s="198" t="n">
        <x:v>4</x:v>
      </x:c>
      <x:c r="N242" s="198" t="str">
        <x:v>1Y</x:v>
      </x:c>
      <x:c r="O242" s="198" t="str">
        <x:v>20Y</x:v>
      </x:c>
      <x:c r="P242" s="266" t="n">
        <x:v>0.065</x:v>
      </x:c>
      <x:c r="Q242" s="201" t="n">
        <x:v>11550</x:v>
      </x:c>
      <x:c r="R242" s="267" t="n">
        <x:v>1500</x:v>
      </x:c>
      <x:c r="S242" s="254" t="n">
        <x:f>Q242*P242+0.5*R242*P242^2</x:f>
        <x:v>753.91875</x:v>
      </x:c>
      <x:c r="T242" s="191" t="str">
        <x:v>IR</x:v>
      </x:c>
      <x:c r="U242" s="191" t="str">
        <x:v>Illustrative surrogate only</x:v>
      </x:c>
      <x:c r="V242" s="191"/>
      <x:c r="W242" s="191"/>
      <x:c r="X242" s="191"/>
      <x:c r="Y242" s="191"/>
      <x:c r="Z242" s="191"/>
      <x:c r="AA242" s="191"/>
      <x:c r="AB242" s="191"/>
      <x:c r="AC242" s="191"/>
      <x:c r="AD242" s="191"/>
      <x:c r="AE242" s="191"/>
      <x:c r="AF242" s="191"/>
      <x:c r="AG242" s="191"/>
      <x:c r="AH242" s="191"/>
      <x:c r="AI242" s="191"/>
      <x:c r="AJ242" s="191"/>
      <x:c r="AK242" s="191"/>
    </x:row>
    <x:row r="243">
      <x:c r="A243" s="191"/>
      <x:c r="B243" s="191"/>
      <x:c r="C243" s="191"/>
      <x:c r="D243" s="191"/>
      <x:c r="E243" s="191"/>
      <x:c r="F243" s="191"/>
      <x:c r="G243" s="191"/>
      <x:c r="H243" s="191"/>
      <x:c r="I243" s="191"/>
      <x:c r="J243" s="191"/>
      <x:c r="K243" s="191"/>
      <x:c r="L243" s="198" t="str">
        <x:v>NU</x:v>
      </x:c>
      <x:c r="M243" s="198" t="n">
        <x:v>4</x:v>
      </x:c>
      <x:c r="N243" s="198" t="str">
        <x:v>1Y</x:v>
      </x:c>
      <x:c r="O243" s="198" t="str">
        <x:v>30Y</x:v>
      </x:c>
      <x:c r="P243" s="266" t="n">
        <x:v>0.067</x:v>
      </x:c>
      <x:c r="Q243" s="201" t="n">
        <x:v>11700</x:v>
      </x:c>
      <x:c r="R243" s="267" t="n">
        <x:v>1500</x:v>
      </x:c>
      <x:c r="S243" s="254" t="n">
        <x:f>Q243*P243+0.5*R243*P243^2</x:f>
        <x:v>787.2667500000001</x:v>
      </x:c>
      <x:c r="T243" s="191" t="str">
        <x:v>IR</x:v>
      </x:c>
      <x:c r="U243" s="191" t="str">
        <x:v>Illustrative surrogate only</x:v>
      </x:c>
      <x:c r="V243" s="191"/>
      <x:c r="W243" s="191"/>
      <x:c r="X243" s="191"/>
      <x:c r="Y243" s="191"/>
      <x:c r="Z243" s="191"/>
      <x:c r="AA243" s="191"/>
      <x:c r="AB243" s="191"/>
      <x:c r="AC243" s="191"/>
      <x:c r="AD243" s="191"/>
      <x:c r="AE243" s="191"/>
      <x:c r="AF243" s="191"/>
      <x:c r="AG243" s="191"/>
      <x:c r="AH243" s="191"/>
      <x:c r="AI243" s="191"/>
      <x:c r="AJ243" s="191"/>
      <x:c r="AK243" s="191"/>
    </x:row>
    <x:row r="244">
      <x:c r="A244" s="191"/>
      <x:c r="B244" s="191"/>
      <x:c r="C244" s="191"/>
      <x:c r="D244" s="191"/>
      <x:c r="E244" s="191"/>
      <x:c r="F244" s="191"/>
      <x:c r="G244" s="191"/>
      <x:c r="H244" s="191"/>
      <x:c r="I244" s="191"/>
      <x:c r="J244" s="191"/>
      <x:c r="K244" s="191"/>
      <x:c r="L244" s="198" t="str">
        <x:v>NU</x:v>
      </x:c>
      <x:c r="M244" s="198" t="n">
        <x:v>5</x:v>
      </x:c>
      <x:c r="N244" s="198" t="str">
        <x:v>2Y</x:v>
      </x:c>
      <x:c r="O244" s="198" t="str">
        <x:v>1M</x:v>
      </x:c>
      <x:c r="P244" s="266" t="n">
        <x:v>0.052000000000000005</x:v>
      </x:c>
      <x:c r="Q244" s="201" t="n">
        <x:v>10650</x:v>
      </x:c>
      <x:c r="R244" s="267" t="n">
        <x:v>1500</x:v>
      </x:c>
      <x:c r="S244" s="254" t="n">
        <x:f>Q244*P244+0.5*R244*P244^2</x:f>
        <x:v>555.8280000000001</x:v>
      </x:c>
      <x:c r="T244" s="191" t="str">
        <x:v>IR</x:v>
      </x:c>
      <x:c r="U244" s="191" t="str">
        <x:v>Illustrative surrogate only</x:v>
      </x:c>
      <x:c r="V244" s="191"/>
      <x:c r="W244" s="191"/>
      <x:c r="X244" s="191"/>
      <x:c r="Y244" s="191"/>
      <x:c r="Z244" s="191"/>
      <x:c r="AA244" s="191"/>
      <x:c r="AB244" s="191"/>
      <x:c r="AC244" s="191"/>
      <x:c r="AD244" s="191"/>
      <x:c r="AE244" s="191"/>
      <x:c r="AF244" s="191"/>
      <x:c r="AG244" s="191"/>
      <x:c r="AH244" s="191"/>
      <x:c r="AI244" s="191"/>
      <x:c r="AJ244" s="191"/>
      <x:c r="AK244" s="191"/>
    </x:row>
    <x:row r="245">
      <x:c r="A245" s="191"/>
      <x:c r="B245" s="191"/>
      <x:c r="C245" s="191"/>
      <x:c r="D245" s="191"/>
      <x:c r="E245" s="191"/>
      <x:c r="F245" s="191"/>
      <x:c r="G245" s="191"/>
      <x:c r="H245" s="191"/>
      <x:c r="I245" s="191"/>
      <x:c r="J245" s="191"/>
      <x:c r="K245" s="191"/>
      <x:c r="L245" s="198" t="str">
        <x:v>NU</x:v>
      </x:c>
      <x:c r="M245" s="198" t="n">
        <x:v>5</x:v>
      </x:c>
      <x:c r="N245" s="198" t="str">
        <x:v>2Y</x:v>
      </x:c>
      <x:c r="O245" s="198" t="str">
        <x:v>3M</x:v>
      </x:c>
      <x:c r="P245" s="266" t="n">
        <x:v>0.054000000000000006</x:v>
      </x:c>
      <x:c r="Q245" s="201" t="n">
        <x:v>10800</x:v>
      </x:c>
      <x:c r="R245" s="267" t="n">
        <x:v>1500</x:v>
      </x:c>
      <x:c r="S245" s="254" t="n">
        <x:f>Q245*P245+0.5*R245*P245^2</x:f>
        <x:v>585.3870000000001</x:v>
      </x:c>
      <x:c r="T245" s="191" t="str">
        <x:v>IR</x:v>
      </x:c>
      <x:c r="U245" s="191" t="str">
        <x:v>Illustrative surrogate only</x:v>
      </x:c>
      <x:c r="V245" s="191"/>
      <x:c r="W245" s="191"/>
      <x:c r="X245" s="191"/>
      <x:c r="Y245" s="191"/>
      <x:c r="Z245" s="191"/>
      <x:c r="AA245" s="191"/>
      <x:c r="AB245" s="191"/>
      <x:c r="AC245" s="191"/>
      <x:c r="AD245" s="191"/>
      <x:c r="AE245" s="191"/>
      <x:c r="AF245" s="191"/>
      <x:c r="AG245" s="191"/>
      <x:c r="AH245" s="191"/>
      <x:c r="AI245" s="191"/>
      <x:c r="AJ245" s="191"/>
      <x:c r="AK245" s="191"/>
    </x:row>
    <x:row r="246">
      <x:c r="A246" s="191"/>
      <x:c r="B246" s="191"/>
      <x:c r="C246" s="191"/>
      <x:c r="D246" s="191"/>
      <x:c r="E246" s="191"/>
      <x:c r="F246" s="191"/>
      <x:c r="G246" s="191"/>
      <x:c r="H246" s="191"/>
      <x:c r="I246" s="191"/>
      <x:c r="J246" s="191"/>
      <x:c r="K246" s="191"/>
      <x:c r="L246" s="198" t="str">
        <x:v>NU</x:v>
      </x:c>
      <x:c r="M246" s="198" t="n">
        <x:v>5</x:v>
      </x:c>
      <x:c r="N246" s="198" t="str">
        <x:v>2Y</x:v>
      </x:c>
      <x:c r="O246" s="198" t="str">
        <x:v>6M</x:v>
      </x:c>
      <x:c r="P246" s="266" t="n">
        <x:v>0.056</x:v>
      </x:c>
      <x:c r="Q246" s="201" t="n">
        <x:v>10950</x:v>
      </x:c>
      <x:c r="R246" s="267" t="n">
        <x:v>1500</x:v>
      </x:c>
      <x:c r="S246" s="254" t="n">
        <x:f>Q246*P246+0.5*R246*P246^2</x:f>
        <x:v>615.552</x:v>
      </x:c>
      <x:c r="T246" s="191" t="str">
        <x:v>IR</x:v>
      </x:c>
      <x:c r="U246" s="191" t="str">
        <x:v>Illustrative surrogate only</x:v>
      </x:c>
      <x:c r="V246" s="191"/>
      <x:c r="W246" s="191"/>
      <x:c r="X246" s="191"/>
      <x:c r="Y246" s="191"/>
      <x:c r="Z246" s="191"/>
      <x:c r="AA246" s="191"/>
      <x:c r="AB246" s="191"/>
      <x:c r="AC246" s="191"/>
      <x:c r="AD246" s="191"/>
      <x:c r="AE246" s="191"/>
      <x:c r="AF246" s="191"/>
      <x:c r="AG246" s="191"/>
      <x:c r="AH246" s="191"/>
      <x:c r="AI246" s="191"/>
      <x:c r="AJ246" s="191"/>
      <x:c r="AK246" s="191"/>
    </x:row>
    <x:row r="247">
      <x:c r="A247" s="191"/>
      <x:c r="B247" s="191"/>
      <x:c r="C247" s="191"/>
      <x:c r="D247" s="191"/>
      <x:c r="E247" s="191"/>
      <x:c r="F247" s="191"/>
      <x:c r="G247" s="191"/>
      <x:c r="H247" s="191"/>
      <x:c r="I247" s="191"/>
      <x:c r="J247" s="191"/>
      <x:c r="K247" s="191"/>
      <x:c r="L247" s="198" t="str">
        <x:v>NU</x:v>
      </x:c>
      <x:c r="M247" s="198" t="n">
        <x:v>5</x:v>
      </x:c>
      <x:c r="N247" s="198" t="str">
        <x:v>2Y</x:v>
      </x:c>
      <x:c r="O247" s="198" t="str">
        <x:v>1Y</x:v>
      </x:c>
      <x:c r="P247" s="266" t="n">
        <x:v>0.058</x:v>
      </x:c>
      <x:c r="Q247" s="201" t="n">
        <x:v>11100</x:v>
      </x:c>
      <x:c r="R247" s="267" t="n">
        <x:v>1500</x:v>
      </x:c>
      <x:c r="S247" s="254" t="n">
        <x:f>Q247*P247+0.5*R247*P247^2</x:f>
        <x:v>646.3230000000001</x:v>
      </x:c>
      <x:c r="T247" s="191" t="str">
        <x:v>IR</x:v>
      </x:c>
      <x:c r="U247" s="191" t="str">
        <x:v>Illustrative surrogate only</x:v>
      </x:c>
      <x:c r="V247" s="191"/>
      <x:c r="W247" s="191"/>
      <x:c r="X247" s="191"/>
      <x:c r="Y247" s="191"/>
      <x:c r="Z247" s="191"/>
      <x:c r="AA247" s="191"/>
      <x:c r="AB247" s="191"/>
      <x:c r="AC247" s="191"/>
      <x:c r="AD247" s="191"/>
      <x:c r="AE247" s="191"/>
      <x:c r="AF247" s="191"/>
      <x:c r="AG247" s="191"/>
      <x:c r="AH247" s="191"/>
      <x:c r="AI247" s="191"/>
      <x:c r="AJ247" s="191"/>
      <x:c r="AK247" s="191"/>
    </x:row>
    <x:row r="248">
      <x:c r="A248" s="191"/>
      <x:c r="B248" s="191"/>
      <x:c r="C248" s="191"/>
      <x:c r="D248" s="191"/>
      <x:c r="E248" s="191"/>
      <x:c r="F248" s="191"/>
      <x:c r="G248" s="191"/>
      <x:c r="H248" s="191"/>
      <x:c r="I248" s="191"/>
      <x:c r="J248" s="191"/>
      <x:c r="K248" s="191"/>
      <x:c r="L248" s="198" t="str">
        <x:v>NU</x:v>
      </x:c>
      <x:c r="M248" s="198" t="n">
        <x:v>5</x:v>
      </x:c>
      <x:c r="N248" s="198" t="str">
        <x:v>2Y</x:v>
      </x:c>
      <x:c r="O248" s="198" t="str">
        <x:v>2Y</x:v>
      </x:c>
      <x:c r="P248" s="266" t="n">
        <x:v>0.060000000000000005</x:v>
      </x:c>
      <x:c r="Q248" s="201" t="n">
        <x:v>11250</x:v>
      </x:c>
      <x:c r="R248" s="267" t="n">
        <x:v>1500</x:v>
      </x:c>
      <x:c r="S248" s="254" t="n">
        <x:f>Q248*P248+0.5*R248*P248^2</x:f>
        <x:v>677.7</x:v>
      </x:c>
      <x:c r="T248" s="191" t="str">
        <x:v>IR</x:v>
      </x:c>
      <x:c r="U248" s="191" t="str">
        <x:v>Illustrative surrogate only</x:v>
      </x:c>
      <x:c r="V248" s="191"/>
      <x:c r="W248" s="191"/>
      <x:c r="X248" s="191"/>
      <x:c r="Y248" s="191"/>
      <x:c r="Z248" s="191"/>
      <x:c r="AA248" s="191"/>
      <x:c r="AB248" s="191"/>
      <x:c r="AC248" s="191"/>
      <x:c r="AD248" s="191"/>
      <x:c r="AE248" s="191"/>
      <x:c r="AF248" s="191"/>
      <x:c r="AG248" s="191"/>
      <x:c r="AH248" s="191"/>
      <x:c r="AI248" s="191"/>
      <x:c r="AJ248" s="191"/>
      <x:c r="AK248" s="191"/>
    </x:row>
    <x:row r="249">
      <x:c r="A249" s="191"/>
      <x:c r="B249" s="191"/>
      <x:c r="C249" s="191"/>
      <x:c r="D249" s="191"/>
      <x:c r="E249" s="191"/>
      <x:c r="F249" s="191"/>
      <x:c r="G249" s="191"/>
      <x:c r="H249" s="191"/>
      <x:c r="I249" s="191"/>
      <x:c r="J249" s="191"/>
      <x:c r="K249" s="191"/>
      <x:c r="L249" s="198" t="str">
        <x:v>NU</x:v>
      </x:c>
      <x:c r="M249" s="198" t="n">
        <x:v>5</x:v>
      </x:c>
      <x:c r="N249" s="198" t="str">
        <x:v>2Y</x:v>
      </x:c>
      <x:c r="O249" s="198" t="str">
        <x:v>3Y</x:v>
      </x:c>
      <x:c r="P249" s="266" t="n">
        <x:v>0.062</x:v>
      </x:c>
      <x:c r="Q249" s="201" t="n">
        <x:v>11400</x:v>
      </x:c>
      <x:c r="R249" s="267" t="n">
        <x:v>1500</x:v>
      </x:c>
      <x:c r="S249" s="254" t="n">
        <x:f>Q249*P249+0.5*R249*P249^2</x:f>
        <x:v>709.683</x:v>
      </x:c>
      <x:c r="T249" s="191" t="str">
        <x:v>IR</x:v>
      </x:c>
      <x:c r="U249" s="191" t="str">
        <x:v>Illustrative surrogate only</x:v>
      </x:c>
      <x:c r="V249" s="191"/>
      <x:c r="W249" s="191"/>
      <x:c r="X249" s="191"/>
      <x:c r="Y249" s="191"/>
      <x:c r="Z249" s="191"/>
      <x:c r="AA249" s="191"/>
      <x:c r="AB249" s="191"/>
      <x:c r="AC249" s="191"/>
      <x:c r="AD249" s="191"/>
      <x:c r="AE249" s="191"/>
      <x:c r="AF249" s="191"/>
      <x:c r="AG249" s="191"/>
      <x:c r="AH249" s="191"/>
      <x:c r="AI249" s="191"/>
      <x:c r="AJ249" s="191"/>
      <x:c r="AK249" s="191"/>
    </x:row>
    <x:row r="250">
      <x:c r="A250" s="191"/>
      <x:c r="B250" s="191"/>
      <x:c r="C250" s="191"/>
      <x:c r="D250" s="191"/>
      <x:c r="E250" s="191"/>
      <x:c r="F250" s="191"/>
      <x:c r="G250" s="191"/>
      <x:c r="H250" s="191"/>
      <x:c r="I250" s="191"/>
      <x:c r="J250" s="191"/>
      <x:c r="K250" s="191"/>
      <x:c r="L250" s="198" t="str">
        <x:v>NU</x:v>
      </x:c>
      <x:c r="M250" s="198" t="n">
        <x:v>5</x:v>
      </x:c>
      <x:c r="N250" s="198" t="str">
        <x:v>2Y</x:v>
      </x:c>
      <x:c r="O250" s="198" t="str">
        <x:v>5Y</x:v>
      </x:c>
      <x:c r="P250" s="266" t="n">
        <x:v>0.064</x:v>
      </x:c>
      <x:c r="Q250" s="201" t="n">
        <x:v>11550</x:v>
      </x:c>
      <x:c r="R250" s="267" t="n">
        <x:v>1500</x:v>
      </x:c>
      <x:c r="S250" s="254" t="n">
        <x:f>Q250*P250+0.5*R250*P250^2</x:f>
        <x:v>742.272</x:v>
      </x:c>
      <x:c r="T250" s="191" t="str">
        <x:v>IR</x:v>
      </x:c>
      <x:c r="U250" s="191" t="str">
        <x:v>Illustrative surrogate only</x:v>
      </x:c>
      <x:c r="V250" s="191"/>
      <x:c r="W250" s="191"/>
      <x:c r="X250" s="191"/>
      <x:c r="Y250" s="191"/>
      <x:c r="Z250" s="191"/>
      <x:c r="AA250" s="191"/>
      <x:c r="AB250" s="191"/>
      <x:c r="AC250" s="191"/>
      <x:c r="AD250" s="191"/>
      <x:c r="AE250" s="191"/>
      <x:c r="AF250" s="191"/>
      <x:c r="AG250" s="191"/>
      <x:c r="AH250" s="191"/>
      <x:c r="AI250" s="191"/>
      <x:c r="AJ250" s="191"/>
      <x:c r="AK250" s="191"/>
    </x:row>
    <x:row r="251">
      <x:c r="A251" s="191"/>
      <x:c r="B251" s="191"/>
      <x:c r="C251" s="191"/>
      <x:c r="D251" s="191"/>
      <x:c r="E251" s="191"/>
      <x:c r="F251" s="191"/>
      <x:c r="G251" s="191"/>
      <x:c r="H251" s="191"/>
      <x:c r="I251" s="191"/>
      <x:c r="J251" s="191"/>
      <x:c r="K251" s="191"/>
      <x:c r="L251" s="198" t="str">
        <x:v>NU</x:v>
      </x:c>
      <x:c r="M251" s="198" t="n">
        <x:v>5</x:v>
      </x:c>
      <x:c r="N251" s="198" t="str">
        <x:v>2Y</x:v>
      </x:c>
      <x:c r="O251" s="198" t="str">
        <x:v>10Y</x:v>
      </x:c>
      <x:c r="P251" s="266" t="n">
        <x:v>0.066</x:v>
      </x:c>
      <x:c r="Q251" s="201" t="n">
        <x:v>11700</x:v>
      </x:c>
      <x:c r="R251" s="267" t="n">
        <x:v>1500</x:v>
      </x:c>
      <x:c r="S251" s="254" t="n">
        <x:f>Q251*P251+0.5*R251*P251^2</x:f>
        <x:v>775.4670000000001</x:v>
      </x:c>
      <x:c r="T251" s="191" t="str">
        <x:v>IR</x:v>
      </x:c>
      <x:c r="U251" s="191" t="str">
        <x:v>Illustrative surrogate only</x:v>
      </x:c>
      <x:c r="V251" s="191"/>
      <x:c r="W251" s="191"/>
      <x:c r="X251" s="191"/>
      <x:c r="Y251" s="191"/>
      <x:c r="Z251" s="191"/>
      <x:c r="AA251" s="191"/>
      <x:c r="AB251" s="191"/>
      <x:c r="AC251" s="191"/>
      <x:c r="AD251" s="191"/>
      <x:c r="AE251" s="191"/>
      <x:c r="AF251" s="191"/>
      <x:c r="AG251" s="191"/>
      <x:c r="AH251" s="191"/>
      <x:c r="AI251" s="191"/>
      <x:c r="AJ251" s="191"/>
      <x:c r="AK251" s="191"/>
    </x:row>
    <x:row r="252">
      <x:c r="A252" s="191"/>
      <x:c r="B252" s="191"/>
      <x:c r="C252" s="191"/>
      <x:c r="D252" s="191"/>
      <x:c r="E252" s="191"/>
      <x:c r="F252" s="191"/>
      <x:c r="G252" s="191"/>
      <x:c r="H252" s="191"/>
      <x:c r="I252" s="191"/>
      <x:c r="J252" s="191"/>
      <x:c r="K252" s="191"/>
      <x:c r="L252" s="198" t="str">
        <x:v>NU</x:v>
      </x:c>
      <x:c r="M252" s="198" t="n">
        <x:v>5</x:v>
      </x:c>
      <x:c r="N252" s="198" t="str">
        <x:v>2Y</x:v>
      </x:c>
      <x:c r="O252" s="198" t="str">
        <x:v>20Y</x:v>
      </x:c>
      <x:c r="P252" s="266" t="n">
        <x:v>0.068</x:v>
      </x:c>
      <x:c r="Q252" s="201" t="n">
        <x:v>11850</x:v>
      </x:c>
      <x:c r="R252" s="267" t="n">
        <x:v>1500</x:v>
      </x:c>
      <x:c r="S252" s="254" t="n">
        <x:f>Q252*P252+0.5*R252*P252^2</x:f>
        <x:v>809.268</x:v>
      </x:c>
      <x:c r="T252" s="191" t="str">
        <x:v>IR</x:v>
      </x:c>
      <x:c r="U252" s="191" t="str">
        <x:v>Illustrative surrogate only</x:v>
      </x:c>
      <x:c r="V252" s="191"/>
      <x:c r="W252" s="191"/>
      <x:c r="X252" s="191"/>
      <x:c r="Y252" s="191"/>
      <x:c r="Z252" s="191"/>
      <x:c r="AA252" s="191"/>
      <x:c r="AB252" s="191"/>
      <x:c r="AC252" s="191"/>
      <x:c r="AD252" s="191"/>
      <x:c r="AE252" s="191"/>
      <x:c r="AF252" s="191"/>
      <x:c r="AG252" s="191"/>
      <x:c r="AH252" s="191"/>
      <x:c r="AI252" s="191"/>
      <x:c r="AJ252" s="191"/>
      <x:c r="AK252" s="191"/>
    </x:row>
    <x:row r="253">
      <x:c r="A253" s="191"/>
      <x:c r="B253" s="191"/>
      <x:c r="C253" s="191"/>
      <x:c r="D253" s="191"/>
      <x:c r="E253" s="191"/>
      <x:c r="F253" s="191"/>
      <x:c r="G253" s="191"/>
      <x:c r="H253" s="191"/>
      <x:c r="I253" s="191"/>
      <x:c r="J253" s="191"/>
      <x:c r="K253" s="191"/>
      <x:c r="L253" s="198" t="str">
        <x:v>NU</x:v>
      </x:c>
      <x:c r="M253" s="198" t="n">
        <x:v>5</x:v>
      </x:c>
      <x:c r="N253" s="198" t="str">
        <x:v>2Y</x:v>
      </x:c>
      <x:c r="O253" s="198" t="str">
        <x:v>30Y</x:v>
      </x:c>
      <x:c r="P253" s="266" t="n">
        <x:v>0.07</x:v>
      </x:c>
      <x:c r="Q253" s="201" t="n">
        <x:v>12000</x:v>
      </x:c>
      <x:c r="R253" s="267" t="n">
        <x:v>1500</x:v>
      </x:c>
      <x:c r="S253" s="254" t="n">
        <x:f>Q253*P253+0.5*R253*P253^2</x:f>
        <x:v>843.6750000000001</x:v>
      </x:c>
      <x:c r="T253" s="191" t="str">
        <x:v>IR</x:v>
      </x:c>
      <x:c r="U253" s="191" t="str">
        <x:v>Illustrative surrogate only</x:v>
      </x:c>
      <x:c r="V253" s="191"/>
      <x:c r="W253" s="191"/>
      <x:c r="X253" s="191"/>
      <x:c r="Y253" s="191"/>
      <x:c r="Z253" s="191"/>
      <x:c r="AA253" s="191"/>
      <x:c r="AB253" s="191"/>
      <x:c r="AC253" s="191"/>
      <x:c r="AD253" s="191"/>
      <x:c r="AE253" s="191"/>
      <x:c r="AF253" s="191"/>
      <x:c r="AG253" s="191"/>
      <x:c r="AH253" s="191"/>
      <x:c r="AI253" s="191"/>
      <x:c r="AJ253" s="191"/>
      <x:c r="AK253" s="191"/>
    </x:row>
    <x:row r="254">
      <x:c r="A254" s="191"/>
      <x:c r="B254" s="191"/>
      <x:c r="C254" s="191"/>
      <x:c r="D254" s="191"/>
      <x:c r="E254" s="191"/>
      <x:c r="F254" s="191"/>
      <x:c r="G254" s="191"/>
      <x:c r="H254" s="191"/>
      <x:c r="I254" s="191"/>
      <x:c r="J254" s="191"/>
      <x:c r="K254" s="191"/>
      <x:c r="L254" s="198" t="str">
        <x:v>NU</x:v>
      </x:c>
      <x:c r="M254" s="198" t="n">
        <x:v>6</x:v>
      </x:c>
      <x:c r="N254" s="198" t="str">
        <x:v>3Y</x:v>
      </x:c>
      <x:c r="O254" s="198" t="str">
        <x:v>1M</x:v>
      </x:c>
      <x:c r="P254" s="266" t="n">
        <x:v>0.05500000000000001</x:v>
      </x:c>
      <x:c r="Q254" s="201" t="n">
        <x:v>10950</x:v>
      </x:c>
      <x:c r="R254" s="267" t="n">
        <x:v>1500</x:v>
      </x:c>
      <x:c r="S254" s="254" t="n">
        <x:f>Q254*P254+0.5*R254*P254^2</x:f>
        <x:v>604.5187500000001</x:v>
      </x:c>
      <x:c r="T254" s="191" t="str">
        <x:v>IR</x:v>
      </x:c>
      <x:c r="U254" s="191" t="str">
        <x:v>Illustrative surrogate only</x:v>
      </x:c>
      <x:c r="V254" s="191"/>
      <x:c r="W254" s="191"/>
      <x:c r="X254" s="191"/>
      <x:c r="Y254" s="191"/>
      <x:c r="Z254" s="191"/>
      <x:c r="AA254" s="191"/>
      <x:c r="AB254" s="191"/>
      <x:c r="AC254" s="191"/>
      <x:c r="AD254" s="191"/>
      <x:c r="AE254" s="191"/>
      <x:c r="AF254" s="191"/>
      <x:c r="AG254" s="191"/>
      <x:c r="AH254" s="191"/>
      <x:c r="AI254" s="191"/>
      <x:c r="AJ254" s="191"/>
      <x:c r="AK254" s="191"/>
    </x:row>
    <x:row r="255">
      <x:c r="A255" s="191"/>
      <x:c r="B255" s="191"/>
      <x:c r="C255" s="191"/>
      <x:c r="D255" s="191"/>
      <x:c r="E255" s="191"/>
      <x:c r="F255" s="191"/>
      <x:c r="G255" s="191"/>
      <x:c r="H255" s="191"/>
      <x:c r="I255" s="191"/>
      <x:c r="J255" s="191"/>
      <x:c r="K255" s="191"/>
      <x:c r="L255" s="198" t="str">
        <x:v>NU</x:v>
      </x:c>
      <x:c r="M255" s="198" t="n">
        <x:v>6</x:v>
      </x:c>
      <x:c r="N255" s="198" t="str">
        <x:v>3Y</x:v>
      </x:c>
      <x:c r="O255" s="198" t="str">
        <x:v>3M</x:v>
      </x:c>
      <x:c r="P255" s="266" t="n">
        <x:v>0.05700000000000001</x:v>
      </x:c>
      <x:c r="Q255" s="201" t="n">
        <x:v>11100</x:v>
      </x:c>
      <x:c r="R255" s="267" t="n">
        <x:v>1500</x:v>
      </x:c>
      <x:c r="S255" s="254" t="n">
        <x:f>Q255*P255+0.5*R255*P255^2</x:f>
        <x:v>635.13675</x:v>
      </x:c>
      <x:c r="T255" s="191" t="str">
        <x:v>IR</x:v>
      </x:c>
      <x:c r="U255" s="191" t="str">
        <x:v>Illustrative surrogate only</x:v>
      </x:c>
      <x:c r="V255" s="191"/>
      <x:c r="W255" s="191"/>
      <x:c r="X255" s="191"/>
      <x:c r="Y255" s="191"/>
      <x:c r="Z255" s="191"/>
      <x:c r="AA255" s="191"/>
      <x:c r="AB255" s="191"/>
      <x:c r="AC255" s="191"/>
      <x:c r="AD255" s="191"/>
      <x:c r="AE255" s="191"/>
      <x:c r="AF255" s="191"/>
      <x:c r="AG255" s="191"/>
      <x:c r="AH255" s="191"/>
      <x:c r="AI255" s="191"/>
      <x:c r="AJ255" s="191"/>
      <x:c r="AK255" s="191"/>
    </x:row>
    <x:row r="256">
      <x:c r="A256" s="191"/>
      <x:c r="B256" s="191"/>
      <x:c r="C256" s="191"/>
      <x:c r="D256" s="191"/>
      <x:c r="E256" s="191"/>
      <x:c r="F256" s="191"/>
      <x:c r="G256" s="191"/>
      <x:c r="H256" s="191"/>
      <x:c r="I256" s="191"/>
      <x:c r="J256" s="191"/>
      <x:c r="K256" s="191"/>
      <x:c r="L256" s="198" t="str">
        <x:v>NU</x:v>
      </x:c>
      <x:c r="M256" s="198" t="n">
        <x:v>6</x:v>
      </x:c>
      <x:c r="N256" s="198" t="str">
        <x:v>3Y</x:v>
      </x:c>
      <x:c r="O256" s="198" t="str">
        <x:v>6M</x:v>
      </x:c>
      <x:c r="P256" s="266" t="n">
        <x:v>0.059000000000000004</x:v>
      </x:c>
      <x:c r="Q256" s="201" t="n">
        <x:v>11250</x:v>
      </x:c>
      <x:c r="R256" s="267" t="n">
        <x:v>1500</x:v>
      </x:c>
      <x:c r="S256" s="254" t="n">
        <x:f>Q256*P256+0.5*R256*P256^2</x:f>
        <x:v>666.36075</x:v>
      </x:c>
      <x:c r="T256" s="191" t="str">
        <x:v>IR</x:v>
      </x:c>
      <x:c r="U256" s="191" t="str">
        <x:v>Illustrative surrogate only</x:v>
      </x:c>
      <x:c r="V256" s="191"/>
      <x:c r="W256" s="191"/>
      <x:c r="X256" s="191"/>
      <x:c r="Y256" s="191"/>
      <x:c r="Z256" s="191"/>
      <x:c r="AA256" s="191"/>
      <x:c r="AB256" s="191"/>
      <x:c r="AC256" s="191"/>
      <x:c r="AD256" s="191"/>
      <x:c r="AE256" s="191"/>
      <x:c r="AF256" s="191"/>
      <x:c r="AG256" s="191"/>
      <x:c r="AH256" s="191"/>
      <x:c r="AI256" s="191"/>
      <x:c r="AJ256" s="191"/>
      <x:c r="AK256" s="191"/>
    </x:row>
    <x:row r="257">
      <x:c r="A257" s="191"/>
      <x:c r="B257" s="191"/>
      <x:c r="C257" s="191"/>
      <x:c r="D257" s="191"/>
      <x:c r="E257" s="191"/>
      <x:c r="F257" s="191"/>
      <x:c r="G257" s="191"/>
      <x:c r="H257" s="191"/>
      <x:c r="I257" s="191"/>
      <x:c r="J257" s="191"/>
      <x:c r="K257" s="191"/>
      <x:c r="L257" s="198" t="str">
        <x:v>NU</x:v>
      </x:c>
      <x:c r="M257" s="198" t="n">
        <x:v>6</x:v>
      </x:c>
      <x:c r="N257" s="198" t="str">
        <x:v>3Y</x:v>
      </x:c>
      <x:c r="O257" s="198" t="str">
        <x:v>1Y</x:v>
      </x:c>
      <x:c r="P257" s="266" t="n">
        <x:v>0.061000000000000006</x:v>
      </x:c>
      <x:c r="Q257" s="201" t="n">
        <x:v>11400</x:v>
      </x:c>
      <x:c r="R257" s="267" t="n">
        <x:v>1500</x:v>
      </x:c>
      <x:c r="S257" s="254" t="n">
        <x:f>Q257*P257+0.5*R257*P257^2</x:f>
        <x:v>698.1907500000001</x:v>
      </x:c>
      <x:c r="T257" s="191" t="str">
        <x:v>IR</x:v>
      </x:c>
      <x:c r="U257" s="191" t="str">
        <x:v>Illustrative surrogate only</x:v>
      </x:c>
      <x:c r="V257" s="191"/>
      <x:c r="W257" s="191"/>
      <x:c r="X257" s="191"/>
      <x:c r="Y257" s="191"/>
      <x:c r="Z257" s="191"/>
      <x:c r="AA257" s="191"/>
      <x:c r="AB257" s="191"/>
      <x:c r="AC257" s="191"/>
      <x:c r="AD257" s="191"/>
      <x:c r="AE257" s="191"/>
      <x:c r="AF257" s="191"/>
      <x:c r="AG257" s="191"/>
      <x:c r="AH257" s="191"/>
      <x:c r="AI257" s="191"/>
      <x:c r="AJ257" s="191"/>
      <x:c r="AK257" s="191"/>
    </x:row>
    <x:row r="258">
      <x:c r="A258" s="191"/>
      <x:c r="B258" s="191"/>
      <x:c r="C258" s="191"/>
      <x:c r="D258" s="191"/>
      <x:c r="E258" s="191"/>
      <x:c r="F258" s="191"/>
      <x:c r="G258" s="191"/>
      <x:c r="H258" s="191"/>
      <x:c r="I258" s="191"/>
      <x:c r="J258" s="191"/>
      <x:c r="K258" s="191"/>
      <x:c r="L258" s="198" t="str">
        <x:v>NU</x:v>
      </x:c>
      <x:c r="M258" s="198" t="n">
        <x:v>6</x:v>
      </x:c>
      <x:c r="N258" s="198" t="str">
        <x:v>3Y</x:v>
      </x:c>
      <x:c r="O258" s="198" t="str">
        <x:v>2Y</x:v>
      </x:c>
      <x:c r="P258" s="266" t="n">
        <x:v>0.063</x:v>
      </x:c>
      <x:c r="Q258" s="201" t="n">
        <x:v>11550</x:v>
      </x:c>
      <x:c r="R258" s="267" t="n">
        <x:v>1500</x:v>
      </x:c>
      <x:c r="S258" s="254" t="n">
        <x:f>Q258*P258+0.5*R258*P258^2</x:f>
        <x:v>730.62675</x:v>
      </x:c>
      <x:c r="T258" s="191" t="str">
        <x:v>IR</x:v>
      </x:c>
      <x:c r="U258" s="191" t="str">
        <x:v>Illustrative surrogate only</x:v>
      </x:c>
      <x:c r="V258" s="191"/>
      <x:c r="W258" s="191"/>
      <x:c r="X258" s="191"/>
      <x:c r="Y258" s="191"/>
      <x:c r="Z258" s="191"/>
      <x:c r="AA258" s="191"/>
      <x:c r="AB258" s="191"/>
      <x:c r="AC258" s="191"/>
      <x:c r="AD258" s="191"/>
      <x:c r="AE258" s="191"/>
      <x:c r="AF258" s="191"/>
      <x:c r="AG258" s="191"/>
      <x:c r="AH258" s="191"/>
      <x:c r="AI258" s="191"/>
      <x:c r="AJ258" s="191"/>
      <x:c r="AK258" s="191"/>
    </x:row>
    <x:row r="259">
      <x:c r="A259" s="191"/>
      <x:c r="B259" s="191"/>
      <x:c r="C259" s="191"/>
      <x:c r="D259" s="191"/>
      <x:c r="E259" s="191"/>
      <x:c r="F259" s="191"/>
      <x:c r="G259" s="191"/>
      <x:c r="H259" s="191"/>
      <x:c r="I259" s="191"/>
      <x:c r="J259" s="191"/>
      <x:c r="K259" s="191"/>
      <x:c r="L259" s="198" t="str">
        <x:v>NU</x:v>
      </x:c>
      <x:c r="M259" s="198" t="n">
        <x:v>6</x:v>
      </x:c>
      <x:c r="N259" s="198" t="str">
        <x:v>3Y</x:v>
      </x:c>
      <x:c r="O259" s="198" t="str">
        <x:v>3Y</x:v>
      </x:c>
      <x:c r="P259" s="266" t="n">
        <x:v>0.065</x:v>
      </x:c>
      <x:c r="Q259" s="201" t="n">
        <x:v>11700</x:v>
      </x:c>
      <x:c r="R259" s="267" t="n">
        <x:v>1500</x:v>
      </x:c>
      <x:c r="S259" s="254" t="n">
        <x:f>Q259*P259+0.5*R259*P259^2</x:f>
        <x:v>763.66875</x:v>
      </x:c>
      <x:c r="T259" s="191" t="str">
        <x:v>IR</x:v>
      </x:c>
      <x:c r="U259" s="191" t="str">
        <x:v>Illustrative surrogate only</x:v>
      </x:c>
      <x:c r="V259" s="191"/>
      <x:c r="W259" s="191"/>
      <x:c r="X259" s="191"/>
      <x:c r="Y259" s="191"/>
      <x:c r="Z259" s="191"/>
      <x:c r="AA259" s="191"/>
      <x:c r="AB259" s="191"/>
      <x:c r="AC259" s="191"/>
      <x:c r="AD259" s="191"/>
      <x:c r="AE259" s="191"/>
      <x:c r="AF259" s="191"/>
      <x:c r="AG259" s="191"/>
      <x:c r="AH259" s="191"/>
      <x:c r="AI259" s="191"/>
      <x:c r="AJ259" s="191"/>
      <x:c r="AK259" s="191"/>
    </x:row>
    <x:row r="260">
      <x:c r="A260" s="191"/>
      <x:c r="B260" s="191"/>
      <x:c r="C260" s="191"/>
      <x:c r="D260" s="191"/>
      <x:c r="E260" s="191"/>
      <x:c r="F260" s="191"/>
      <x:c r="G260" s="191"/>
      <x:c r="H260" s="191"/>
      <x:c r="I260" s="191"/>
      <x:c r="J260" s="191"/>
      <x:c r="K260" s="191"/>
      <x:c r="L260" s="198" t="str">
        <x:v>NU</x:v>
      </x:c>
      <x:c r="M260" s="198" t="n">
        <x:v>6</x:v>
      </x:c>
      <x:c r="N260" s="198" t="str">
        <x:v>3Y</x:v>
      </x:c>
      <x:c r="O260" s="198" t="str">
        <x:v>5Y</x:v>
      </x:c>
      <x:c r="P260" s="266" t="n">
        <x:v>0.067</x:v>
      </x:c>
      <x:c r="Q260" s="201" t="n">
        <x:v>11850</x:v>
      </x:c>
      <x:c r="R260" s="267" t="n">
        <x:v>1500</x:v>
      </x:c>
      <x:c r="S260" s="254" t="n">
        <x:f>Q260*P260+0.5*R260*P260^2</x:f>
        <x:v>797.3167500000001</x:v>
      </x:c>
      <x:c r="T260" s="191" t="str">
        <x:v>IR</x:v>
      </x:c>
      <x:c r="U260" s="191" t="str">
        <x:v>Illustrative surrogate only</x:v>
      </x:c>
      <x:c r="V260" s="191"/>
      <x:c r="W260" s="191"/>
      <x:c r="X260" s="191"/>
      <x:c r="Y260" s="191"/>
      <x:c r="Z260" s="191"/>
      <x:c r="AA260" s="191"/>
      <x:c r="AB260" s="191"/>
      <x:c r="AC260" s="191"/>
      <x:c r="AD260" s="191"/>
      <x:c r="AE260" s="191"/>
      <x:c r="AF260" s="191"/>
      <x:c r="AG260" s="191"/>
      <x:c r="AH260" s="191"/>
      <x:c r="AI260" s="191"/>
      <x:c r="AJ260" s="191"/>
      <x:c r="AK260" s="191"/>
    </x:row>
    <x:row r="261">
      <x:c r="A261" s="191"/>
      <x:c r="B261" s="191"/>
      <x:c r="C261" s="191"/>
      <x:c r="D261" s="191"/>
      <x:c r="E261" s="191"/>
      <x:c r="F261" s="191"/>
      <x:c r="G261" s="191"/>
      <x:c r="H261" s="191"/>
      <x:c r="I261" s="191"/>
      <x:c r="J261" s="191"/>
      <x:c r="K261" s="191"/>
      <x:c r="L261" s="198" t="str">
        <x:v>NU</x:v>
      </x:c>
      <x:c r="M261" s="198" t="n">
        <x:v>6</x:v>
      </x:c>
      <x:c r="N261" s="198" t="str">
        <x:v>3Y</x:v>
      </x:c>
      <x:c r="O261" s="198" t="str">
        <x:v>10Y</x:v>
      </x:c>
      <x:c r="P261" s="266" t="n">
        <x:v>0.069</x:v>
      </x:c>
      <x:c r="Q261" s="201" t="n">
        <x:v>12000</x:v>
      </x:c>
      <x:c r="R261" s="267" t="n">
        <x:v>1500</x:v>
      </x:c>
      <x:c r="S261" s="254" t="n">
        <x:f>Q261*P261+0.5*R261*P261^2</x:f>
        <x:v>831.5707500000001</x:v>
      </x:c>
      <x:c r="T261" s="191" t="str">
        <x:v>IR</x:v>
      </x:c>
      <x:c r="U261" s="191" t="str">
        <x:v>Illustrative surrogate only</x:v>
      </x:c>
      <x:c r="V261" s="191"/>
      <x:c r="W261" s="191"/>
      <x:c r="X261" s="191"/>
      <x:c r="Y261" s="191"/>
      <x:c r="Z261" s="191"/>
      <x:c r="AA261" s="191"/>
      <x:c r="AB261" s="191"/>
      <x:c r="AC261" s="191"/>
      <x:c r="AD261" s="191"/>
      <x:c r="AE261" s="191"/>
      <x:c r="AF261" s="191"/>
      <x:c r="AG261" s="191"/>
      <x:c r="AH261" s="191"/>
      <x:c r="AI261" s="191"/>
      <x:c r="AJ261" s="191"/>
      <x:c r="AK261" s="191"/>
    </x:row>
    <x:row r="262">
      <x:c r="A262" s="191"/>
      <x:c r="B262" s="191"/>
      <x:c r="C262" s="191"/>
      <x:c r="D262" s="191"/>
      <x:c r="E262" s="191"/>
      <x:c r="F262" s="191"/>
      <x:c r="G262" s="191"/>
      <x:c r="H262" s="191"/>
      <x:c r="I262" s="191"/>
      <x:c r="J262" s="191"/>
      <x:c r="K262" s="191"/>
      <x:c r="L262" s="198" t="str">
        <x:v>NU</x:v>
      </x:c>
      <x:c r="M262" s="198" t="n">
        <x:v>6</x:v>
      </x:c>
      <x:c r="N262" s="198" t="str">
        <x:v>3Y</x:v>
      </x:c>
      <x:c r="O262" s="198" t="str">
        <x:v>20Y</x:v>
      </x:c>
      <x:c r="P262" s="266" t="n">
        <x:v>0.07100000000000001</x:v>
      </x:c>
      <x:c r="Q262" s="201" t="n">
        <x:v>12150</x:v>
      </x:c>
      <x:c r="R262" s="267" t="n">
        <x:v>1500</x:v>
      </x:c>
      <x:c r="S262" s="254" t="n">
        <x:f>Q262*P262+0.5*R262*P262^2</x:f>
        <x:v>866.4307500000001</x:v>
      </x:c>
      <x:c r="T262" s="191" t="str">
        <x:v>IR</x:v>
      </x:c>
      <x:c r="U262" s="191" t="str">
        <x:v>Illustrative surrogate only</x:v>
      </x:c>
      <x:c r="V262" s="191"/>
      <x:c r="W262" s="191"/>
      <x:c r="X262" s="191"/>
      <x:c r="Y262" s="191"/>
      <x:c r="Z262" s="191"/>
      <x:c r="AA262" s="191"/>
      <x:c r="AB262" s="191"/>
      <x:c r="AC262" s="191"/>
      <x:c r="AD262" s="191"/>
      <x:c r="AE262" s="191"/>
      <x:c r="AF262" s="191"/>
      <x:c r="AG262" s="191"/>
      <x:c r="AH262" s="191"/>
      <x:c r="AI262" s="191"/>
      <x:c r="AJ262" s="191"/>
      <x:c r="AK262" s="191"/>
    </x:row>
    <x:row r="263">
      <x:c r="A263" s="191"/>
      <x:c r="B263" s="191"/>
      <x:c r="C263" s="191"/>
      <x:c r="D263" s="191"/>
      <x:c r="E263" s="191"/>
      <x:c r="F263" s="191"/>
      <x:c r="G263" s="191"/>
      <x:c r="H263" s="191"/>
      <x:c r="I263" s="191"/>
      <x:c r="J263" s="191"/>
      <x:c r="K263" s="191"/>
      <x:c r="L263" s="198" t="str">
        <x:v>NU</x:v>
      </x:c>
      <x:c r="M263" s="198" t="n">
        <x:v>6</x:v>
      </x:c>
      <x:c r="N263" s="198" t="str">
        <x:v>3Y</x:v>
      </x:c>
      <x:c r="O263" s="198" t="str">
        <x:v>30Y</x:v>
      </x:c>
      <x:c r="P263" s="266" t="n">
        <x:v>0.07300000000000001</x:v>
      </x:c>
      <x:c r="Q263" s="201" t="n">
        <x:v>12300</x:v>
      </x:c>
      <x:c r="R263" s="267" t="n">
        <x:v>1500</x:v>
      </x:c>
      <x:c r="S263" s="254" t="n">
        <x:f>Q263*P263+0.5*R263*P263^2</x:f>
        <x:v>901.8967500000001</x:v>
      </x:c>
      <x:c r="T263" s="191" t="str">
        <x:v>IR</x:v>
      </x:c>
      <x:c r="U263" s="191" t="str">
        <x:v>Illustrative surrogate only</x:v>
      </x:c>
      <x:c r="V263" s="191"/>
      <x:c r="W263" s="191"/>
      <x:c r="X263" s="191"/>
      <x:c r="Y263" s="191"/>
      <x:c r="Z263" s="191"/>
      <x:c r="AA263" s="191"/>
      <x:c r="AB263" s="191"/>
      <x:c r="AC263" s="191"/>
      <x:c r="AD263" s="191"/>
      <x:c r="AE263" s="191"/>
      <x:c r="AF263" s="191"/>
      <x:c r="AG263" s="191"/>
      <x:c r="AH263" s="191"/>
      <x:c r="AI263" s="191"/>
      <x:c r="AJ263" s="191"/>
      <x:c r="AK263" s="191"/>
    </x:row>
    <x:row r="264">
      <x:c r="A264" s="191"/>
      <x:c r="B264" s="191"/>
      <x:c r="C264" s="191"/>
      <x:c r="D264" s="191"/>
      <x:c r="E264" s="191"/>
      <x:c r="F264" s="191"/>
      <x:c r="G264" s="191"/>
      <x:c r="H264" s="191"/>
      <x:c r="I264" s="191"/>
      <x:c r="J264" s="191"/>
      <x:c r="K264" s="191"/>
      <x:c r="L264" s="198" t="str">
        <x:v>NU</x:v>
      </x:c>
      <x:c r="M264" s="198" t="n">
        <x:v>7</x:v>
      </x:c>
      <x:c r="N264" s="198" t="str">
        <x:v>5Y</x:v>
      </x:c>
      <x:c r="O264" s="198" t="str">
        <x:v>1M</x:v>
      </x:c>
      <x:c r="P264" s="266" t="n">
        <x:v>0.05800000000000001</x:v>
      </x:c>
      <x:c r="Q264" s="201" t="n">
        <x:v>11250</x:v>
      </x:c>
      <x:c r="R264" s="267" t="n">
        <x:v>1500</x:v>
      </x:c>
      <x:c r="S264" s="254" t="n">
        <x:f>Q264*P264+0.5*R264*P264^2</x:f>
        <x:v>655.0230000000001</x:v>
      </x:c>
      <x:c r="T264" s="191" t="str">
        <x:v>IR</x:v>
      </x:c>
      <x:c r="U264" s="191" t="str">
        <x:v>Illustrative surrogate only</x:v>
      </x:c>
      <x:c r="V264" s="191"/>
      <x:c r="W264" s="191"/>
      <x:c r="X264" s="191"/>
      <x:c r="Y264" s="191"/>
      <x:c r="Z264" s="191"/>
      <x:c r="AA264" s="191"/>
      <x:c r="AB264" s="191"/>
      <x:c r="AC264" s="191"/>
      <x:c r="AD264" s="191"/>
      <x:c r="AE264" s="191"/>
      <x:c r="AF264" s="191"/>
      <x:c r="AG264" s="191"/>
      <x:c r="AH264" s="191"/>
      <x:c r="AI264" s="191"/>
      <x:c r="AJ264" s="191"/>
      <x:c r="AK264" s="191"/>
    </x:row>
    <x:row r="265">
      <x:c r="A265" s="191"/>
      <x:c r="B265" s="191"/>
      <x:c r="C265" s="191"/>
      <x:c r="D265" s="191"/>
      <x:c r="E265" s="191"/>
      <x:c r="F265" s="191"/>
      <x:c r="G265" s="191"/>
      <x:c r="H265" s="191"/>
      <x:c r="I265" s="191"/>
      <x:c r="J265" s="191"/>
      <x:c r="K265" s="191"/>
      <x:c r="L265" s="198" t="str">
        <x:v>NU</x:v>
      </x:c>
      <x:c r="M265" s="198" t="n">
        <x:v>7</x:v>
      </x:c>
      <x:c r="N265" s="198" t="str">
        <x:v>5Y</x:v>
      </x:c>
      <x:c r="O265" s="198" t="str">
        <x:v>3M</x:v>
      </x:c>
      <x:c r="P265" s="266" t="n">
        <x:v>0.06000000000000001</x:v>
      </x:c>
      <x:c r="Q265" s="201" t="n">
        <x:v>11400</x:v>
      </x:c>
      <x:c r="R265" s="267" t="n">
        <x:v>1500</x:v>
      </x:c>
      <x:c r="S265" s="254" t="n">
        <x:f>Q265*P265+0.5*R265*P265^2</x:f>
        <x:v>686.7000000000002</x:v>
      </x:c>
      <x:c r="T265" s="191" t="str">
        <x:v>IR</x:v>
      </x:c>
      <x:c r="U265" s="191" t="str">
        <x:v>Illustrative surrogate only</x:v>
      </x:c>
      <x:c r="V265" s="191"/>
      <x:c r="W265" s="191"/>
      <x:c r="X265" s="191"/>
      <x:c r="Y265" s="191"/>
      <x:c r="Z265" s="191"/>
      <x:c r="AA265" s="191"/>
      <x:c r="AB265" s="191"/>
      <x:c r="AC265" s="191"/>
      <x:c r="AD265" s="191"/>
      <x:c r="AE265" s="191"/>
      <x:c r="AF265" s="191"/>
      <x:c r="AG265" s="191"/>
      <x:c r="AH265" s="191"/>
      <x:c r="AI265" s="191"/>
      <x:c r="AJ265" s="191"/>
      <x:c r="AK265" s="191"/>
    </x:row>
    <x:row r="266">
      <x:c r="A266" s="191"/>
      <x:c r="B266" s="191"/>
      <x:c r="C266" s="191"/>
      <x:c r="D266" s="191"/>
      <x:c r="E266" s="191"/>
      <x:c r="F266" s="191"/>
      <x:c r="G266" s="191"/>
      <x:c r="H266" s="191"/>
      <x:c r="I266" s="191"/>
      <x:c r="J266" s="191"/>
      <x:c r="K266" s="191"/>
      <x:c r="L266" s="198" t="str">
        <x:v>NU</x:v>
      </x:c>
      <x:c r="M266" s="198" t="n">
        <x:v>7</x:v>
      </x:c>
      <x:c r="N266" s="198" t="str">
        <x:v>5Y</x:v>
      </x:c>
      <x:c r="O266" s="198" t="str">
        <x:v>6M</x:v>
      </x:c>
      <x:c r="P266" s="266" t="n">
        <x:v>0.062000000000000006</x:v>
      </x:c>
      <x:c r="Q266" s="201" t="n">
        <x:v>11550</x:v>
      </x:c>
      <x:c r="R266" s="267" t="n">
        <x:v>1500</x:v>
      </x:c>
      <x:c r="S266" s="254" t="n">
        <x:f>Q266*P266+0.5*R266*P266^2</x:f>
        <x:v>718.9830000000001</x:v>
      </x:c>
      <x:c r="T266" s="191" t="str">
        <x:v>IR</x:v>
      </x:c>
      <x:c r="U266" s="191" t="str">
        <x:v>Illustrative surrogate only</x:v>
      </x:c>
      <x:c r="V266" s="191"/>
      <x:c r="W266" s="191"/>
      <x:c r="X266" s="191"/>
      <x:c r="Y266" s="191"/>
      <x:c r="Z266" s="191"/>
      <x:c r="AA266" s="191"/>
      <x:c r="AB266" s="191"/>
      <x:c r="AC266" s="191"/>
      <x:c r="AD266" s="191"/>
      <x:c r="AE266" s="191"/>
      <x:c r="AF266" s="191"/>
      <x:c r="AG266" s="191"/>
      <x:c r="AH266" s="191"/>
      <x:c r="AI266" s="191"/>
      <x:c r="AJ266" s="191"/>
      <x:c r="AK266" s="191"/>
    </x:row>
    <x:row r="267">
      <x:c r="A267" s="191"/>
      <x:c r="B267" s="191"/>
      <x:c r="C267" s="191"/>
      <x:c r="D267" s="191"/>
      <x:c r="E267" s="191"/>
      <x:c r="F267" s="191"/>
      <x:c r="G267" s="191"/>
      <x:c r="H267" s="191"/>
      <x:c r="I267" s="191"/>
      <x:c r="J267" s="191"/>
      <x:c r="K267" s="191"/>
      <x:c r="L267" s="198" t="str">
        <x:v>NU</x:v>
      </x:c>
      <x:c r="M267" s="198" t="n">
        <x:v>7</x:v>
      </x:c>
      <x:c r="N267" s="198" t="str">
        <x:v>5Y</x:v>
      </x:c>
      <x:c r="O267" s="198" t="str">
        <x:v>1Y</x:v>
      </x:c>
      <x:c r="P267" s="266" t="n">
        <x:v>0.064</x:v>
      </x:c>
      <x:c r="Q267" s="201" t="n">
        <x:v>11700</x:v>
      </x:c>
      <x:c r="R267" s="267" t="n">
        <x:v>1500</x:v>
      </x:c>
      <x:c r="S267" s="254" t="n">
        <x:f>Q267*P267+0.5*R267*P267^2</x:f>
        <x:v>751.8720000000001</x:v>
      </x:c>
      <x:c r="T267" s="191" t="str">
        <x:v>IR</x:v>
      </x:c>
      <x:c r="U267" s="191" t="str">
        <x:v>Illustrative surrogate only</x:v>
      </x:c>
      <x:c r="V267" s="191"/>
      <x:c r="W267" s="191"/>
      <x:c r="X267" s="191"/>
      <x:c r="Y267" s="191"/>
      <x:c r="Z267" s="191"/>
      <x:c r="AA267" s="191"/>
      <x:c r="AB267" s="191"/>
      <x:c r="AC267" s="191"/>
      <x:c r="AD267" s="191"/>
      <x:c r="AE267" s="191"/>
      <x:c r="AF267" s="191"/>
      <x:c r="AG267" s="191"/>
      <x:c r="AH267" s="191"/>
      <x:c r="AI267" s="191"/>
      <x:c r="AJ267" s="191"/>
      <x:c r="AK267" s="191"/>
    </x:row>
    <x:row r="268">
      <x:c r="A268" s="191"/>
      <x:c r="B268" s="191"/>
      <x:c r="C268" s="191"/>
      <x:c r="D268" s="191"/>
      <x:c r="E268" s="191"/>
      <x:c r="F268" s="191"/>
      <x:c r="G268" s="191"/>
      <x:c r="H268" s="191"/>
      <x:c r="I268" s="191"/>
      <x:c r="J268" s="191"/>
      <x:c r="K268" s="191"/>
      <x:c r="L268" s="198" t="str">
        <x:v>NU</x:v>
      </x:c>
      <x:c r="M268" s="198" t="n">
        <x:v>7</x:v>
      </x:c>
      <x:c r="N268" s="198" t="str">
        <x:v>5Y</x:v>
      </x:c>
      <x:c r="O268" s="198" t="str">
        <x:v>2Y</x:v>
      </x:c>
      <x:c r="P268" s="266" t="n">
        <x:v>0.066</x:v>
      </x:c>
      <x:c r="Q268" s="201" t="n">
        <x:v>11850</x:v>
      </x:c>
      <x:c r="R268" s="267" t="n">
        <x:v>1500</x:v>
      </x:c>
      <x:c r="S268" s="254" t="n">
        <x:f>Q268*P268+0.5*R268*P268^2</x:f>
        <x:v>785.3670000000001</x:v>
      </x:c>
      <x:c r="T268" s="191" t="str">
        <x:v>IR</x:v>
      </x:c>
      <x:c r="U268" s="191" t="str">
        <x:v>Illustrative surrogate only</x:v>
      </x:c>
      <x:c r="V268" s="191"/>
      <x:c r="W268" s="191"/>
      <x:c r="X268" s="191"/>
      <x:c r="Y268" s="191"/>
      <x:c r="Z268" s="191"/>
      <x:c r="AA268" s="191"/>
      <x:c r="AB268" s="191"/>
      <x:c r="AC268" s="191"/>
      <x:c r="AD268" s="191"/>
      <x:c r="AE268" s="191"/>
      <x:c r="AF268" s="191"/>
      <x:c r="AG268" s="191"/>
      <x:c r="AH268" s="191"/>
      <x:c r="AI268" s="191"/>
      <x:c r="AJ268" s="191"/>
      <x:c r="AK268" s="191"/>
    </x:row>
    <x:row r="269">
      <x:c r="A269" s="191"/>
      <x:c r="B269" s="191"/>
      <x:c r="C269" s="191"/>
      <x:c r="D269" s="191"/>
      <x:c r="E269" s="191"/>
      <x:c r="F269" s="191"/>
      <x:c r="G269" s="191"/>
      <x:c r="H269" s="191"/>
      <x:c r="I269" s="191"/>
      <x:c r="J269" s="191"/>
      <x:c r="K269" s="191"/>
      <x:c r="L269" s="198" t="str">
        <x:v>NU</x:v>
      </x:c>
      <x:c r="M269" s="198" t="n">
        <x:v>7</x:v>
      </x:c>
      <x:c r="N269" s="198" t="str">
        <x:v>5Y</x:v>
      </x:c>
      <x:c r="O269" s="198" t="str">
        <x:v>3Y</x:v>
      </x:c>
      <x:c r="P269" s="266" t="n">
        <x:v>0.068</x:v>
      </x:c>
      <x:c r="Q269" s="201" t="n">
        <x:v>12000</x:v>
      </x:c>
      <x:c r="R269" s="267" t="n">
        <x:v>1500</x:v>
      </x:c>
      <x:c r="S269" s="254" t="n">
        <x:f>Q269*P269+0.5*R269*P269^2</x:f>
        <x:v>819.4680000000001</x:v>
      </x:c>
      <x:c r="T269" s="191" t="str">
        <x:v>IR</x:v>
      </x:c>
      <x:c r="U269" s="191" t="str">
        <x:v>Illustrative surrogate only</x:v>
      </x:c>
      <x:c r="V269" s="191"/>
      <x:c r="W269" s="191"/>
      <x:c r="X269" s="191"/>
      <x:c r="Y269" s="191"/>
      <x:c r="Z269" s="191"/>
      <x:c r="AA269" s="191"/>
      <x:c r="AB269" s="191"/>
      <x:c r="AC269" s="191"/>
      <x:c r="AD269" s="191"/>
      <x:c r="AE269" s="191"/>
      <x:c r="AF269" s="191"/>
      <x:c r="AG269" s="191"/>
      <x:c r="AH269" s="191"/>
      <x:c r="AI269" s="191"/>
      <x:c r="AJ269" s="191"/>
      <x:c r="AK269" s="191"/>
    </x:row>
    <x:row r="270">
      <x:c r="A270" s="191"/>
      <x:c r="B270" s="191"/>
      <x:c r="C270" s="191"/>
      <x:c r="D270" s="191"/>
      <x:c r="E270" s="191"/>
      <x:c r="F270" s="191"/>
      <x:c r="G270" s="191"/>
      <x:c r="H270" s="191"/>
      <x:c r="I270" s="191"/>
      <x:c r="J270" s="191"/>
      <x:c r="K270" s="191"/>
      <x:c r="L270" s="198" t="str">
        <x:v>NU</x:v>
      </x:c>
      <x:c r="M270" s="198" t="n">
        <x:v>7</x:v>
      </x:c>
      <x:c r="N270" s="198" t="str">
        <x:v>5Y</x:v>
      </x:c>
      <x:c r="O270" s="198" t="str">
        <x:v>5Y</x:v>
      </x:c>
      <x:c r="P270" s="266" t="n">
        <x:v>0.07</x:v>
      </x:c>
      <x:c r="Q270" s="201" t="n">
        <x:v>12150</x:v>
      </x:c>
      <x:c r="R270" s="267" t="n">
        <x:v>1500</x:v>
      </x:c>
      <x:c r="S270" s="254" t="n">
        <x:f>Q270*P270+0.5*R270*P270^2</x:f>
        <x:v>854.1750000000001</x:v>
      </x:c>
      <x:c r="T270" s="191" t="str">
        <x:v>IR</x:v>
      </x:c>
      <x:c r="U270" s="191" t="str">
        <x:v>Illustrative surrogate only</x:v>
      </x:c>
      <x:c r="V270" s="191"/>
      <x:c r="W270" s="191"/>
      <x:c r="X270" s="191"/>
      <x:c r="Y270" s="191"/>
      <x:c r="Z270" s="191"/>
      <x:c r="AA270" s="191"/>
      <x:c r="AB270" s="191"/>
      <x:c r="AC270" s="191"/>
      <x:c r="AD270" s="191"/>
      <x:c r="AE270" s="191"/>
      <x:c r="AF270" s="191"/>
      <x:c r="AG270" s="191"/>
      <x:c r="AH270" s="191"/>
      <x:c r="AI270" s="191"/>
      <x:c r="AJ270" s="191"/>
      <x:c r="AK270" s="191"/>
    </x:row>
    <x:row r="271">
      <x:c r="A271" s="191"/>
      <x:c r="B271" s="191"/>
      <x:c r="C271" s="191"/>
      <x:c r="D271" s="191"/>
      <x:c r="E271" s="191"/>
      <x:c r="F271" s="191"/>
      <x:c r="G271" s="191"/>
      <x:c r="H271" s="191"/>
      <x:c r="I271" s="191"/>
      <x:c r="J271" s="191"/>
      <x:c r="K271" s="191"/>
      <x:c r="L271" s="198" t="str">
        <x:v>NU</x:v>
      </x:c>
      <x:c r="M271" s="198" t="n">
        <x:v>7</x:v>
      </x:c>
      <x:c r="N271" s="198" t="str">
        <x:v>5Y</x:v>
      </x:c>
      <x:c r="O271" s="198" t="str">
        <x:v>10Y</x:v>
      </x:c>
      <x:c r="P271" s="266" t="n">
        <x:v>0.07200000000000001</x:v>
      </x:c>
      <x:c r="Q271" s="201" t="n">
        <x:v>12300</x:v>
      </x:c>
      <x:c r="R271" s="267" t="n">
        <x:v>1500</x:v>
      </x:c>
      <x:c r="S271" s="254" t="n">
        <x:f>Q271*P271+0.5*R271*P271^2</x:f>
        <x:v>889.4880000000002</x:v>
      </x:c>
      <x:c r="T271" s="191" t="str">
        <x:v>IR</x:v>
      </x:c>
      <x:c r="U271" s="191" t="str">
        <x:v>Illustrative surrogate only</x:v>
      </x:c>
      <x:c r="V271" s="191"/>
      <x:c r="W271" s="191"/>
      <x:c r="X271" s="191"/>
      <x:c r="Y271" s="191"/>
      <x:c r="Z271" s="191"/>
      <x:c r="AA271" s="191"/>
      <x:c r="AB271" s="191"/>
      <x:c r="AC271" s="191"/>
      <x:c r="AD271" s="191"/>
      <x:c r="AE271" s="191"/>
      <x:c r="AF271" s="191"/>
      <x:c r="AG271" s="191"/>
      <x:c r="AH271" s="191"/>
      <x:c r="AI271" s="191"/>
      <x:c r="AJ271" s="191"/>
      <x:c r="AK271" s="191"/>
    </x:row>
    <x:row r="272">
      <x:c r="A272" s="191"/>
      <x:c r="B272" s="191"/>
      <x:c r="C272" s="191"/>
      <x:c r="D272" s="191"/>
      <x:c r="E272" s="191"/>
      <x:c r="F272" s="191"/>
      <x:c r="G272" s="191"/>
      <x:c r="H272" s="191"/>
      <x:c r="I272" s="191"/>
      <x:c r="J272" s="191"/>
      <x:c r="K272" s="191"/>
      <x:c r="L272" s="198" t="str">
        <x:v>NU</x:v>
      </x:c>
      <x:c r="M272" s="198" t="n">
        <x:v>7</x:v>
      </x:c>
      <x:c r="N272" s="198" t="str">
        <x:v>5Y</x:v>
      </x:c>
      <x:c r="O272" s="198" t="str">
        <x:v>20Y</x:v>
      </x:c>
      <x:c r="P272" s="266" t="n">
        <x:v>0.07400000000000001</x:v>
      </x:c>
      <x:c r="Q272" s="201" t="n">
        <x:v>12450</x:v>
      </x:c>
      <x:c r="R272" s="267" t="n">
        <x:v>1500</x:v>
      </x:c>
      <x:c r="S272" s="254" t="n">
        <x:f>Q272*P272+0.5*R272*P272^2</x:f>
        <x:v>925.4070000000002</x:v>
      </x:c>
      <x:c r="T272" s="191" t="str">
        <x:v>IR</x:v>
      </x:c>
      <x:c r="U272" s="191" t="str">
        <x:v>Illustrative surrogate only</x:v>
      </x:c>
      <x:c r="V272" s="191"/>
      <x:c r="W272" s="191"/>
      <x:c r="X272" s="191"/>
      <x:c r="Y272" s="191"/>
      <x:c r="Z272" s="191"/>
      <x:c r="AA272" s="191"/>
      <x:c r="AB272" s="191"/>
      <x:c r="AC272" s="191"/>
      <x:c r="AD272" s="191"/>
      <x:c r="AE272" s="191"/>
      <x:c r="AF272" s="191"/>
      <x:c r="AG272" s="191"/>
      <x:c r="AH272" s="191"/>
      <x:c r="AI272" s="191"/>
      <x:c r="AJ272" s="191"/>
      <x:c r="AK272" s="191"/>
    </x:row>
    <x:row r="273">
      <x:c r="A273" s="191"/>
      <x:c r="B273" s="191"/>
      <x:c r="C273" s="191"/>
      <x:c r="D273" s="191"/>
      <x:c r="E273" s="191"/>
      <x:c r="F273" s="191"/>
      <x:c r="G273" s="191"/>
      <x:c r="H273" s="191"/>
      <x:c r="I273" s="191"/>
      <x:c r="J273" s="191"/>
      <x:c r="K273" s="191"/>
      <x:c r="L273" s="198" t="str">
        <x:v>NU</x:v>
      </x:c>
      <x:c r="M273" s="198" t="n">
        <x:v>7</x:v>
      </x:c>
      <x:c r="N273" s="198" t="str">
        <x:v>5Y</x:v>
      </x:c>
      <x:c r="O273" s="198" t="str">
        <x:v>30Y</x:v>
      </x:c>
      <x:c r="P273" s="266" t="n">
        <x:v>0.07600000000000001</x:v>
      </x:c>
      <x:c r="Q273" s="201" t="n">
        <x:v>12600</x:v>
      </x:c>
      <x:c r="R273" s="267" t="n">
        <x:v>1500</x:v>
      </x:c>
      <x:c r="S273" s="254" t="n">
        <x:f>Q273*P273+0.5*R273*P273^2</x:f>
        <x:v>961.9320000000001</x:v>
      </x:c>
      <x:c r="T273" s="191" t="str">
        <x:v>IR</x:v>
      </x:c>
      <x:c r="U273" s="191" t="str">
        <x:v>Illustrative surrogate only</x:v>
      </x:c>
      <x:c r="V273" s="191"/>
      <x:c r="W273" s="191"/>
      <x:c r="X273" s="191"/>
      <x:c r="Y273" s="191"/>
      <x:c r="Z273" s="191"/>
      <x:c r="AA273" s="191"/>
      <x:c r="AB273" s="191"/>
      <x:c r="AC273" s="191"/>
      <x:c r="AD273" s="191"/>
      <x:c r="AE273" s="191"/>
      <x:c r="AF273" s="191"/>
      <x:c r="AG273" s="191"/>
      <x:c r="AH273" s="191"/>
      <x:c r="AI273" s="191"/>
      <x:c r="AJ273" s="191"/>
      <x:c r="AK273" s="191"/>
    </x:row>
    <x:row r="274">
      <x:c r="A274" s="191"/>
      <x:c r="B274" s="191"/>
      <x:c r="C274" s="191"/>
      <x:c r="D274" s="191"/>
      <x:c r="E274" s="191"/>
      <x:c r="F274" s="191"/>
      <x:c r="G274" s="191"/>
      <x:c r="H274" s="191"/>
      <x:c r="I274" s="191"/>
      <x:c r="J274" s="191"/>
      <x:c r="K274" s="191"/>
      <x:c r="L274" s="198" t="str">
        <x:v>NU</x:v>
      </x:c>
      <x:c r="M274" s="198" t="n">
        <x:v>8</x:v>
      </x:c>
      <x:c r="N274" s="198" t="str">
        <x:v>10Y</x:v>
      </x:c>
      <x:c r="O274" s="198" t="str">
        <x:v>1M</x:v>
      </x:c>
      <x:c r="P274" s="266" t="n">
        <x:v>0.061000000000000006</x:v>
      </x:c>
      <x:c r="Q274" s="201" t="n">
        <x:v>11550</x:v>
      </x:c>
      <x:c r="R274" s="267" t="n">
        <x:v>1500</x:v>
      </x:c>
      <x:c r="S274" s="254" t="n">
        <x:f>Q274*P274+0.5*R274*P274^2</x:f>
        <x:v>707.3407500000001</x:v>
      </x:c>
      <x:c r="T274" s="191" t="str">
        <x:v>IR</x:v>
      </x:c>
      <x:c r="U274" s="191" t="str">
        <x:v>Illustrative surrogate only</x:v>
      </x:c>
      <x:c r="V274" s="191"/>
      <x:c r="W274" s="191"/>
      <x:c r="X274" s="191"/>
      <x:c r="Y274" s="191"/>
      <x:c r="Z274" s="191"/>
      <x:c r="AA274" s="191"/>
      <x:c r="AB274" s="191"/>
      <x:c r="AC274" s="191"/>
      <x:c r="AD274" s="191"/>
      <x:c r="AE274" s="191"/>
      <x:c r="AF274" s="191"/>
      <x:c r="AG274" s="191"/>
      <x:c r="AH274" s="191"/>
      <x:c r="AI274" s="191"/>
      <x:c r="AJ274" s="191"/>
      <x:c r="AK274" s="191"/>
    </x:row>
    <x:row r="275">
      <x:c r="A275" s="191"/>
      <x:c r="B275" s="191"/>
      <x:c r="C275" s="191"/>
      <x:c r="D275" s="191"/>
      <x:c r="E275" s="191"/>
      <x:c r="F275" s="191"/>
      <x:c r="G275" s="191"/>
      <x:c r="H275" s="191"/>
      <x:c r="I275" s="191"/>
      <x:c r="J275" s="191"/>
      <x:c r="K275" s="191"/>
      <x:c r="L275" s="198" t="str">
        <x:v>NU</x:v>
      </x:c>
      <x:c r="M275" s="198" t="n">
        <x:v>8</x:v>
      </x:c>
      <x:c r="N275" s="198" t="str">
        <x:v>10Y</x:v>
      </x:c>
      <x:c r="O275" s="198" t="str">
        <x:v>3M</x:v>
      </x:c>
      <x:c r="P275" s="266" t="n">
        <x:v>0.063</x:v>
      </x:c>
      <x:c r="Q275" s="201" t="n">
        <x:v>11700</x:v>
      </x:c>
      <x:c r="R275" s="267" t="n">
        <x:v>1500</x:v>
      </x:c>
      <x:c r="S275" s="254" t="n">
        <x:f>Q275*P275+0.5*R275*P275^2</x:f>
        <x:v>740.0767500000001</x:v>
      </x:c>
      <x:c r="T275" s="191" t="str">
        <x:v>IR</x:v>
      </x:c>
      <x:c r="U275" s="191" t="str">
        <x:v>Illustrative surrogate only</x:v>
      </x:c>
      <x:c r="V275" s="191"/>
      <x:c r="W275" s="191"/>
      <x:c r="X275" s="191"/>
      <x:c r="Y275" s="191"/>
      <x:c r="Z275" s="191"/>
      <x:c r="AA275" s="191"/>
      <x:c r="AB275" s="191"/>
      <x:c r="AC275" s="191"/>
      <x:c r="AD275" s="191"/>
      <x:c r="AE275" s="191"/>
      <x:c r="AF275" s="191"/>
      <x:c r="AG275" s="191"/>
      <x:c r="AH275" s="191"/>
      <x:c r="AI275" s="191"/>
      <x:c r="AJ275" s="191"/>
      <x:c r="AK275" s="191"/>
    </x:row>
    <x:row r="276">
      <x:c r="A276" s="191"/>
      <x:c r="B276" s="191"/>
      <x:c r="C276" s="191"/>
      <x:c r="D276" s="191"/>
      <x:c r="E276" s="191"/>
      <x:c r="F276" s="191"/>
      <x:c r="G276" s="191"/>
      <x:c r="H276" s="191"/>
      <x:c r="I276" s="191"/>
      <x:c r="J276" s="191"/>
      <x:c r="K276" s="191"/>
      <x:c r="L276" s="198" t="str">
        <x:v>NU</x:v>
      </x:c>
      <x:c r="M276" s="198" t="n">
        <x:v>8</x:v>
      </x:c>
      <x:c r="N276" s="198" t="str">
        <x:v>10Y</x:v>
      </x:c>
      <x:c r="O276" s="198" t="str">
        <x:v>6M</x:v>
      </x:c>
      <x:c r="P276" s="266" t="n">
        <x:v>0.065</x:v>
      </x:c>
      <x:c r="Q276" s="201" t="n">
        <x:v>11850</x:v>
      </x:c>
      <x:c r="R276" s="267" t="n">
        <x:v>1500</x:v>
      </x:c>
      <x:c r="S276" s="254" t="n">
        <x:f>Q276*P276+0.5*R276*P276^2</x:f>
        <x:v>773.41875</x:v>
      </x:c>
      <x:c r="T276" s="191" t="str">
        <x:v>IR</x:v>
      </x:c>
      <x:c r="U276" s="191" t="str">
        <x:v>Illustrative surrogate only</x:v>
      </x:c>
      <x:c r="V276" s="191"/>
      <x:c r="W276" s="191"/>
      <x:c r="X276" s="191"/>
      <x:c r="Y276" s="191"/>
      <x:c r="Z276" s="191"/>
      <x:c r="AA276" s="191"/>
      <x:c r="AB276" s="191"/>
      <x:c r="AC276" s="191"/>
      <x:c r="AD276" s="191"/>
      <x:c r="AE276" s="191"/>
      <x:c r="AF276" s="191"/>
      <x:c r="AG276" s="191"/>
      <x:c r="AH276" s="191"/>
      <x:c r="AI276" s="191"/>
      <x:c r="AJ276" s="191"/>
      <x:c r="AK276" s="191"/>
    </x:row>
    <x:row r="277">
      <x:c r="A277" s="191"/>
      <x:c r="B277" s="191"/>
      <x:c r="C277" s="191"/>
      <x:c r="D277" s="191"/>
      <x:c r="E277" s="191"/>
      <x:c r="F277" s="191"/>
      <x:c r="G277" s="191"/>
      <x:c r="H277" s="191"/>
      <x:c r="I277" s="191"/>
      <x:c r="J277" s="191"/>
      <x:c r="K277" s="191"/>
      <x:c r="L277" s="198" t="str">
        <x:v>NU</x:v>
      </x:c>
      <x:c r="M277" s="198" t="n">
        <x:v>8</x:v>
      </x:c>
      <x:c r="N277" s="198" t="str">
        <x:v>10Y</x:v>
      </x:c>
      <x:c r="O277" s="198" t="str">
        <x:v>1Y</x:v>
      </x:c>
      <x:c r="P277" s="266" t="n">
        <x:v>0.067</x:v>
      </x:c>
      <x:c r="Q277" s="201" t="n">
        <x:v>12000</x:v>
      </x:c>
      <x:c r="R277" s="267" t="n">
        <x:v>1500</x:v>
      </x:c>
      <x:c r="S277" s="254" t="n">
        <x:f>Q277*P277+0.5*R277*P277^2</x:f>
        <x:v>807.36675</x:v>
      </x:c>
      <x:c r="T277" s="191" t="str">
        <x:v>IR</x:v>
      </x:c>
      <x:c r="U277" s="191" t="str">
        <x:v>Illustrative surrogate only</x:v>
      </x:c>
      <x:c r="V277" s="191"/>
      <x:c r="W277" s="191"/>
      <x:c r="X277" s="191"/>
      <x:c r="Y277" s="191"/>
      <x:c r="Z277" s="191"/>
      <x:c r="AA277" s="191"/>
      <x:c r="AB277" s="191"/>
      <x:c r="AC277" s="191"/>
      <x:c r="AD277" s="191"/>
      <x:c r="AE277" s="191"/>
      <x:c r="AF277" s="191"/>
      <x:c r="AG277" s="191"/>
      <x:c r="AH277" s="191"/>
      <x:c r="AI277" s="191"/>
      <x:c r="AJ277" s="191"/>
      <x:c r="AK277" s="191"/>
    </x:row>
    <x:row r="278">
      <x:c r="A278" s="191"/>
      <x:c r="B278" s="191"/>
      <x:c r="C278" s="191"/>
      <x:c r="D278" s="191"/>
      <x:c r="E278" s="191"/>
      <x:c r="F278" s="191"/>
      <x:c r="G278" s="191"/>
      <x:c r="H278" s="191"/>
      <x:c r="I278" s="191"/>
      <x:c r="J278" s="191"/>
      <x:c r="K278" s="191"/>
      <x:c r="L278" s="198" t="str">
        <x:v>NU</x:v>
      </x:c>
      <x:c r="M278" s="198" t="n">
        <x:v>8</x:v>
      </x:c>
      <x:c r="N278" s="198" t="str">
        <x:v>10Y</x:v>
      </x:c>
      <x:c r="O278" s="198" t="str">
        <x:v>2Y</x:v>
      </x:c>
      <x:c r="P278" s="266" t="n">
        <x:v>0.069</x:v>
      </x:c>
      <x:c r="Q278" s="201" t="n">
        <x:v>12150</x:v>
      </x:c>
      <x:c r="R278" s="267" t="n">
        <x:v>1500</x:v>
      </x:c>
      <x:c r="S278" s="254" t="n">
        <x:f>Q278*P278+0.5*R278*P278^2</x:f>
        <x:v>841.92075</x:v>
      </x:c>
      <x:c r="T278" s="191" t="str">
        <x:v>IR</x:v>
      </x:c>
      <x:c r="U278" s="191" t="str">
        <x:v>Illustrative surrogate only</x:v>
      </x:c>
      <x:c r="V278" s="191"/>
      <x:c r="W278" s="191"/>
      <x:c r="X278" s="191"/>
      <x:c r="Y278" s="191"/>
      <x:c r="Z278" s="191"/>
      <x:c r="AA278" s="191"/>
      <x:c r="AB278" s="191"/>
      <x:c r="AC278" s="191"/>
      <x:c r="AD278" s="191"/>
      <x:c r="AE278" s="191"/>
      <x:c r="AF278" s="191"/>
      <x:c r="AG278" s="191"/>
      <x:c r="AH278" s="191"/>
      <x:c r="AI278" s="191"/>
      <x:c r="AJ278" s="191"/>
      <x:c r="AK278" s="191"/>
    </x:row>
    <x:row r="279">
      <x:c r="A279" s="191"/>
      <x:c r="B279" s="191"/>
      <x:c r="C279" s="191"/>
      <x:c r="D279" s="191"/>
      <x:c r="E279" s="191"/>
      <x:c r="F279" s="191"/>
      <x:c r="G279" s="191"/>
      <x:c r="H279" s="191"/>
      <x:c r="I279" s="191"/>
      <x:c r="J279" s="191"/>
      <x:c r="K279" s="191"/>
      <x:c r="L279" s="198" t="str">
        <x:v>NU</x:v>
      </x:c>
      <x:c r="M279" s="198" t="n">
        <x:v>8</x:v>
      </x:c>
      <x:c r="N279" s="198" t="str">
        <x:v>10Y</x:v>
      </x:c>
      <x:c r="O279" s="198" t="str">
        <x:v>3Y</x:v>
      </x:c>
      <x:c r="P279" s="266" t="n">
        <x:v>0.07100000000000001</x:v>
      </x:c>
      <x:c r="Q279" s="201" t="n">
        <x:v>12300</x:v>
      </x:c>
      <x:c r="R279" s="267" t="n">
        <x:v>1500</x:v>
      </x:c>
      <x:c r="S279" s="254" t="n">
        <x:f>Q279*P279+0.5*R279*P279^2</x:f>
        <x:v>877.0807500000001</x:v>
      </x:c>
      <x:c r="T279" s="191" t="str">
        <x:v>IR</x:v>
      </x:c>
      <x:c r="U279" s="191" t="str">
        <x:v>Illustrative surrogate only</x:v>
      </x:c>
      <x:c r="V279" s="191"/>
      <x:c r="W279" s="191"/>
      <x:c r="X279" s="191"/>
      <x:c r="Y279" s="191"/>
      <x:c r="Z279" s="191"/>
      <x:c r="AA279" s="191"/>
      <x:c r="AB279" s="191"/>
      <x:c r="AC279" s="191"/>
      <x:c r="AD279" s="191"/>
      <x:c r="AE279" s="191"/>
      <x:c r="AF279" s="191"/>
      <x:c r="AG279" s="191"/>
      <x:c r="AH279" s="191"/>
      <x:c r="AI279" s="191"/>
      <x:c r="AJ279" s="191"/>
      <x:c r="AK279" s="191"/>
    </x:row>
    <x:row r="280">
      <x:c r="A280" s="191"/>
      <x:c r="B280" s="191"/>
      <x:c r="C280" s="191"/>
      <x:c r="D280" s="191"/>
      <x:c r="E280" s="191"/>
      <x:c r="F280" s="191"/>
      <x:c r="G280" s="191"/>
      <x:c r="H280" s="191"/>
      <x:c r="I280" s="191"/>
      <x:c r="J280" s="191"/>
      <x:c r="K280" s="191"/>
      <x:c r="L280" s="198" t="str">
        <x:v>NU</x:v>
      </x:c>
      <x:c r="M280" s="198" t="n">
        <x:v>8</x:v>
      </x:c>
      <x:c r="N280" s="198" t="str">
        <x:v>10Y</x:v>
      </x:c>
      <x:c r="O280" s="198" t="str">
        <x:v>5Y</x:v>
      </x:c>
      <x:c r="P280" s="266" t="n">
        <x:v>0.07300000000000001</x:v>
      </x:c>
      <x:c r="Q280" s="201" t="n">
        <x:v>12450</x:v>
      </x:c>
      <x:c r="R280" s="267" t="n">
        <x:v>1500</x:v>
      </x:c>
      <x:c r="S280" s="254" t="n">
        <x:f>Q280*P280+0.5*R280*P280^2</x:f>
        <x:v>912.8467500000002</x:v>
      </x:c>
      <x:c r="T280" s="191" t="str">
        <x:v>IR</x:v>
      </x:c>
      <x:c r="U280" s="191" t="str">
        <x:v>Illustrative surrogate only</x:v>
      </x:c>
      <x:c r="V280" s="191"/>
      <x:c r="W280" s="191"/>
      <x:c r="X280" s="191"/>
      <x:c r="Y280" s="191"/>
      <x:c r="Z280" s="191"/>
      <x:c r="AA280" s="191"/>
      <x:c r="AB280" s="191"/>
      <x:c r="AC280" s="191"/>
      <x:c r="AD280" s="191"/>
      <x:c r="AE280" s="191"/>
      <x:c r="AF280" s="191"/>
      <x:c r="AG280" s="191"/>
      <x:c r="AH280" s="191"/>
      <x:c r="AI280" s="191"/>
      <x:c r="AJ280" s="191"/>
      <x:c r="AK280" s="191"/>
    </x:row>
    <x:row r="281">
      <x:c r="A281" s="191"/>
      <x:c r="B281" s="191"/>
      <x:c r="C281" s="191"/>
      <x:c r="D281" s="191"/>
      <x:c r="E281" s="191"/>
      <x:c r="F281" s="191"/>
      <x:c r="G281" s="191"/>
      <x:c r="H281" s="191"/>
      <x:c r="I281" s="191"/>
      <x:c r="J281" s="191"/>
      <x:c r="K281" s="191"/>
      <x:c r="L281" s="198" t="str">
        <x:v>NU</x:v>
      </x:c>
      <x:c r="M281" s="198" t="n">
        <x:v>8</x:v>
      </x:c>
      <x:c r="N281" s="198" t="str">
        <x:v>10Y</x:v>
      </x:c>
      <x:c r="O281" s="198" t="str">
        <x:v>10Y</x:v>
      </x:c>
      <x:c r="P281" s="266" t="n">
        <x:v>0.07500000000000001</x:v>
      </x:c>
      <x:c r="Q281" s="201" t="n">
        <x:v>12600</x:v>
      </x:c>
      <x:c r="R281" s="267" t="n">
        <x:v>1500</x:v>
      </x:c>
      <x:c r="S281" s="254" t="n">
        <x:f>Q281*P281+0.5*R281*P281^2</x:f>
        <x:v>949.2187500000001</x:v>
      </x:c>
      <x:c r="T281" s="191" t="str">
        <x:v>IR</x:v>
      </x:c>
      <x:c r="U281" s="191" t="str">
        <x:v>Illustrative surrogate only</x:v>
      </x:c>
      <x:c r="V281" s="191"/>
      <x:c r="W281" s="191"/>
      <x:c r="X281" s="191"/>
      <x:c r="Y281" s="191"/>
      <x:c r="Z281" s="191"/>
      <x:c r="AA281" s="191"/>
      <x:c r="AB281" s="191"/>
      <x:c r="AC281" s="191"/>
      <x:c r="AD281" s="191"/>
      <x:c r="AE281" s="191"/>
      <x:c r="AF281" s="191"/>
      <x:c r="AG281" s="191"/>
      <x:c r="AH281" s="191"/>
      <x:c r="AI281" s="191"/>
      <x:c r="AJ281" s="191"/>
      <x:c r="AK281" s="191"/>
    </x:row>
    <x:row r="282">
      <x:c r="A282" s="191"/>
      <x:c r="B282" s="191"/>
      <x:c r="C282" s="191"/>
      <x:c r="D282" s="191"/>
      <x:c r="E282" s="191"/>
      <x:c r="F282" s="191"/>
      <x:c r="G282" s="191"/>
      <x:c r="H282" s="191"/>
      <x:c r="I282" s="191"/>
      <x:c r="J282" s="191"/>
      <x:c r="K282" s="191"/>
      <x:c r="L282" s="198" t="str">
        <x:v>NU</x:v>
      </x:c>
      <x:c r="M282" s="198" t="n">
        <x:v>8</x:v>
      </x:c>
      <x:c r="N282" s="198" t="str">
        <x:v>10Y</x:v>
      </x:c>
      <x:c r="O282" s="198" t="str">
        <x:v>20Y</x:v>
      </x:c>
      <x:c r="P282" s="266" t="n">
        <x:v>0.07700000000000001</x:v>
      </x:c>
      <x:c r="Q282" s="201" t="n">
        <x:v>12750</x:v>
      </x:c>
      <x:c r="R282" s="267" t="n">
        <x:v>1500</x:v>
      </x:c>
      <x:c r="S282" s="254" t="n">
        <x:f>Q282*P282+0.5*R282*P282^2</x:f>
        <x:v>986.1967500000001</x:v>
      </x:c>
      <x:c r="T282" s="191" t="str">
        <x:v>IR</x:v>
      </x:c>
      <x:c r="U282" s="191" t="str">
        <x:v>Illustrative surrogate only</x:v>
      </x:c>
      <x:c r="V282" s="191"/>
      <x:c r="W282" s="191"/>
      <x:c r="X282" s="191"/>
      <x:c r="Y282" s="191"/>
      <x:c r="Z282" s="191"/>
      <x:c r="AA282" s="191"/>
      <x:c r="AB282" s="191"/>
      <x:c r="AC282" s="191"/>
      <x:c r="AD282" s="191"/>
      <x:c r="AE282" s="191"/>
      <x:c r="AF282" s="191"/>
      <x:c r="AG282" s="191"/>
      <x:c r="AH282" s="191"/>
      <x:c r="AI282" s="191"/>
      <x:c r="AJ282" s="191"/>
      <x:c r="AK282" s="191"/>
    </x:row>
    <x:row r="283">
      <x:c r="A283" s="191"/>
      <x:c r="B283" s="191"/>
      <x:c r="C283" s="191"/>
      <x:c r="D283" s="191"/>
      <x:c r="E283" s="191"/>
      <x:c r="F283" s="191"/>
      <x:c r="G283" s="191"/>
      <x:c r="H283" s="191"/>
      <x:c r="I283" s="191"/>
      <x:c r="J283" s="191"/>
      <x:c r="K283" s="191"/>
      <x:c r="L283" s="198" t="str">
        <x:v>NU</x:v>
      </x:c>
      <x:c r="M283" s="198" t="n">
        <x:v>8</x:v>
      </x:c>
      <x:c r="N283" s="198" t="str">
        <x:v>10Y</x:v>
      </x:c>
      <x:c r="O283" s="198" t="str">
        <x:v>30Y</x:v>
      </x:c>
      <x:c r="P283" s="266" t="n">
        <x:v>0.079</x:v>
      </x:c>
      <x:c r="Q283" s="201" t="n">
        <x:v>12900</x:v>
      </x:c>
      <x:c r="R283" s="267" t="n">
        <x:v>1500</x:v>
      </x:c>
      <x:c r="S283" s="254" t="n">
        <x:f>Q283*P283+0.5*R283*P283^2</x:f>
        <x:v>1023.78075</x:v>
      </x:c>
      <x:c r="T283" s="191" t="str">
        <x:v>IR</x:v>
      </x:c>
      <x:c r="U283" s="191" t="str">
        <x:v>Illustrative surrogate only</x:v>
      </x:c>
      <x:c r="V283" s="191"/>
      <x:c r="W283" s="191"/>
      <x:c r="X283" s="191"/>
      <x:c r="Y283" s="191"/>
      <x:c r="Z283" s="191"/>
      <x:c r="AA283" s="191"/>
      <x:c r="AB283" s="191"/>
      <x:c r="AC283" s="191"/>
      <x:c r="AD283" s="191"/>
      <x:c r="AE283" s="191"/>
      <x:c r="AF283" s="191"/>
      <x:c r="AG283" s="191"/>
      <x:c r="AH283" s="191"/>
      <x:c r="AI283" s="191"/>
      <x:c r="AJ283" s="191"/>
      <x:c r="AK283" s="191"/>
    </x:row>
    <x:row r="284">
      <x:c r="A284" s="191"/>
      <x:c r="B284" s="191"/>
      <x:c r="C284" s="191"/>
      <x:c r="D284" s="191"/>
      <x:c r="E284" s="191"/>
      <x:c r="F284" s="191"/>
      <x:c r="G284" s="191"/>
      <x:c r="H284" s="191"/>
      <x:c r="I284" s="191"/>
      <x:c r="J284" s="191"/>
      <x:c r="K284" s="191"/>
      <x:c r="L284" s="198" t="str">
        <x:v>NU</x:v>
      </x:c>
      <x:c r="M284" s="198" t="n">
        <x:v>9</x:v>
      </x:c>
      <x:c r="N284" s="198" t="str">
        <x:v>20Y</x:v>
      </x:c>
      <x:c r="O284" s="198" t="str">
        <x:v>1M</x:v>
      </x:c>
      <x:c r="P284" s="266" t="n">
        <x:v>0.064</x:v>
      </x:c>
      <x:c r="Q284" s="201" t="n">
        <x:v>11850</x:v>
      </x:c>
      <x:c r="R284" s="267" t="n">
        <x:v>1500</x:v>
      </x:c>
      <x:c r="S284" s="254" t="n">
        <x:f>Q284*P284+0.5*R284*P284^2</x:f>
        <x:v>761.472</x:v>
      </x:c>
      <x:c r="T284" s="191" t="str">
        <x:v>IR</x:v>
      </x:c>
      <x:c r="U284" s="191" t="str">
        <x:v>Illustrative surrogate only</x:v>
      </x:c>
      <x:c r="V284" s="191"/>
      <x:c r="W284" s="191"/>
      <x:c r="X284" s="191"/>
      <x:c r="Y284" s="191"/>
      <x:c r="Z284" s="191"/>
      <x:c r="AA284" s="191"/>
      <x:c r="AB284" s="191"/>
      <x:c r="AC284" s="191"/>
      <x:c r="AD284" s="191"/>
      <x:c r="AE284" s="191"/>
      <x:c r="AF284" s="191"/>
      <x:c r="AG284" s="191"/>
      <x:c r="AH284" s="191"/>
      <x:c r="AI284" s="191"/>
      <x:c r="AJ284" s="191"/>
      <x:c r="AK284" s="191"/>
    </x:row>
    <x:row r="285">
      <x:c r="A285" s="191"/>
      <x:c r="B285" s="191"/>
      <x:c r="C285" s="191"/>
      <x:c r="D285" s="191"/>
      <x:c r="E285" s="191"/>
      <x:c r="F285" s="191"/>
      <x:c r="G285" s="191"/>
      <x:c r="H285" s="191"/>
      <x:c r="I285" s="191"/>
      <x:c r="J285" s="191"/>
      <x:c r="K285" s="191"/>
      <x:c r="L285" s="198" t="str">
        <x:v>NU</x:v>
      </x:c>
      <x:c r="M285" s="198" t="n">
        <x:v>9</x:v>
      </x:c>
      <x:c r="N285" s="198" t="str">
        <x:v>20Y</x:v>
      </x:c>
      <x:c r="O285" s="198" t="str">
        <x:v>3M</x:v>
      </x:c>
      <x:c r="P285" s="266" t="n">
        <x:v>0.066</x:v>
      </x:c>
      <x:c r="Q285" s="201" t="n">
        <x:v>12000</x:v>
      </x:c>
      <x:c r="R285" s="267" t="n">
        <x:v>1500</x:v>
      </x:c>
      <x:c r="S285" s="254" t="n">
        <x:f>Q285*P285+0.5*R285*P285^2</x:f>
        <x:v>795.267</x:v>
      </x:c>
      <x:c r="T285" s="191" t="str">
        <x:v>IR</x:v>
      </x:c>
      <x:c r="U285" s="191" t="str">
        <x:v>Illustrative surrogate only</x:v>
      </x:c>
      <x:c r="V285" s="191"/>
      <x:c r="W285" s="191"/>
      <x:c r="X285" s="191"/>
      <x:c r="Y285" s="191"/>
      <x:c r="Z285" s="191"/>
      <x:c r="AA285" s="191"/>
      <x:c r="AB285" s="191"/>
      <x:c r="AC285" s="191"/>
      <x:c r="AD285" s="191"/>
      <x:c r="AE285" s="191"/>
      <x:c r="AF285" s="191"/>
      <x:c r="AG285" s="191"/>
      <x:c r="AH285" s="191"/>
      <x:c r="AI285" s="191"/>
      <x:c r="AJ285" s="191"/>
      <x:c r="AK285" s="191"/>
    </x:row>
    <x:row r="286">
      <x:c r="A286" s="191"/>
      <x:c r="B286" s="191"/>
      <x:c r="C286" s="191"/>
      <x:c r="D286" s="191"/>
      <x:c r="E286" s="191"/>
      <x:c r="F286" s="191"/>
      <x:c r="G286" s="191"/>
      <x:c r="H286" s="191"/>
      <x:c r="I286" s="191"/>
      <x:c r="J286" s="191"/>
      <x:c r="K286" s="191"/>
      <x:c r="L286" s="198" t="str">
        <x:v>NU</x:v>
      </x:c>
      <x:c r="M286" s="198" t="n">
        <x:v>9</x:v>
      </x:c>
      <x:c r="N286" s="198" t="str">
        <x:v>20Y</x:v>
      </x:c>
      <x:c r="O286" s="198" t="str">
        <x:v>6M</x:v>
      </x:c>
      <x:c r="P286" s="266" t="n">
        <x:v>0.068</x:v>
      </x:c>
      <x:c r="Q286" s="201" t="n">
        <x:v>12150</x:v>
      </x:c>
      <x:c r="R286" s="267" t="n">
        <x:v>1500</x:v>
      </x:c>
      <x:c r="S286" s="254" t="n">
        <x:f>Q286*P286+0.5*R286*P286^2</x:f>
        <x:v>829.668</x:v>
      </x:c>
      <x:c r="T286" s="191" t="str">
        <x:v>IR</x:v>
      </x:c>
      <x:c r="U286" s="191" t="str">
        <x:v>Illustrative surrogate only</x:v>
      </x:c>
      <x:c r="V286" s="191"/>
      <x:c r="W286" s="191"/>
      <x:c r="X286" s="191"/>
      <x:c r="Y286" s="191"/>
      <x:c r="Z286" s="191"/>
      <x:c r="AA286" s="191"/>
      <x:c r="AB286" s="191"/>
      <x:c r="AC286" s="191"/>
      <x:c r="AD286" s="191"/>
      <x:c r="AE286" s="191"/>
      <x:c r="AF286" s="191"/>
      <x:c r="AG286" s="191"/>
      <x:c r="AH286" s="191"/>
      <x:c r="AI286" s="191"/>
      <x:c r="AJ286" s="191"/>
      <x:c r="AK286" s="191"/>
    </x:row>
    <x:row r="287">
      <x:c r="A287" s="191"/>
      <x:c r="B287" s="191"/>
      <x:c r="C287" s="191"/>
      <x:c r="D287" s="191"/>
      <x:c r="E287" s="191"/>
      <x:c r="F287" s="191"/>
      <x:c r="G287" s="191"/>
      <x:c r="H287" s="191"/>
      <x:c r="I287" s="191"/>
      <x:c r="J287" s="191"/>
      <x:c r="K287" s="191"/>
      <x:c r="L287" s="198" t="str">
        <x:v>NU</x:v>
      </x:c>
      <x:c r="M287" s="198" t="n">
        <x:v>9</x:v>
      </x:c>
      <x:c r="N287" s="198" t="str">
        <x:v>20Y</x:v>
      </x:c>
      <x:c r="O287" s="198" t="str">
        <x:v>1Y</x:v>
      </x:c>
      <x:c r="P287" s="266" t="n">
        <x:v>0.07</x:v>
      </x:c>
      <x:c r="Q287" s="201" t="n">
        <x:v>12300</x:v>
      </x:c>
      <x:c r="R287" s="267" t="n">
        <x:v>1500</x:v>
      </x:c>
      <x:c r="S287" s="254" t="n">
        <x:f>Q287*P287+0.5*R287*P287^2</x:f>
        <x:v>864.6750000000001</x:v>
      </x:c>
      <x:c r="T287" s="191" t="str">
        <x:v>IR</x:v>
      </x:c>
      <x:c r="U287" s="191" t="str">
        <x:v>Illustrative surrogate only</x:v>
      </x:c>
      <x:c r="V287" s="191"/>
      <x:c r="W287" s="191"/>
      <x:c r="X287" s="191"/>
      <x:c r="Y287" s="191"/>
      <x:c r="Z287" s="191"/>
      <x:c r="AA287" s="191"/>
      <x:c r="AB287" s="191"/>
      <x:c r="AC287" s="191"/>
      <x:c r="AD287" s="191"/>
      <x:c r="AE287" s="191"/>
      <x:c r="AF287" s="191"/>
      <x:c r="AG287" s="191"/>
      <x:c r="AH287" s="191"/>
      <x:c r="AI287" s="191"/>
      <x:c r="AJ287" s="191"/>
      <x:c r="AK287" s="191"/>
    </x:row>
    <x:row r="288">
      <x:c r="A288" s="191"/>
      <x:c r="B288" s="191"/>
      <x:c r="C288" s="191"/>
      <x:c r="D288" s="191"/>
      <x:c r="E288" s="191"/>
      <x:c r="F288" s="191"/>
      <x:c r="G288" s="191"/>
      <x:c r="H288" s="191"/>
      <x:c r="I288" s="191"/>
      <x:c r="J288" s="191"/>
      <x:c r="K288" s="191"/>
      <x:c r="L288" s="198" t="str">
        <x:v>NU</x:v>
      </x:c>
      <x:c r="M288" s="198" t="n">
        <x:v>9</x:v>
      </x:c>
      <x:c r="N288" s="198" t="str">
        <x:v>20Y</x:v>
      </x:c>
      <x:c r="O288" s="198" t="str">
        <x:v>2Y</x:v>
      </x:c>
      <x:c r="P288" s="266" t="n">
        <x:v>0.072</x:v>
      </x:c>
      <x:c r="Q288" s="201" t="n">
        <x:v>12450</x:v>
      </x:c>
      <x:c r="R288" s="267" t="n">
        <x:v>1500</x:v>
      </x:c>
      <x:c r="S288" s="254" t="n">
        <x:f>Q288*P288+0.5*R288*P288^2</x:f>
        <x:v>900.288</x:v>
      </x:c>
      <x:c r="T288" s="191" t="str">
        <x:v>IR</x:v>
      </x:c>
      <x:c r="U288" s="191" t="str">
        <x:v>Illustrative surrogate only</x:v>
      </x:c>
      <x:c r="V288" s="191"/>
      <x:c r="W288" s="191"/>
      <x:c r="X288" s="191"/>
      <x:c r="Y288" s="191"/>
      <x:c r="Z288" s="191"/>
      <x:c r="AA288" s="191"/>
      <x:c r="AB288" s="191"/>
      <x:c r="AC288" s="191"/>
      <x:c r="AD288" s="191"/>
      <x:c r="AE288" s="191"/>
      <x:c r="AF288" s="191"/>
      <x:c r="AG288" s="191"/>
      <x:c r="AH288" s="191"/>
      <x:c r="AI288" s="191"/>
      <x:c r="AJ288" s="191"/>
      <x:c r="AK288" s="191"/>
    </x:row>
    <x:row r="289">
      <x:c r="A289" s="191"/>
      <x:c r="B289" s="191"/>
      <x:c r="C289" s="191"/>
      <x:c r="D289" s="191"/>
      <x:c r="E289" s="191"/>
      <x:c r="F289" s="191"/>
      <x:c r="G289" s="191"/>
      <x:c r="H289" s="191"/>
      <x:c r="I289" s="191"/>
      <x:c r="J289" s="191"/>
      <x:c r="K289" s="191"/>
      <x:c r="L289" s="198" t="str">
        <x:v>NU</x:v>
      </x:c>
      <x:c r="M289" s="198" t="n">
        <x:v>9</x:v>
      </x:c>
      <x:c r="N289" s="198" t="str">
        <x:v>20Y</x:v>
      </x:c>
      <x:c r="O289" s="198" t="str">
        <x:v>3Y</x:v>
      </x:c>
      <x:c r="P289" s="266" t="n">
        <x:v>0.074</x:v>
      </x:c>
      <x:c r="Q289" s="201" t="n">
        <x:v>12600</x:v>
      </x:c>
      <x:c r="R289" s="267" t="n">
        <x:v>1500</x:v>
      </x:c>
      <x:c r="S289" s="254" t="n">
        <x:f>Q289*P289+0.5*R289*P289^2</x:f>
        <x:v>936.507</x:v>
      </x:c>
      <x:c r="T289" s="191" t="str">
        <x:v>IR</x:v>
      </x:c>
      <x:c r="U289" s="191" t="str">
        <x:v>Illustrative surrogate only</x:v>
      </x:c>
      <x:c r="V289" s="191"/>
      <x:c r="W289" s="191"/>
      <x:c r="X289" s="191"/>
      <x:c r="Y289" s="191"/>
      <x:c r="Z289" s="191"/>
      <x:c r="AA289" s="191"/>
      <x:c r="AB289" s="191"/>
      <x:c r="AC289" s="191"/>
      <x:c r="AD289" s="191"/>
      <x:c r="AE289" s="191"/>
      <x:c r="AF289" s="191"/>
      <x:c r="AG289" s="191"/>
      <x:c r="AH289" s="191"/>
      <x:c r="AI289" s="191"/>
      <x:c r="AJ289" s="191"/>
      <x:c r="AK289" s="191"/>
    </x:row>
    <x:row r="290">
      <x:c r="A290" s="191"/>
      <x:c r="B290" s="191"/>
      <x:c r="C290" s="191"/>
      <x:c r="D290" s="191"/>
      <x:c r="E290" s="191"/>
      <x:c r="F290" s="191"/>
      <x:c r="G290" s="191"/>
      <x:c r="H290" s="191"/>
      <x:c r="I290" s="191"/>
      <x:c r="J290" s="191"/>
      <x:c r="K290" s="191"/>
      <x:c r="L290" s="198" t="str">
        <x:v>NU</x:v>
      </x:c>
      <x:c r="M290" s="198" t="n">
        <x:v>9</x:v>
      </x:c>
      <x:c r="N290" s="198" t="str">
        <x:v>20Y</x:v>
      </x:c>
      <x:c r="O290" s="198" t="str">
        <x:v>5Y</x:v>
      </x:c>
      <x:c r="P290" s="266" t="n">
        <x:v>0.076</x:v>
      </x:c>
      <x:c r="Q290" s="201" t="n">
        <x:v>12750</x:v>
      </x:c>
      <x:c r="R290" s="267" t="n">
        <x:v>1500</x:v>
      </x:c>
      <x:c r="S290" s="254" t="n">
        <x:f>Q290*P290+0.5*R290*P290^2</x:f>
        <x:v>973.332</x:v>
      </x:c>
      <x:c r="T290" s="191" t="str">
        <x:v>IR</x:v>
      </x:c>
      <x:c r="U290" s="191" t="str">
        <x:v>Illustrative surrogate only</x:v>
      </x:c>
      <x:c r="V290" s="191"/>
      <x:c r="W290" s="191"/>
      <x:c r="X290" s="191"/>
      <x:c r="Y290" s="191"/>
      <x:c r="Z290" s="191"/>
      <x:c r="AA290" s="191"/>
      <x:c r="AB290" s="191"/>
      <x:c r="AC290" s="191"/>
      <x:c r="AD290" s="191"/>
      <x:c r="AE290" s="191"/>
      <x:c r="AF290" s="191"/>
      <x:c r="AG290" s="191"/>
      <x:c r="AH290" s="191"/>
      <x:c r="AI290" s="191"/>
      <x:c r="AJ290" s="191"/>
      <x:c r="AK290" s="191"/>
    </x:row>
    <x:row r="291">
      <x:c r="A291" s="191"/>
      <x:c r="B291" s="191"/>
      <x:c r="C291" s="191"/>
      <x:c r="D291" s="191"/>
      <x:c r="E291" s="191"/>
      <x:c r="F291" s="191"/>
      <x:c r="G291" s="191"/>
      <x:c r="H291" s="191"/>
      <x:c r="I291" s="191"/>
      <x:c r="J291" s="191"/>
      <x:c r="K291" s="191"/>
      <x:c r="L291" s="198" t="str">
        <x:v>NU</x:v>
      </x:c>
      <x:c r="M291" s="198" t="n">
        <x:v>9</x:v>
      </x:c>
      <x:c r="N291" s="198" t="str">
        <x:v>20Y</x:v>
      </x:c>
      <x:c r="O291" s="198" t="str">
        <x:v>10Y</x:v>
      </x:c>
      <x:c r="P291" s="266" t="n">
        <x:v>0.078</x:v>
      </x:c>
      <x:c r="Q291" s="201" t="n">
        <x:v>12900</x:v>
      </x:c>
      <x:c r="R291" s="267" t="n">
        <x:v>1500</x:v>
      </x:c>
      <x:c r="S291" s="254" t="n">
        <x:f>Q291*P291+0.5*R291*P291^2</x:f>
        <x:v>1010.763</x:v>
      </x:c>
      <x:c r="T291" s="191" t="str">
        <x:v>IR</x:v>
      </x:c>
      <x:c r="U291" s="191" t="str">
        <x:v>Illustrative surrogate only</x:v>
      </x:c>
      <x:c r="V291" s="191"/>
      <x:c r="W291" s="191"/>
      <x:c r="X291" s="191"/>
      <x:c r="Y291" s="191"/>
      <x:c r="Z291" s="191"/>
      <x:c r="AA291" s="191"/>
      <x:c r="AB291" s="191"/>
      <x:c r="AC291" s="191"/>
      <x:c r="AD291" s="191"/>
      <x:c r="AE291" s="191"/>
      <x:c r="AF291" s="191"/>
      <x:c r="AG291" s="191"/>
      <x:c r="AH291" s="191"/>
      <x:c r="AI291" s="191"/>
      <x:c r="AJ291" s="191"/>
      <x:c r="AK291" s="191"/>
    </x:row>
    <x:row r="292">
      <x:c r="A292" s="191"/>
      <x:c r="B292" s="191"/>
      <x:c r="C292" s="191"/>
      <x:c r="D292" s="191"/>
      <x:c r="E292" s="191"/>
      <x:c r="F292" s="191"/>
      <x:c r="G292" s="191"/>
      <x:c r="H292" s="191"/>
      <x:c r="I292" s="191"/>
      <x:c r="J292" s="191"/>
      <x:c r="K292" s="191"/>
      <x:c r="L292" s="198" t="str">
        <x:v>NU</x:v>
      </x:c>
      <x:c r="M292" s="198" t="n">
        <x:v>9</x:v>
      </x:c>
      <x:c r="N292" s="198" t="str">
        <x:v>20Y</x:v>
      </x:c>
      <x:c r="O292" s="198" t="str">
        <x:v>20Y</x:v>
      </x:c>
      <x:c r="P292" s="266" t="n">
        <x:v>0.08</x:v>
      </x:c>
      <x:c r="Q292" s="201" t="n">
        <x:v>13050</x:v>
      </x:c>
      <x:c r="R292" s="267" t="n">
        <x:v>1500</x:v>
      </x:c>
      <x:c r="S292" s="254" t="n">
        <x:f>Q292*P292+0.5*R292*P292^2</x:f>
        <x:v>1048.8</x:v>
      </x:c>
      <x:c r="T292" s="191" t="str">
        <x:v>IR</x:v>
      </x:c>
      <x:c r="U292" s="191" t="str">
        <x:v>Illustrative surrogate only</x:v>
      </x:c>
      <x:c r="V292" s="191"/>
      <x:c r="W292" s="191"/>
      <x:c r="X292" s="191"/>
      <x:c r="Y292" s="191"/>
      <x:c r="Z292" s="191"/>
      <x:c r="AA292" s="191"/>
      <x:c r="AB292" s="191"/>
      <x:c r="AC292" s="191"/>
      <x:c r="AD292" s="191"/>
      <x:c r="AE292" s="191"/>
      <x:c r="AF292" s="191"/>
      <x:c r="AG292" s="191"/>
      <x:c r="AH292" s="191"/>
      <x:c r="AI292" s="191"/>
      <x:c r="AJ292" s="191"/>
      <x:c r="AK292" s="191"/>
    </x:row>
    <x:row r="293">
      <x:c r="A293" s="191"/>
      <x:c r="B293" s="191"/>
      <x:c r="C293" s="191"/>
      <x:c r="D293" s="191"/>
      <x:c r="E293" s="191"/>
      <x:c r="F293" s="191"/>
      <x:c r="G293" s="191"/>
      <x:c r="H293" s="191"/>
      <x:c r="I293" s="191"/>
      <x:c r="J293" s="191"/>
      <x:c r="K293" s="191"/>
      <x:c r="L293" s="198" t="str">
        <x:v>NU</x:v>
      </x:c>
      <x:c r="M293" s="198" t="n">
        <x:v>9</x:v>
      </x:c>
      <x:c r="N293" s="198" t="str">
        <x:v>20Y</x:v>
      </x:c>
      <x:c r="O293" s="198" t="str">
        <x:v>30Y</x:v>
      </x:c>
      <x:c r="P293" s="266" t="n">
        <x:v>0.082</x:v>
      </x:c>
      <x:c r="Q293" s="201" t="n">
        <x:v>13200</x:v>
      </x:c>
      <x:c r="R293" s="267" t="n">
        <x:v>1500</x:v>
      </x:c>
      <x:c r="S293" s="254" t="n">
        <x:f>Q293*P293+0.5*R293*P293^2</x:f>
        <x:v>1087.443</x:v>
      </x:c>
      <x:c r="T293" s="191" t="str">
        <x:v>IR</x:v>
      </x:c>
      <x:c r="U293" s="191" t="str">
        <x:v>Illustrative surrogate only</x:v>
      </x:c>
      <x:c r="V293" s="191"/>
      <x:c r="W293" s="191"/>
      <x:c r="X293" s="191"/>
      <x:c r="Y293" s="191"/>
      <x:c r="Z293" s="191"/>
      <x:c r="AA293" s="191"/>
      <x:c r="AB293" s="191"/>
      <x:c r="AC293" s="191"/>
      <x:c r="AD293" s="191"/>
      <x:c r="AE293" s="191"/>
      <x:c r="AF293" s="191"/>
      <x:c r="AG293" s="191"/>
      <x:c r="AH293" s="191"/>
      <x:c r="AI293" s="191"/>
      <x:c r="AJ293" s="191"/>
      <x:c r="AK293" s="191"/>
    </x:row>
    <x:row r="294">
      <x:c r="A294" s="191"/>
      <x:c r="B294" s="191"/>
      <x:c r="C294" s="191"/>
      <x:c r="D294" s="191"/>
      <x:c r="E294" s="191"/>
      <x:c r="F294" s="191"/>
      <x:c r="G294" s="191"/>
      <x:c r="H294" s="191"/>
      <x:c r="I294" s="191"/>
      <x:c r="J294" s="191"/>
      <x:c r="K294" s="191"/>
      <x:c r="L294" s="198" t="str">
        <x:v>NU</x:v>
      </x:c>
      <x:c r="M294" s="198" t="n">
        <x:v>10</x:v>
      </x:c>
      <x:c r="N294" s="198" t="str">
        <x:v>30Y</x:v>
      </x:c>
      <x:c r="O294" s="198" t="str">
        <x:v>1M</x:v>
      </x:c>
      <x:c r="P294" s="266" t="n">
        <x:v>0.067</x:v>
      </x:c>
      <x:c r="Q294" s="201" t="n">
        <x:v>12150</x:v>
      </x:c>
      <x:c r="R294" s="267" t="n">
        <x:v>1500</x:v>
      </x:c>
      <x:c r="S294" s="254" t="n">
        <x:f>Q294*P294+0.5*R294*P294^2</x:f>
        <x:v>817.4167500000001</x:v>
      </x:c>
      <x:c r="T294" s="191" t="str">
        <x:v>IR</x:v>
      </x:c>
      <x:c r="U294" s="191" t="str">
        <x:v>Illustrative surrogate only</x:v>
      </x:c>
      <x:c r="V294" s="191"/>
      <x:c r="W294" s="191"/>
      <x:c r="X294" s="191"/>
      <x:c r="Y294" s="191"/>
      <x:c r="Z294" s="191"/>
      <x:c r="AA294" s="191"/>
      <x:c r="AB294" s="191"/>
      <x:c r="AC294" s="191"/>
      <x:c r="AD294" s="191"/>
      <x:c r="AE294" s="191"/>
      <x:c r="AF294" s="191"/>
      <x:c r="AG294" s="191"/>
      <x:c r="AH294" s="191"/>
      <x:c r="AI294" s="191"/>
      <x:c r="AJ294" s="191"/>
      <x:c r="AK294" s="191"/>
    </x:row>
    <x:row r="295">
      <x:c r="A295" s="191"/>
      <x:c r="B295" s="191"/>
      <x:c r="C295" s="191"/>
      <x:c r="D295" s="191"/>
      <x:c r="E295" s="191"/>
      <x:c r="F295" s="191"/>
      <x:c r="G295" s="191"/>
      <x:c r="H295" s="191"/>
      <x:c r="I295" s="191"/>
      <x:c r="J295" s="191"/>
      <x:c r="K295" s="191"/>
      <x:c r="L295" s="198" t="str">
        <x:v>NU</x:v>
      </x:c>
      <x:c r="M295" s="198" t="n">
        <x:v>10</x:v>
      </x:c>
      <x:c r="N295" s="198" t="str">
        <x:v>30Y</x:v>
      </x:c>
      <x:c r="O295" s="198" t="str">
        <x:v>3M</x:v>
      </x:c>
      <x:c r="P295" s="266" t="n">
        <x:v>0.069</x:v>
      </x:c>
      <x:c r="Q295" s="201" t="n">
        <x:v>12300</x:v>
      </x:c>
      <x:c r="R295" s="267" t="n">
        <x:v>1500</x:v>
      </x:c>
      <x:c r="S295" s="254" t="n">
        <x:f>Q295*P295+0.5*R295*P295^2</x:f>
        <x:v>852.27075</x:v>
      </x:c>
      <x:c r="T295" s="191" t="str">
        <x:v>IR</x:v>
      </x:c>
      <x:c r="U295" s="191" t="str">
        <x:v>Illustrative surrogate only</x:v>
      </x:c>
      <x:c r="V295" s="191"/>
      <x:c r="W295" s="191"/>
      <x:c r="X295" s="191"/>
      <x:c r="Y295" s="191"/>
      <x:c r="Z295" s="191"/>
      <x:c r="AA295" s="191"/>
      <x:c r="AB295" s="191"/>
      <x:c r="AC295" s="191"/>
      <x:c r="AD295" s="191"/>
      <x:c r="AE295" s="191"/>
      <x:c r="AF295" s="191"/>
      <x:c r="AG295" s="191"/>
      <x:c r="AH295" s="191"/>
      <x:c r="AI295" s="191"/>
      <x:c r="AJ295" s="191"/>
      <x:c r="AK295" s="191"/>
    </x:row>
    <x:row r="296">
      <x:c r="A296" s="191"/>
      <x:c r="B296" s="191"/>
      <x:c r="C296" s="191"/>
      <x:c r="D296" s="191"/>
      <x:c r="E296" s="191"/>
      <x:c r="F296" s="191"/>
      <x:c r="G296" s="191"/>
      <x:c r="H296" s="191"/>
      <x:c r="I296" s="191"/>
      <x:c r="J296" s="191"/>
      <x:c r="K296" s="191"/>
      <x:c r="L296" s="198" t="str">
        <x:v>NU</x:v>
      </x:c>
      <x:c r="M296" s="198" t="n">
        <x:v>10</x:v>
      </x:c>
      <x:c r="N296" s="198" t="str">
        <x:v>30Y</x:v>
      </x:c>
      <x:c r="O296" s="198" t="str">
        <x:v>6M</x:v>
      </x:c>
      <x:c r="P296" s="266" t="n">
        <x:v>0.07100000000000001</x:v>
      </x:c>
      <x:c r="Q296" s="201" t="n">
        <x:v>12450</x:v>
      </x:c>
      <x:c r="R296" s="267" t="n">
        <x:v>1500</x:v>
      </x:c>
      <x:c r="S296" s="254" t="n">
        <x:f>Q296*P296+0.5*R296*P296^2</x:f>
        <x:v>887.7307500000001</x:v>
      </x:c>
      <x:c r="T296" s="191" t="str">
        <x:v>IR</x:v>
      </x:c>
      <x:c r="U296" s="191" t="str">
        <x:v>Illustrative surrogate only</x:v>
      </x:c>
      <x:c r="V296" s="191"/>
      <x:c r="W296" s="191"/>
      <x:c r="X296" s="191"/>
      <x:c r="Y296" s="191"/>
      <x:c r="Z296" s="191"/>
      <x:c r="AA296" s="191"/>
      <x:c r="AB296" s="191"/>
      <x:c r="AC296" s="191"/>
      <x:c r="AD296" s="191"/>
      <x:c r="AE296" s="191"/>
      <x:c r="AF296" s="191"/>
      <x:c r="AG296" s="191"/>
      <x:c r="AH296" s="191"/>
      <x:c r="AI296" s="191"/>
      <x:c r="AJ296" s="191"/>
      <x:c r="AK296" s="191"/>
    </x:row>
    <x:row r="297">
      <x:c r="A297" s="191"/>
      <x:c r="B297" s="191"/>
      <x:c r="C297" s="191"/>
      <x:c r="D297" s="191"/>
      <x:c r="E297" s="191"/>
      <x:c r="F297" s="191"/>
      <x:c r="G297" s="191"/>
      <x:c r="H297" s="191"/>
      <x:c r="I297" s="191"/>
      <x:c r="J297" s="191"/>
      <x:c r="K297" s="191"/>
      <x:c r="L297" s="198" t="str">
        <x:v>NU</x:v>
      </x:c>
      <x:c r="M297" s="198" t="n">
        <x:v>10</x:v>
      </x:c>
      <x:c r="N297" s="198" t="str">
        <x:v>30Y</x:v>
      </x:c>
      <x:c r="O297" s="198" t="str">
        <x:v>1Y</x:v>
      </x:c>
      <x:c r="P297" s="266" t="n">
        <x:v>0.07300000000000001</x:v>
      </x:c>
      <x:c r="Q297" s="201" t="n">
        <x:v>12600</x:v>
      </x:c>
      <x:c r="R297" s="267" t="n">
        <x:v>1500</x:v>
      </x:c>
      <x:c r="S297" s="254" t="n">
        <x:f>Q297*P297+0.5*R297*P297^2</x:f>
        <x:v>923.7967500000001</x:v>
      </x:c>
      <x:c r="T297" s="191" t="str">
        <x:v>IR</x:v>
      </x:c>
      <x:c r="U297" s="191" t="str">
        <x:v>Illustrative surrogate only</x:v>
      </x:c>
      <x:c r="V297" s="191"/>
      <x:c r="W297" s="191"/>
      <x:c r="X297" s="191"/>
      <x:c r="Y297" s="191"/>
      <x:c r="Z297" s="191"/>
      <x:c r="AA297" s="191"/>
      <x:c r="AB297" s="191"/>
      <x:c r="AC297" s="191"/>
      <x:c r="AD297" s="191"/>
      <x:c r="AE297" s="191"/>
      <x:c r="AF297" s="191"/>
      <x:c r="AG297" s="191"/>
      <x:c r="AH297" s="191"/>
      <x:c r="AI297" s="191"/>
      <x:c r="AJ297" s="191"/>
      <x:c r="AK297" s="191"/>
    </x:row>
    <x:row r="298">
      <x:c r="A298" s="191"/>
      <x:c r="B298" s="191"/>
      <x:c r="C298" s="191"/>
      <x:c r="D298" s="191"/>
      <x:c r="E298" s="191"/>
      <x:c r="F298" s="191"/>
      <x:c r="G298" s="191"/>
      <x:c r="H298" s="191"/>
      <x:c r="I298" s="191"/>
      <x:c r="J298" s="191"/>
      <x:c r="K298" s="191"/>
      <x:c r="L298" s="198" t="str">
        <x:v>NU</x:v>
      </x:c>
      <x:c r="M298" s="198" t="n">
        <x:v>10</x:v>
      </x:c>
      <x:c r="N298" s="198" t="str">
        <x:v>30Y</x:v>
      </x:c>
      <x:c r="O298" s="198" t="str">
        <x:v>2Y</x:v>
      </x:c>
      <x:c r="P298" s="266" t="n">
        <x:v>0.075</x:v>
      </x:c>
      <x:c r="Q298" s="201" t="n">
        <x:v>12750</x:v>
      </x:c>
      <x:c r="R298" s="267" t="n">
        <x:v>1500</x:v>
      </x:c>
      <x:c r="S298" s="254" t="n">
        <x:f>Q298*P298+0.5*R298*P298^2</x:f>
        <x:v>960.46875</x:v>
      </x:c>
      <x:c r="T298" s="191" t="str">
        <x:v>IR</x:v>
      </x:c>
      <x:c r="U298" s="191" t="str">
        <x:v>Illustrative surrogate only</x:v>
      </x:c>
      <x:c r="V298" s="191"/>
      <x:c r="W298" s="191"/>
      <x:c r="X298" s="191"/>
      <x:c r="Y298" s="191"/>
      <x:c r="Z298" s="191"/>
      <x:c r="AA298" s="191"/>
      <x:c r="AB298" s="191"/>
      <x:c r="AC298" s="191"/>
      <x:c r="AD298" s="191"/>
      <x:c r="AE298" s="191"/>
      <x:c r="AF298" s="191"/>
      <x:c r="AG298" s="191"/>
      <x:c r="AH298" s="191"/>
      <x:c r="AI298" s="191"/>
      <x:c r="AJ298" s="191"/>
      <x:c r="AK298" s="191"/>
    </x:row>
    <x:row r="299">
      <x:c r="A299" s="191"/>
      <x:c r="B299" s="191"/>
      <x:c r="C299" s="191"/>
      <x:c r="D299" s="191"/>
      <x:c r="E299" s="191"/>
      <x:c r="F299" s="191"/>
      <x:c r="G299" s="191"/>
      <x:c r="H299" s="191"/>
      <x:c r="I299" s="191"/>
      <x:c r="J299" s="191"/>
      <x:c r="K299" s="191"/>
      <x:c r="L299" s="198" t="str">
        <x:v>NU</x:v>
      </x:c>
      <x:c r="M299" s="198" t="n">
        <x:v>10</x:v>
      </x:c>
      <x:c r="N299" s="198" t="str">
        <x:v>30Y</x:v>
      </x:c>
      <x:c r="O299" s="198" t="str">
        <x:v>3Y</x:v>
      </x:c>
      <x:c r="P299" s="266" t="n">
        <x:v>0.077</x:v>
      </x:c>
      <x:c r="Q299" s="201" t="n">
        <x:v>12900</x:v>
      </x:c>
      <x:c r="R299" s="267" t="n">
        <x:v>1500</x:v>
      </x:c>
      <x:c r="S299" s="254" t="n">
        <x:f>Q299*P299+0.5*R299*P299^2</x:f>
        <x:v>997.7467499999999</x:v>
      </x:c>
      <x:c r="T299" s="191" t="str">
        <x:v>IR</x:v>
      </x:c>
      <x:c r="U299" s="191" t="str">
        <x:v>Illustrative surrogate only</x:v>
      </x:c>
      <x:c r="V299" s="191"/>
      <x:c r="W299" s="191"/>
      <x:c r="X299" s="191"/>
      <x:c r="Y299" s="191"/>
      <x:c r="Z299" s="191"/>
      <x:c r="AA299" s="191"/>
      <x:c r="AB299" s="191"/>
      <x:c r="AC299" s="191"/>
      <x:c r="AD299" s="191"/>
      <x:c r="AE299" s="191"/>
      <x:c r="AF299" s="191"/>
      <x:c r="AG299" s="191"/>
      <x:c r="AH299" s="191"/>
      <x:c r="AI299" s="191"/>
      <x:c r="AJ299" s="191"/>
      <x:c r="AK299" s="191"/>
    </x:row>
    <x:row r="300">
      <x:c r="A300" s="191"/>
      <x:c r="B300" s="191"/>
      <x:c r="C300" s="191"/>
      <x:c r="D300" s="191"/>
      <x:c r="E300" s="191"/>
      <x:c r="F300" s="191"/>
      <x:c r="G300" s="191"/>
      <x:c r="H300" s="191"/>
      <x:c r="I300" s="191"/>
      <x:c r="J300" s="191"/>
      <x:c r="K300" s="191"/>
      <x:c r="L300" s="198" t="str">
        <x:v>NU</x:v>
      </x:c>
      <x:c r="M300" s="198" t="n">
        <x:v>10</x:v>
      </x:c>
      <x:c r="N300" s="198" t="str">
        <x:v>30Y</x:v>
      </x:c>
      <x:c r="O300" s="198" t="str">
        <x:v>5Y</x:v>
      </x:c>
      <x:c r="P300" s="266" t="n">
        <x:v>0.079</x:v>
      </x:c>
      <x:c r="Q300" s="201" t="n">
        <x:v>13050</x:v>
      </x:c>
      <x:c r="R300" s="267" t="n">
        <x:v>1500</x:v>
      </x:c>
      <x:c r="S300" s="254" t="n">
        <x:f>Q300*P300+0.5*R300*P300^2</x:f>
        <x:v>1035.63075</x:v>
      </x:c>
      <x:c r="T300" s="191" t="str">
        <x:v>IR</x:v>
      </x:c>
      <x:c r="U300" s="191" t="str">
        <x:v>Illustrative surrogate only</x:v>
      </x:c>
      <x:c r="V300" s="191"/>
      <x:c r="W300" s="191"/>
      <x:c r="X300" s="191"/>
      <x:c r="Y300" s="191"/>
      <x:c r="Z300" s="191"/>
      <x:c r="AA300" s="191"/>
      <x:c r="AB300" s="191"/>
      <x:c r="AC300" s="191"/>
      <x:c r="AD300" s="191"/>
      <x:c r="AE300" s="191"/>
      <x:c r="AF300" s="191"/>
      <x:c r="AG300" s="191"/>
      <x:c r="AH300" s="191"/>
      <x:c r="AI300" s="191"/>
      <x:c r="AJ300" s="191"/>
      <x:c r="AK300" s="191"/>
    </x:row>
    <x:row r="301">
      <x:c r="L301" s="56" t="str">
        <x:v>NU</x:v>
      </x:c>
      <x:c r="M301" s="56" t="n">
        <x:v>10</x:v>
      </x:c>
      <x:c r="N301" s="56" t="str">
        <x:v>30Y</x:v>
      </x:c>
      <x:c r="O301" s="56" t="str">
        <x:v>10Y</x:v>
      </x:c>
      <x:c r="P301" s="155" t="n">
        <x:v>0.081</x:v>
      </x:c>
      <x:c r="Q301" s="62" t="n">
        <x:v>13200</x:v>
      </x:c>
      <x:c r="R301" s="157" t="n">
        <x:v>1500</x:v>
      </x:c>
      <x:c r="S301" s="153" t="n">
        <x:f>Q301*P301+0.5*R301*P301^2</x:f>
        <x:v>1074.12075</x:v>
      </x:c>
      <x:c r="T301" t="str">
        <x:v>IR</x:v>
      </x:c>
      <x:c r="U301" t="str">
        <x:v>Illustrative surrogate only</x:v>
      </x:c>
    </x:row>
    <x:row r="302">
      <x:c r="L302" s="56" t="str">
        <x:v>NU</x:v>
      </x:c>
      <x:c r="M302" s="56" t="n">
        <x:v>10</x:v>
      </x:c>
      <x:c r="N302" s="56" t="str">
        <x:v>30Y</x:v>
      </x:c>
      <x:c r="O302" s="56" t="str">
        <x:v>20Y</x:v>
      </x:c>
      <x:c r="P302" s="155" t="n">
        <x:v>0.083</x:v>
      </x:c>
      <x:c r="Q302" s="62" t="n">
        <x:v>13350</x:v>
      </x:c>
      <x:c r="R302" s="157" t="n">
        <x:v>1500</x:v>
      </x:c>
      <x:c r="S302" s="153" t="n">
        <x:f>Q302*P302+0.5*R302*P302^2</x:f>
        <x:v>1113.21675</x:v>
      </x:c>
      <x:c r="T302" t="str">
        <x:v>IR</x:v>
      </x:c>
      <x:c r="U302" t="str">
        <x:v>Illustrative surrogate only</x:v>
      </x:c>
    </x:row>
    <x:row r="303">
      <x:c r="L303" s="56" t="str">
        <x:v>NU</x:v>
      </x:c>
      <x:c r="M303" s="56" t="n">
        <x:v>10</x:v>
      </x:c>
      <x:c r="N303" s="56" t="str">
        <x:v>30Y</x:v>
      </x:c>
      <x:c r="O303" s="56" t="str">
        <x:v>30Y</x:v>
      </x:c>
      <x:c r="P303" s="155" t="n">
        <x:v>0.085</x:v>
      </x:c>
      <x:c r="Q303" s="62" t="n">
        <x:v>13500</x:v>
      </x:c>
      <x:c r="R303" s="157" t="n">
        <x:v>1500</x:v>
      </x:c>
      <x:c r="S303" s="153" t="n">
        <x:f>Q303*P303+0.5*R303*P303^2</x:f>
        <x:v>1152.91875</x:v>
      </x:c>
      <x:c r="T303" t="str">
        <x:v>IR</x:v>
      </x:c>
      <x:c r="U303" t="str">
        <x:v>Illustrative surrogate only</x:v>
      </x:c>
    </x:row>
  </x:sheetData>
  <x:mergeCells>
    <x:mergeCell ref="A1:U1"/>
    <x:mergeCell ref="W3:AC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7" hidden="0" customWidth="1"/>
    <x:col min="9" max="9" width="15" hidden="0" customWidth="1"/>
    <x:col min="10" max="10" width="15" hidden="0" customWidth="1"/>
    <x:col min="11" max="11" width="15" hidden="0" customWidth="1"/>
    <x:col min="12" max="12" width="18" hidden="0" customWidth="1"/>
    <x:col min="13" max="13" width="15" hidden="0" customWidth="1"/>
    <x:col min="14" max="14" width="22" hidden="0" customWidth="1"/>
    <x:col min="15" max="15" width="62" hidden="0" customWidth="1"/>
    <x:col min="16" max="16" width="62" hidden="0" customWidth="1"/>
    <x:col min="17" max="17" width="62" hidden="0" customWidth="1"/>
    <x:col min="18" max="18" width="62" hidden="0" customWidth="1"/>
    <x:col min="19" max="19" width="3" hidden="0" customWidth="1"/>
    <x:col min="20" max="20" width="8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</x:cols>
  <x:sheetData>
    <x:row r="1" ht="28" customHeight="1">
      <x:c r="A1" s="5" t="str">
        <x:v>Full-Revaluation Audit Trail and Risk-Class P&amp;L Vectors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191"/>
      <x:c r="T1" s="191"/>
      <x:c r="U1" s="191"/>
      <x:c r="V1" s="191"/>
      <x:c r="W1" s="191"/>
      <x:c r="X1" s="191"/>
      <x:c r="Y1" s="191"/>
      <x:c r="Z1" s="191"/>
      <x:c r="AA1" s="191"/>
      <x:c r="AB1" s="191"/>
      <x:c r="AC1" s="191"/>
      <x:c r="AD1" s="191"/>
      <x:c r="AE1" s="191"/>
      <x:c r="AF1" s="191"/>
      <x:c r="AG1" s="191"/>
      <x:c r="AH1" s="191"/>
      <x:c r="AI1" s="191"/>
      <x:c r="AJ1" s="191"/>
      <x:c r="AK1" s="191"/>
    </x:row>
    <x:row r="2">
      <x:c r="A2" s="191"/>
      <x:c r="B2" s="191"/>
      <x:c r="C2" s="191"/>
      <x:c r="D2" s="191"/>
      <x:c r="E2" s="191"/>
      <x:c r="F2" s="191"/>
      <x:c r="G2" s="191"/>
      <x:c r="H2" s="191"/>
      <x:c r="I2" s="191"/>
      <x:c r="J2" s="191"/>
      <x:c r="K2" s="191"/>
      <x:c r="L2" s="191"/>
      <x:c r="M2" s="191"/>
      <x:c r="N2" s="191"/>
      <x:c r="O2" s="191"/>
      <x:c r="P2" s="191"/>
      <x:c r="Q2" s="191"/>
      <x:c r="R2" s="191"/>
      <x:c r="S2" s="191"/>
      <x:c r="T2" s="191"/>
      <x:c r="U2" s="191"/>
      <x:c r="V2" s="191"/>
      <x:c r="W2" s="191"/>
      <x:c r="X2" s="191"/>
      <x:c r="Y2" s="191"/>
      <x:c r="Z2" s="191"/>
      <x:c r="AA2" s="191"/>
      <x:c r="AB2" s="191"/>
      <x:c r="AC2" s="191"/>
      <x:c r="AD2" s="191"/>
      <x:c r="AE2" s="191"/>
      <x:c r="AF2" s="191"/>
      <x:c r="AG2" s="191"/>
      <x:c r="AH2" s="191"/>
      <x:c r="AI2" s="191"/>
      <x:c r="AJ2" s="191"/>
      <x:c r="AK2" s="191"/>
    </x:row>
    <x:row r="3">
      <x:c r="A3" s="253" t="str">
        <x:v>Numerical values below use the transparent illustrative response helper so the workbook calculates without a proprietary pricing library. The UDF-call columns show how the production full-revaluation engine would receive base and shocked market objects.</x:v>
      </x:c>
      <x:c r="B3" s="253"/>
      <x:c r="C3" s="253"/>
      <x:c r="D3" s="253"/>
      <x:c r="E3" s="253"/>
      <x:c r="F3" s="253"/>
      <x:c r="G3" s="253"/>
      <x:c r="H3" s="253"/>
      <x:c r="I3" s="253"/>
      <x:c r="J3" s="253"/>
      <x:c r="K3" s="253"/>
      <x:c r="L3" s="253"/>
      <x:c r="M3" s="253"/>
      <x:c r="N3" s="253"/>
      <x:c r="O3" s="253"/>
      <x:c r="P3" s="253"/>
      <x:c r="Q3" s="253"/>
      <x:c r="R3" s="253"/>
      <x:c r="S3" s="191"/>
      <x:c r="T3" s="191"/>
      <x:c r="U3" s="191"/>
      <x:c r="V3" s="191"/>
      <x:c r="W3" s="191"/>
      <x:c r="X3" s="191"/>
      <x:c r="Y3" s="191"/>
      <x:c r="Z3" s="191"/>
      <x:c r="AA3" s="191"/>
      <x:c r="AB3" s="191"/>
      <x:c r="AC3" s="191"/>
      <x:c r="AD3" s="191"/>
      <x:c r="AE3" s="191"/>
      <x:c r="AF3" s="191"/>
      <x:c r="AG3" s="191"/>
      <x:c r="AH3" s="191"/>
      <x:c r="AI3" s="191"/>
      <x:c r="AJ3" s="191"/>
      <x:c r="AK3" s="191"/>
    </x:row>
    <x:row r="4">
      <x:c r="A4" s="191"/>
      <x:c r="B4" s="191"/>
      <x:c r="C4" s="191"/>
      <x:c r="D4" s="191"/>
      <x:c r="E4" s="191"/>
      <x:c r="F4" s="191"/>
      <x:c r="G4" s="191"/>
      <x:c r="H4" s="191"/>
      <x:c r="I4" s="191"/>
      <x:c r="J4" s="191"/>
      <x:c r="K4" s="191"/>
      <x:c r="L4" s="191"/>
      <x:c r="M4" s="191"/>
      <x:c r="N4" s="191"/>
      <x:c r="O4" s="191"/>
      <x:c r="P4" s="191"/>
      <x:c r="Q4" s="191"/>
      <x:c r="R4" s="191"/>
      <x:c r="S4" s="191"/>
      <x:c r="T4" s="45" t="str">
        <x:v>Step</x:v>
      </x:c>
      <x:c r="U4" s="45" t="str">
        <x:v>Cross P&amp;L</x:v>
      </x:c>
      <x:c r="V4" s="45" t="str">
        <x:v>IR P&amp;L</x:v>
      </x:c>
      <x:c r="W4" s="45" t="str">
        <x:v>Credit P&amp;L</x:v>
      </x:c>
      <x:c r="X4" s="45" t="str">
        <x:v>FX P&amp;L</x:v>
      </x:c>
      <x:c r="Y4" s="191"/>
      <x:c r="Z4" s="191"/>
      <x:c r="AA4" s="191"/>
      <x:c r="AB4" s="191"/>
      <x:c r="AC4" s="191"/>
      <x:c r="AD4" s="191"/>
      <x:c r="AE4" s="191"/>
      <x:c r="AF4" s="191"/>
      <x:c r="AG4" s="191"/>
      <x:c r="AH4" s="191"/>
      <x:c r="AI4" s="191"/>
      <x:c r="AJ4" s="191"/>
      <x:c r="AK4" s="191"/>
    </x:row>
    <x:row r="5">
      <x:c r="A5" s="45" t="str">
        <x:v>Step</x:v>
      </x:c>
      <x:c r="B5" s="45" t="str">
        <x:v>Non-vol Node Added</x:v>
      </x:c>
      <x:c r="C5" s="45" t="str">
        <x:v>Swaption Expiry Added</x:v>
      </x:c>
      <x:c r="D5" s="45" t="str">
        <x:v>Cross NPV ($)</x:v>
      </x:c>
      <x:c r="E5" s="45" t="str">
        <x:v>Cross P&amp;L ($)</x:v>
      </x:c>
      <x:c r="F5" s="45" t="str">
        <x:v>IR-only NPV ($)</x:v>
      </x:c>
      <x:c r="G5" s="45" t="str">
        <x:v>IR P&amp;L ($)</x:v>
      </x:c>
      <x:c r="H5" s="45" t="str">
        <x:v>Credit-only NPV ($)</x:v>
      </x:c>
      <x:c r="I5" s="45" t="str">
        <x:v>Credit P&amp;L ($)</x:v>
      </x:c>
      <x:c r="J5" s="45" t="str">
        <x:v>FX-only NPV ($)</x:v>
      </x:c>
      <x:c r="K5" s="45" t="str">
        <x:v>FX P&amp;L ($)</x:v>
      </x:c>
      <x:c r="L5" s="45" t="str">
        <x:v>Sum Standalone ($)</x:v>
      </x:c>
      <x:c r="M5" s="45" t="str">
        <x:v>Interaction ($)</x:v>
      </x:c>
      <x:c r="N5" s="45" t="str">
        <x:v>Cross − Standalone Sum ($)</x:v>
      </x:c>
      <x:c r="O5" s="45" t="str">
        <x:v>Cross NPV Call</x:v>
      </x:c>
      <x:c r="P5" s="45" t="str">
        <x:v>IR NPV Call</x:v>
      </x:c>
      <x:c r="Q5" s="45" t="str">
        <x:v>Credit NPV Call</x:v>
      </x:c>
      <x:c r="R5" s="45" t="str">
        <x:v>FX NPV Call</x:v>
      </x:c>
      <x:c r="S5" s="191"/>
      <x:c r="T5" s="191" t="n">
        <x:v>0</x:v>
      </x:c>
      <x:c r="U5" s="254" t="n">
        <x:f>E6</x:f>
        <x:v>0</x:v>
      </x:c>
      <x:c r="V5" s="254" t="n">
        <x:f>G6</x:f>
        <x:v>0</x:v>
      </x:c>
      <x:c r="W5" s="254" t="n">
        <x:f>I6</x:f>
        <x:v>0</x:v>
      </x:c>
      <x:c r="X5" s="254" t="n">
        <x:f>K6</x:f>
        <x:v>0</x:v>
      </x:c>
      <x:c r="Y5" s="191"/>
      <x:c r="Z5" s="191"/>
      <x:c r="AA5" s="191"/>
      <x:c r="AB5" s="191"/>
      <x:c r="AC5" s="191"/>
      <x:c r="AD5" s="191"/>
      <x:c r="AE5" s="191"/>
      <x:c r="AF5" s="191"/>
      <x:c r="AG5" s="191"/>
      <x:c r="AH5" s="191"/>
      <x:c r="AI5" s="191"/>
      <x:c r="AJ5" s="191"/>
      <x:c r="AK5" s="191"/>
    </x:row>
    <x:row r="6">
      <x:c r="A6" s="193" t="n">
        <x:v>0</x:v>
      </x:c>
      <x:c r="B6" s="193" t="str">
        <x:v>Base</x:v>
      </x:c>
      <x:c r="C6" s="193" t="str">
        <x:v>Base</x:v>
      </x:c>
      <x:c r="D6" s="255" t="n">
        <x:f>'02_Assumptions'!$B$7</x:f>
        <x:v>10000000</x:v>
      </x:c>
      <x:c r="E6" s="255" t="n">
        <x:v>0</x:v>
      </x:c>
      <x:c r="F6" s="255" t="n">
        <x:f>'02_Assumptions'!$B$7</x:f>
        <x:v>10000000</x:v>
      </x:c>
      <x:c r="G6" s="255" t="n">
        <x:v>0</x:v>
      </x:c>
      <x:c r="H6" s="255" t="n">
        <x:f>'02_Assumptions'!$B$7</x:f>
        <x:v>10000000</x:v>
      </x:c>
      <x:c r="I6" s="255" t="n">
        <x:v>0</x:v>
      </x:c>
      <x:c r="J6" s="255" t="n">
        <x:f>'02_Assumptions'!$B$7</x:f>
        <x:v>10000000</x:v>
      </x:c>
      <x:c r="K6" s="255" t="n">
        <x:v>0</x:v>
      </x:c>
      <x:c r="L6" s="255" t="n">
        <x:v>0</x:v>
      </x:c>
      <x:c r="M6" s="255" t="n">
        <x:v>0</x:v>
      </x:c>
      <x:c r="N6" s="255" t="n">
        <x:v>0</x:v>
      </x:c>
      <x:c r="O6" s="219" t="str">
        <x:v>=gxlTradeNPV(123456, Base_Agency_FNMA, Base_Eur_Govt, Base_SOFR, Base_Treasury, Base_Swabr_Swaption, Base_EURUSD, Base_ESTRN)</x:v>
      </x:c>
      <x:c r="P6" s="219" t="str">
        <x:v>=gxlTradeNPV(123456, Base_Agency_FNMA, Base_Eur_Govt, Base_SOFR, Base_Treasury, Base_Swabr_Swaption, Base_EURUSD, Base_ESTRN)</x:v>
      </x:c>
      <x:c r="Q6" s="219" t="str">
        <x:v>=gxlTradeNPV(123456, Base_Agency_FNMA, Base_Eur_Govt, Base_SOFR, Base_Treasury, Base_Swabr_Swaption, Base_EURUSD, Base_ESTRN)</x:v>
      </x:c>
      <x:c r="R6" s="219" t="str">
        <x:v>=gxlTradeNPV(123456, Base_Agency_FNMA, Base_Eur_Govt, Base_SOFR, Base_Treasury, Base_Swabr_Swaption, Base_EURUSD, Base_ESTRN)</x:v>
      </x:c>
      <x:c r="S6" s="191"/>
      <x:c r="T6" s="191" t="n">
        <x:v>1</x:v>
      </x:c>
      <x:c r="U6" s="254" t="n">
        <x:f>E7</x:f>
        <x:v>22449.771950474897</x:v>
      </x:c>
      <x:c r="V6" s="254" t="n">
        <x:f>G7</x:f>
        <x:v>-7280.652499999999</x:v>
      </x:c>
      <x:c r="W6" s="254" t="n">
        <x:f>I7</x:f>
        <x:v>33250</x:v>
      </x:c>
      <x:c r="X6" s="254" t="n">
        <x:f>K7</x:f>
        <x:v>-3519</x:v>
      </x:c>
      <x:c r="Y6" s="191"/>
      <x:c r="Z6" s="191"/>
      <x:c r="AA6" s="191"/>
      <x:c r="AB6" s="191"/>
      <x:c r="AC6" s="191"/>
      <x:c r="AD6" s="191"/>
      <x:c r="AE6" s="191"/>
      <x:c r="AF6" s="191"/>
      <x:c r="AG6" s="191"/>
      <x:c r="AH6" s="191"/>
      <x:c r="AI6" s="191"/>
      <x:c r="AJ6" s="191"/>
      <x:c r="AK6" s="191"/>
    </x:row>
    <x:row r="7">
      <x:c r="A7" s="191" t="n">
        <x:v>1</x:v>
      </x:c>
      <x:c r="B7" s="191" t="str">
        <x:v>3M</x:v>
      </x:c>
      <x:c r="C7" s="191" t="str">
        <x:v>1M</x:v>
      </x:c>
      <x:c r="D7" s="256" t="n">
        <x:f>'02_Assumptions'!$B$7+E7</x:f>
        <x:v>10022449.771950474</x:v>
      </x:c>
      <x:c r="E7" s="254" t="n">
        <x:f>L7+M7</x:f>
        <x:v>22449.771950474897</x:v>
      </x:c>
      <x:c r="F7" s="254" t="n">
        <x:f>'02_Assumptions'!$B$7+G7</x:f>
        <x:v>9992719.3475</x:v>
      </x:c>
      <x:c r="G7" s="254" t="n">
        <x:f>'08_Pricing_Helper'!Z6</x:f>
        <x:v>-7280.652499999999</x:v>
      </x:c>
      <x:c r="H7" s="254" t="n">
        <x:f>'02_Assumptions'!$B$7+I7</x:f>
        <x:v>10033250</x:v>
      </x:c>
      <x:c r="I7" s="254" t="n">
        <x:f>'08_Pricing_Helper'!AA6</x:f>
        <x:v>33250</x:v>
      </x:c>
      <x:c r="J7" s="254" t="n">
        <x:f>'02_Assumptions'!$B$7+K7</x:f>
        <x:v>9996481</x:v>
      </x:c>
      <x:c r="K7" s="254" t="n">
        <x:f>'08_Pricing_Helper'!AB6</x:f>
        <x:v>-3519</x:v>
      </x:c>
      <x:c r="L7" s="254" t="n">
        <x:f>G7+I7+K7</x:f>
        <x:v>22450.3475</x:v>
      </x:c>
      <x:c r="M7" s="254" t="n">
        <x:f>0.02*(G7*I7)/'02_Assumptions'!$B$7+0.01*(G7*K7)/'02_Assumptions'!$B$7+0.01*(I7*K7)/'02_Assumptions'!$B$7</x:f>
        <x:v>-0.5755495251025</x:v>
      </x:c>
      <x:c r="N7" s="254" t="n">
        <x:f>E7-L7</x:f>
        <x:v>-0.5755495251032698</x:v>
      </x:c>
      <x:c r="O7" s="223" t="str">
        <x:v>=gxlTradeNPV(123456, Agency_FNMA_Step01, Eur_Govt_Step01, SOFR_Step01, Treasury_Step01, Swabr_Swaption_Step01, EURUSD_Step01, ESTRN_Step01)</x:v>
      </x:c>
      <x:c r="P7" s="223" t="str">
        <x:v>=gxlTradeNPV(123456, Base_Agency_FNMA, Base_Eur_Govt, SOFR_Step01, Base_Treasury, Swabr_Swaption_Step01, Base_EURUSD, ESTRN_Step01)</x:v>
      </x:c>
      <x:c r="Q7" s="223" t="str">
        <x:v>=gxlTradeNPV(123456, Agency_FNMA_Step01, Eur_Govt_Step01, Base_SOFR, Treasury_Step01, Base_Swabr_Swaption, Base_EURUSD, Base_ESTRN)</x:v>
      </x:c>
      <x:c r="R7" s="223" t="str">
        <x:v>=gxlTradeNPV(123456, Base_Agency_FNMA, Base_Eur_Govt, Base_SOFR, Base_Treasury, Base_Swabr_Swaption, EURUSD_Step01, Base_ESTRN)</x:v>
      </x:c>
      <x:c r="S7" s="191"/>
      <x:c r="T7" s="191" t="n">
        <x:v>2</x:v>
      </x:c>
      <x:c r="U7" s="254" t="n">
        <x:f>E8</x:f>
        <x:v>34614.03086615384</x:v>
      </x:c>
      <x:c r="V7" s="254" t="n">
        <x:f>G8</x:f>
        <x:v>-28470.297500000004</x:v>
      </x:c>
      <x:c r="W7" s="254" t="n">
        <x:f>I8</x:f>
        <x:v>72536.875</x:v>
      </x:c>
      <x:c r="X7" s="254" t="n">
        <x:f>K8</x:f>
        <x:v>-9448</x:v>
      </x:c>
      <x:c r="Y7" s="191"/>
      <x:c r="Z7" s="191"/>
      <x:c r="AA7" s="191"/>
      <x:c r="AB7" s="191"/>
      <x:c r="AC7" s="191"/>
      <x:c r="AD7" s="191"/>
      <x:c r="AE7" s="191"/>
      <x:c r="AF7" s="191"/>
      <x:c r="AG7" s="191"/>
      <x:c r="AH7" s="191"/>
      <x:c r="AI7" s="191"/>
      <x:c r="AJ7" s="191"/>
      <x:c r="AK7" s="191"/>
    </x:row>
    <x:row r="8">
      <x:c r="A8" s="191" t="n">
        <x:v>2</x:v>
      </x:c>
      <x:c r="B8" s="191" t="str">
        <x:v>6M</x:v>
      </x:c>
      <x:c r="C8" s="191" t="str">
        <x:v>3M</x:v>
      </x:c>
      <x:c r="D8" s="256" t="n">
        <x:f>'02_Assumptions'!$B$7+E8</x:f>
        <x:v>10034614.030866154</x:v>
      </x:c>
      <x:c r="E8" s="254" t="n">
        <x:f>L8+M8</x:f>
        <x:v>34614.03086615384</x:v>
      </x:c>
      <x:c r="F8" s="254" t="n">
        <x:f>'02_Assumptions'!$B$7+G8</x:f>
        <x:v>9971529.7025</x:v>
      </x:c>
      <x:c r="G8" s="254" t="n">
        <x:f>'08_Pricing_Helper'!Z7</x:f>
        <x:v>-28470.297500000004</x:v>
      </x:c>
      <x:c r="H8" s="254" t="n">
        <x:f>'02_Assumptions'!$B$7+I8</x:f>
        <x:v>10072536.875</x:v>
      </x:c>
      <x:c r="I8" s="254" t="n">
        <x:f>'08_Pricing_Helper'!AA7</x:f>
        <x:v>72536.875</x:v>
      </x:c>
      <x:c r="J8" s="254" t="n">
        <x:f>'02_Assumptions'!$B$7+K8</x:f>
        <x:v>9990552</x:v>
      </x:c>
      <x:c r="K8" s="254" t="n">
        <x:f>'08_Pricing_Helper'!AB7</x:f>
        <x:v>-9448</x:v>
      </x:c>
      <x:c r="L8" s="254" t="n">
        <x:f>G8+I8+K8</x:f>
        <x:v>34618.5775</x:v>
      </x:c>
      <x:c r="M8" s="254" t="n">
        <x:f>0.02*(G8*I8)/'02_Assumptions'!$B$7+0.01*(G8*K8)/'02_Assumptions'!$B$7+0.01*(I8*K8)/'02_Assumptions'!$B$7</x:f>
        <x:v>-4.546633846160626</x:v>
      </x:c>
      <x:c r="N8" s="254" t="n">
        <x:f>E8-L8</x:f>
        <x:v>-4.546633846162877</x:v>
      </x:c>
      <x:c r="O8" s="223" t="str">
        <x:v>=gxlTradeNPV(123456, Agency_FNMA_Step02, Eur_Govt_Step02, SOFR_Step02, Treasury_Step02, Swabr_Swaption_Step02, EURUSD_Step02, ESTRN_Step02)</x:v>
      </x:c>
      <x:c r="P8" s="223" t="str">
        <x:v>=gxlTradeNPV(123456, Base_Agency_FNMA, Base_Eur_Govt, SOFR_Step02, Base_Treasury, Swabr_Swaption_Step02, Base_EURUSD, ESTRN_Step02)</x:v>
      </x:c>
      <x:c r="Q8" s="223" t="str">
        <x:v>=gxlTradeNPV(123456, Agency_FNMA_Step02, Eur_Govt_Step02, Base_SOFR, Treasury_Step02, Base_Swabr_Swaption, Base_EURUSD, Base_ESTRN)</x:v>
      </x:c>
      <x:c r="R8" s="223" t="str">
        <x:v>=gxlTradeNPV(123456, Base_Agency_FNMA, Base_Eur_Govt, Base_SOFR, Base_Treasury, Base_Swabr_Swaption, EURUSD_Step02, Base_ESTRN)</x:v>
      </x:c>
      <x:c r="S8" s="191"/>
      <x:c r="T8" s="191" t="n">
        <x:v>3</x:v>
      </x:c>
      <x:c r="U8" s="254" t="n">
        <x:f>E9</x:f>
        <x:v>30406.139812818696</x:v>
      </x:c>
      <x:c r="V8" s="254" t="n">
        <x:f>G9</x:f>
        <x:v>-66026.3</x:v>
      </x:c>
      <x:c r="W8" s="254" t="n">
        <x:f>I9</x:f>
        <x:v>114827.5</x:v>
      </x:c>
      <x:c r="X8" s="254" t="n">
        <x:f>K9</x:f>
        <x:v>-18379</x:v>
      </x:c>
      <x:c r="Y8" s="191"/>
      <x:c r="Z8" s="191"/>
      <x:c r="AA8" s="191"/>
      <x:c r="AB8" s="191"/>
      <x:c r="AC8" s="191"/>
      <x:c r="AD8" s="191"/>
      <x:c r="AE8" s="191"/>
      <x:c r="AF8" s="191"/>
      <x:c r="AG8" s="191"/>
      <x:c r="AH8" s="191"/>
      <x:c r="AI8" s="191"/>
      <x:c r="AJ8" s="191"/>
      <x:c r="AK8" s="191"/>
    </x:row>
    <x:row r="9">
      <x:c r="A9" s="191" t="n">
        <x:v>3</x:v>
      </x:c>
      <x:c r="B9" s="191" t="str">
        <x:v>1Y</x:v>
      </x:c>
      <x:c r="C9" s="191" t="str">
        <x:v>6M</x:v>
      </x:c>
      <x:c r="D9" s="256" t="n">
        <x:f>'02_Assumptions'!$B$7+E9</x:f>
        <x:v>10030406.139812818</x:v>
      </x:c>
      <x:c r="E9" s="254" t="n">
        <x:f>L9+M9</x:f>
        <x:v>30406.139812818696</x:v>
      </x:c>
      <x:c r="F9" s="254" t="n">
        <x:f>'02_Assumptions'!$B$7+G9</x:f>
        <x:v>9933973.7</x:v>
      </x:c>
      <x:c r="G9" s="254" t="n">
        <x:f>'08_Pricing_Helper'!Z8</x:f>
        <x:v>-66026.3</x:v>
      </x:c>
      <x:c r="H9" s="254" t="n">
        <x:f>'02_Assumptions'!$B$7+I9</x:f>
        <x:v>10114827.5</x:v>
      </x:c>
      <x:c r="I9" s="254" t="n">
        <x:f>'08_Pricing_Helper'!AA8</x:f>
        <x:v>114827.5</x:v>
      </x:c>
      <x:c r="J9" s="254" t="n">
        <x:f>'02_Assumptions'!$B$7+K9</x:f>
        <x:v>9981621</x:v>
      </x:c>
      <x:c r="K9" s="254" t="n">
        <x:f>'08_Pricing_Helper'!AB8</x:f>
        <x:v>-18379</x:v>
      </x:c>
      <x:c r="L9" s="254" t="n">
        <x:f>G9+I9+K9</x:f>
        <x:v>30422.199999999997</x:v>
      </x:c>
      <x:c r="M9" s="254" t="n">
        <x:f>0.02*(G9*I9)/'02_Assumptions'!$B$7+0.01*(G9*K9)/'02_Assumptions'!$B$7+0.01*(I9*K9)/'02_Assumptions'!$B$7</x:f>
        <x:v>-16.0601871813</x:v>
      </x:c>
      <x:c r="N9" s="254" t="n">
        <x:f>E9-L9</x:f>
        <x:v>-16.060187181301444</x:v>
      </x:c>
      <x:c r="O9" s="223" t="str">
        <x:v>=gxlTradeNPV(123456, Agency_FNMA_Step03, Eur_Govt_Step03, SOFR_Step03, Treasury_Step03, Swabr_Swaption_Step03, EURUSD_Step03, ESTRN_Step03)</x:v>
      </x:c>
      <x:c r="P9" s="223" t="str">
        <x:v>=gxlTradeNPV(123456, Base_Agency_FNMA, Base_Eur_Govt, SOFR_Step03, Base_Treasury, Swabr_Swaption_Step03, Base_EURUSD, ESTRN_Step03)</x:v>
      </x:c>
      <x:c r="Q9" s="223" t="str">
        <x:v>=gxlTradeNPV(123456, Agency_FNMA_Step03, Eur_Govt_Step03, Base_SOFR, Treasury_Step03, Base_Swabr_Swaption, Base_EURUSD, Base_ESTRN)</x:v>
      </x:c>
      <x:c r="R9" s="223" t="str">
        <x:v>=gxlTradeNPV(123456, Base_Agency_FNMA, Base_Eur_Govt, Base_SOFR, Base_Treasury, Base_Swabr_Swaption, EURUSD_Step03, Base_ESTRN)</x:v>
      </x:c>
      <x:c r="S9" s="191"/>
      <x:c r="T9" s="191" t="n">
        <x:v>4</x:v>
      </x:c>
      <x:c r="U9" s="254" t="n">
        <x:f>E10</x:f>
        <x:v>-11116.082085672362</x:v>
      </x:c>
      <x:c r="V9" s="254" t="n">
        <x:f>G10</x:f>
        <x:v>-122406.025</x:v>
      </x:c>
      <x:c r="W9" s="254" t="n">
        <x:f>I10</x:f>
        <x:v>142229.375</x:v>
      </x:c>
      <x:c r="X9" s="254" t="n">
        <x:f>K10</x:f>
        <x:v>-30904</x:v>
      </x:c>
      <x:c r="Y9" s="191"/>
      <x:c r="Z9" s="191"/>
      <x:c r="AA9" s="191"/>
      <x:c r="AB9" s="191"/>
      <x:c r="AC9" s="191"/>
      <x:c r="AD9" s="191"/>
      <x:c r="AE9" s="191"/>
      <x:c r="AF9" s="191"/>
      <x:c r="AG9" s="191"/>
      <x:c r="AH9" s="191"/>
      <x:c r="AI9" s="191"/>
      <x:c r="AJ9" s="191"/>
      <x:c r="AK9" s="191"/>
    </x:row>
    <x:row r="10">
      <x:c r="A10" s="191" t="n">
        <x:v>4</x:v>
      </x:c>
      <x:c r="B10" s="191" t="str">
        <x:v>2Y</x:v>
      </x:c>
      <x:c r="C10" s="191" t="str">
        <x:v>1Y</x:v>
      </x:c>
      <x:c r="D10" s="256" t="n">
        <x:f>'02_Assumptions'!$B$7+E10</x:f>
        <x:v>9988883.917914327</x:v>
      </x:c>
      <x:c r="E10" s="254" t="n">
        <x:f>L10+M10</x:f>
        <x:v>-11116.082085672362</x:v>
      </x:c>
      <x:c r="F10" s="254" t="n">
        <x:f>'02_Assumptions'!$B$7+G10</x:f>
        <x:v>9877593.975</x:v>
      </x:c>
      <x:c r="G10" s="254" t="n">
        <x:f>'08_Pricing_Helper'!Z9</x:f>
        <x:v>-122406.025</x:v>
      </x:c>
      <x:c r="H10" s="254" t="n">
        <x:f>'02_Assumptions'!$B$7+I10</x:f>
        <x:v>10142229.375</x:v>
      </x:c>
      <x:c r="I10" s="254" t="n">
        <x:f>'08_Pricing_Helper'!AA9</x:f>
        <x:v>142229.375</x:v>
      </x:c>
      <x:c r="J10" s="254" t="n">
        <x:f>'02_Assumptions'!$B$7+K10</x:f>
        <x:v>9969096</x:v>
      </x:c>
      <x:c r="K10" s="254" t="n">
        <x:f>'08_Pricing_Helper'!AB9</x:f>
        <x:v>-30904</x:v>
      </x:c>
      <x:c r="L10" s="254" t="n">
        <x:f>G10+I10+K10</x:f>
        <x:v>-11080.649999999994</x:v>
      </x:c>
      <x:c r="M10" s="254" t="n">
        <x:f>0.02*(G10*I10)/'02_Assumptions'!$B$7+0.01*(G10*K10)/'02_Assumptions'!$B$7+0.01*(I10*K10)/'02_Assumptions'!$B$7</x:f>
        <x:v>-35.43208567236875</x:v>
      </x:c>
      <x:c r="N10" s="254" t="n">
        <x:f>E10-L10</x:f>
        <x:v>-35.432085672367975</x:v>
      </x:c>
      <x:c r="O10" s="223" t="str">
        <x:v>=gxlTradeNPV(123456, Agency_FNMA_Step04, Eur_Govt_Step04, SOFR_Step04, Treasury_Step04, Swabr_Swaption_Step04, EURUSD_Step04, ESTRN_Step04)</x:v>
      </x:c>
      <x:c r="P10" s="223" t="str">
        <x:v>=gxlTradeNPV(123456, Base_Agency_FNMA, Base_Eur_Govt, SOFR_Step04, Base_Treasury, Swabr_Swaption_Step04, Base_EURUSD, ESTRN_Step04)</x:v>
      </x:c>
      <x:c r="Q10" s="223" t="str">
        <x:v>=gxlTradeNPV(123456, Agency_FNMA_Step04, Eur_Govt_Step04, Base_SOFR, Treasury_Step04, Base_Swabr_Swaption, Base_EURUSD, Base_ESTRN)</x:v>
      </x:c>
      <x:c r="R10" s="223" t="str">
        <x:v>=gxlTradeNPV(123456, Base_Agency_FNMA, Base_Eur_Govt, Base_SOFR, Base_Treasury, Base_Swabr_Swaption, EURUSD_Step04, Base_ESTRN)</x:v>
      </x:c>
      <x:c r="S10" s="191"/>
      <x:c r="T10" s="191" t="n">
        <x:v>5</x:v>
      </x:c>
      <x:c r="U10" s="254" t="n">
        <x:f>E11</x:f>
        <x:v>-94449.6317141307</x:v>
      </x:c>
      <x:c r="V10" s="254" t="n">
        <x:f>G11</x:f>
        <x:v>-198196.21250000002</x:v>
      </x:c>
      <x:c r="W10" s="254" t="n">
        <x:f>I11</x:f>
        <x:v>151419.375</x:v>
      </x:c>
      <x:c r="X10" s="254" t="n">
        <x:f>K11</x:f>
        <x:v>-47615</x:v>
      </x:c>
      <x:c r="Y10" s="191"/>
      <x:c r="Z10" s="191"/>
      <x:c r="AA10" s="191"/>
      <x:c r="AB10" s="191"/>
      <x:c r="AC10" s="191"/>
      <x:c r="AD10" s="191"/>
      <x:c r="AE10" s="191"/>
      <x:c r="AF10" s="191"/>
      <x:c r="AG10" s="191"/>
      <x:c r="AH10" s="191"/>
      <x:c r="AI10" s="191"/>
      <x:c r="AJ10" s="191"/>
      <x:c r="AK10" s="191"/>
    </x:row>
    <x:row r="11">
      <x:c r="A11" s="191" t="n">
        <x:v>5</x:v>
      </x:c>
      <x:c r="B11" s="191" t="str">
        <x:v>3Y</x:v>
      </x:c>
      <x:c r="C11" s="191" t="str">
        <x:v>2Y</x:v>
      </x:c>
      <x:c r="D11" s="256" t="n">
        <x:f>'02_Assumptions'!$B$7+E11</x:f>
        <x:v>9905550.36828587</x:v>
      </x:c>
      <x:c r="E11" s="254" t="n">
        <x:f>L11+M11</x:f>
        <x:v>-94449.6317141307</x:v>
      </x:c>
      <x:c r="F11" s="254" t="n">
        <x:f>'02_Assumptions'!$B$7+G11</x:f>
        <x:v>9801803.7875</x:v>
      </x:c>
      <x:c r="G11" s="254" t="n">
        <x:f>'08_Pricing_Helper'!Z10</x:f>
        <x:v>-198196.21250000002</x:v>
      </x:c>
      <x:c r="H11" s="254" t="n">
        <x:f>'02_Assumptions'!$B$7+I11</x:f>
        <x:v>10151419.375</x:v>
      </x:c>
      <x:c r="I11" s="254" t="n">
        <x:f>'08_Pricing_Helper'!AA10</x:f>
        <x:v>151419.375</x:v>
      </x:c>
      <x:c r="J11" s="254" t="n">
        <x:f>'02_Assumptions'!$B$7+K11</x:f>
        <x:v>9952385</x:v>
      </x:c>
      <x:c r="K11" s="254" t="n">
        <x:f>'08_Pricing_Helper'!AB10</x:f>
        <x:v>-47615</x:v>
      </x:c>
      <x:c r="L11" s="254" t="n">
        <x:f>G11+I11+K11</x:f>
        <x:v>-94391.83750000002</x:v>
      </x:c>
      <x:c r="M11" s="254" t="n">
        <x:f>0.02*(G11*I11)/'02_Assumptions'!$B$7+0.01*(G11*K11)/'02_Assumptions'!$B$7+0.01*(I11*K11)/'02_Assumptions'!$B$7</x:f>
        <x:v>-57.794214130671875</x:v>
      </x:c>
      <x:c r="N11" s="254" t="n">
        <x:f>E11-L11</x:f>
        <x:v>-57.7942141306703</x:v>
      </x:c>
      <x:c r="O11" s="223" t="str">
        <x:v>=gxlTradeNPV(123456, Agency_FNMA_Step05, Eur_Govt_Step05, SOFR_Step05, Treasury_Step05, Swabr_Swaption_Step05, EURUSD_Step05, ESTRN_Step05)</x:v>
      </x:c>
      <x:c r="P11" s="223" t="str">
        <x:v>=gxlTradeNPV(123456, Base_Agency_FNMA, Base_Eur_Govt, SOFR_Step05, Base_Treasury, Swabr_Swaption_Step05, Base_EURUSD, ESTRN_Step05)</x:v>
      </x:c>
      <x:c r="Q11" s="223" t="str">
        <x:v>=gxlTradeNPV(123456, Agency_FNMA_Step05, Eur_Govt_Step05, Base_SOFR, Treasury_Step05, Base_Swabr_Swaption, Base_EURUSD, Base_ESTRN)</x:v>
      </x:c>
      <x:c r="R11" s="223" t="str">
        <x:v>=gxlTradeNPV(123456, Base_Agency_FNMA, Base_Eur_Govt, Base_SOFR, Base_Treasury, Base_Swabr_Swaption, EURUSD_Step05, Base_ESTRN)</x:v>
      </x:c>
      <x:c r="S11" s="191"/>
      <x:c r="T11" s="191" t="n">
        <x:v>6</x:v>
      </x:c>
      <x:c r="U11" s="254" t="n">
        <x:f>E12</x:f>
        <x:v>-231595.17320488943</x:v>
      </x:c>
      <x:c r="V11" s="254" t="n">
        <x:f>G12</x:f>
        <x:v>-292738.60250000004</x:v>
      </x:c>
      <x:c r="W11" s="254" t="n">
        <x:f>I12</x:f>
        <x:v>130312.5</x:v>
      </x:c>
      <x:c r="X11" s="254" t="n">
        <x:f>K12</x:f>
        <x:v>-69104</x:v>
      </x:c>
      <x:c r="Y11" s="191"/>
      <x:c r="Z11" s="191"/>
      <x:c r="AA11" s="191"/>
      <x:c r="AB11" s="191"/>
      <x:c r="AC11" s="191"/>
      <x:c r="AD11" s="191"/>
      <x:c r="AE11" s="191"/>
      <x:c r="AF11" s="191"/>
      <x:c r="AG11" s="191"/>
      <x:c r="AH11" s="191"/>
      <x:c r="AI11" s="191"/>
      <x:c r="AJ11" s="191"/>
      <x:c r="AK11" s="191"/>
    </x:row>
    <x:row r="12">
      <x:c r="A12" s="191" t="n">
        <x:v>6</x:v>
      </x:c>
      <x:c r="B12" s="191" t="str">
        <x:v>5Y</x:v>
      </x:c>
      <x:c r="C12" s="191" t="str">
        <x:v>3Y</x:v>
      </x:c>
      <x:c r="D12" s="256" t="n">
        <x:f>'02_Assumptions'!$B$7+E12</x:f>
        <x:v>9768404.82679511</x:v>
      </x:c>
      <x:c r="E12" s="254" t="n">
        <x:f>L12+M12</x:f>
        <x:v>-231595.17320488943</x:v>
      </x:c>
      <x:c r="F12" s="254" t="n">
        <x:f>'02_Assumptions'!$B$7+G12</x:f>
        <x:v>9707261.3975</x:v>
      </x:c>
      <x:c r="G12" s="254" t="n">
        <x:f>'08_Pricing_Helper'!Z11</x:f>
        <x:v>-292738.60250000004</x:v>
      </x:c>
      <x:c r="H12" s="254" t="n">
        <x:f>'02_Assumptions'!$B$7+I12</x:f>
        <x:v>10130312.5</x:v>
      </x:c>
      <x:c r="I12" s="254" t="n">
        <x:f>'08_Pricing_Helper'!AA11</x:f>
        <x:v>130312.5</x:v>
      </x:c>
      <x:c r="J12" s="254" t="n">
        <x:f>'02_Assumptions'!$B$7+K12</x:f>
        <x:v>9930896</x:v>
      </x:c>
      <x:c r="K12" s="254" t="n">
        <x:f>'08_Pricing_Helper'!AB11</x:f>
        <x:v>-69104</x:v>
      </x:c>
      <x:c r="L12" s="254" t="n">
        <x:f>G12+I12+K12</x:f>
        <x:v>-231530.10250000004</x:v>
      </x:c>
      <x:c r="M12" s="254" t="n">
        <x:f>0.02*(G12*I12)/'02_Assumptions'!$B$7+0.01*(G12*K12)/'02_Assumptions'!$B$7+0.01*(I12*K12)/'02_Assumptions'!$B$7</x:f>
        <x:v>-65.0707048894025</x:v>
      </x:c>
      <x:c r="N12" s="254" t="n">
        <x:f>E12-L12</x:f>
        <x:v>-65.07070488939644</x:v>
      </x:c>
      <x:c r="O12" s="223" t="str">
        <x:v>=gxlTradeNPV(123456, Agency_FNMA_Step06, Eur_Govt_Step06, SOFR_Step06, Treasury_Step06, Swabr_Swaption_Step06, EURUSD_Step06, ESTRN_Step06)</x:v>
      </x:c>
      <x:c r="P12" s="223" t="str">
        <x:v>=gxlTradeNPV(123456, Base_Agency_FNMA, Base_Eur_Govt, SOFR_Step06, Base_Treasury, Swabr_Swaption_Step06, Base_EURUSD, ESTRN_Step06)</x:v>
      </x:c>
      <x:c r="Q12" s="223" t="str">
        <x:v>=gxlTradeNPV(123456, Agency_FNMA_Step06, Eur_Govt_Step06, Base_SOFR, Treasury_Step06, Base_Swabr_Swaption, Base_EURUSD, Base_ESTRN)</x:v>
      </x:c>
      <x:c r="R12" s="223" t="str">
        <x:v>=gxlTradeNPV(123456, Base_Agency_FNMA, Base_Eur_Govt, Base_SOFR, Base_Treasury, Base_Swabr_Swaption, EURUSD_Step06, Base_ESTRN)</x:v>
      </x:c>
      <x:c r="S12" s="191"/>
      <x:c r="T12" s="191" t="n">
        <x:v>7</x:v>
      </x:c>
      <x:c r="U12" s="254" t="n">
        <x:f>E13</x:f>
        <x:v>-419263.20907295065</x:v>
      </x:c>
      <x:c r="V12" s="254" t="n">
        <x:f>G13</x:f>
        <x:v>-398593.685</x:v>
      </x:c>
      <x:c r="W12" s="254" t="n">
        <x:f>I13</x:f>
        <x:v>75322.5</x:v>
      </x:c>
      <x:c r="X12" s="254" t="n">
        <x:f>K13</x:f>
        <x:v>-95963</x:v>
      </x:c>
      <x:c r="Y12" s="191"/>
      <x:c r="Z12" s="191"/>
      <x:c r="AA12" s="191"/>
      <x:c r="AB12" s="191"/>
      <x:c r="AC12" s="191"/>
      <x:c r="AD12" s="191"/>
      <x:c r="AE12" s="191"/>
      <x:c r="AF12" s="191"/>
      <x:c r="AG12" s="191"/>
      <x:c r="AH12" s="191"/>
      <x:c r="AI12" s="191"/>
      <x:c r="AJ12" s="191"/>
      <x:c r="AK12" s="191"/>
    </x:row>
    <x:row r="13">
      <x:c r="A13" s="191" t="n">
        <x:v>7</x:v>
      </x:c>
      <x:c r="B13" s="191" t="str">
        <x:v>10Y</x:v>
      </x:c>
      <x:c r="C13" s="191" t="str">
        <x:v>5Y</x:v>
      </x:c>
      <x:c r="D13" s="256" t="n">
        <x:f>'02_Assumptions'!$B$7+E13</x:f>
        <x:v>9580736.790927049</x:v>
      </x:c>
      <x:c r="E13" s="254" t="n">
        <x:f>L13+M13</x:f>
        <x:v>-419263.20907295065</x:v>
      </x:c>
      <x:c r="F13" s="254" t="n">
        <x:f>'02_Assumptions'!$B$7+G13</x:f>
        <x:v>9601406.315</x:v>
      </x:c>
      <x:c r="G13" s="254" t="n">
        <x:f>'08_Pricing_Helper'!Z12</x:f>
        <x:v>-398593.685</x:v>
      </x:c>
      <x:c r="H13" s="254" t="n">
        <x:f>'02_Assumptions'!$B$7+I13</x:f>
        <x:v>10075322.5</x:v>
      </x:c>
      <x:c r="I13" s="254" t="n">
        <x:f>'08_Pricing_Helper'!AA12</x:f>
        <x:v>75322.5</x:v>
      </x:c>
      <x:c r="J13" s="254" t="n">
        <x:f>'02_Assumptions'!$B$7+K13</x:f>
        <x:v>9904037</x:v>
      </x:c>
      <x:c r="K13" s="254" t="n">
        <x:f>'08_Pricing_Helper'!AB12</x:f>
        <x:v>-95963</x:v>
      </x:c>
      <x:c r="L13" s="254" t="n">
        <x:f>G13+I13+K13</x:f>
        <x:v>-419234.185</x:v>
      </x:c>
      <x:c r="M13" s="254" t="n">
        <x:f>0.02*(G13*I13)/'02_Assumptions'!$B$7+0.01*(G13*K13)/'02_Assumptions'!$B$7+0.01*(I13*K13)/'02_Assumptions'!$B$7</x:f>
        <x:v>-29.024072950669993</x:v>
      </x:c>
      <x:c r="N13" s="254" t="n">
        <x:f>E13-L13</x:f>
        <x:v>-29.02407295064768</x:v>
      </x:c>
      <x:c r="O13" s="223" t="str">
        <x:v>=gxlTradeNPV(123456, Agency_FNMA_Step07, Eur_Govt_Step07, SOFR_Step07, Treasury_Step07, Swabr_Swaption_Step07, EURUSD_Step07, ESTRN_Step07)</x:v>
      </x:c>
      <x:c r="P13" s="223" t="str">
        <x:v>=gxlTradeNPV(123456, Base_Agency_FNMA, Base_Eur_Govt, SOFR_Step07, Base_Treasury, Swabr_Swaption_Step07, Base_EURUSD, ESTRN_Step07)</x:v>
      </x:c>
      <x:c r="Q13" s="223" t="str">
        <x:v>=gxlTradeNPV(123456, Agency_FNMA_Step07, Eur_Govt_Step07, Base_SOFR, Treasury_Step07, Base_Swabr_Swaption, Base_EURUSD, Base_ESTRN)</x:v>
      </x:c>
      <x:c r="R13" s="223" t="str">
        <x:v>=gxlTradeNPV(123456, Base_Agency_FNMA, Base_Eur_Govt, Base_SOFR, Base_Treasury, Base_Swabr_Swaption, EURUSD_Step07, Base_ESTRN)</x:v>
      </x:c>
      <x:c r="S13" s="191"/>
      <x:c r="T13" s="191" t="n">
        <x:v>8</x:v>
      </x:c>
      <x:c r="U13" s="254" t="n">
        <x:f>E14</x:f>
        <x:v>-646061.4862068127</x:v>
      </x:c>
      <x:c r="V13" s="254" t="n">
        <x:f>G14</x:f>
        <x:v>-500987.575</x:v>
      </x:c>
      <x:c r="W13" s="254" t="n">
        <x:f>I14</x:f>
        <x:v>-17075.625</x:v>
      </x:c>
      <x:c r="X13" s="254" t="n">
        <x:f>K14</x:f>
        <x:v>-128081.75</x:v>
      </x:c>
      <x:c r="Y13" s="191"/>
      <x:c r="Z13" s="191"/>
      <x:c r="AA13" s="191"/>
      <x:c r="AB13" s="191"/>
      <x:c r="AC13" s="191"/>
      <x:c r="AD13" s="191"/>
      <x:c r="AE13" s="191"/>
      <x:c r="AF13" s="191"/>
      <x:c r="AG13" s="191"/>
      <x:c r="AH13" s="191"/>
      <x:c r="AI13" s="191"/>
      <x:c r="AJ13" s="191"/>
      <x:c r="AK13" s="191"/>
    </x:row>
    <x:row r="14">
      <x:c r="A14" s="191" t="n">
        <x:v>8</x:v>
      </x:c>
      <x:c r="B14" s="191" t="str">
        <x:v>20Y</x:v>
      </x:c>
      <x:c r="C14" s="191" t="str">
        <x:v>10Y</x:v>
      </x:c>
      <x:c r="D14" s="256" t="n">
        <x:f>'02_Assumptions'!$B$7+E14</x:f>
        <x:v>9353938.513793187</x:v>
      </x:c>
      <x:c r="E14" s="254" t="n">
        <x:f>L14+M14</x:f>
        <x:v>-646061.4862068127</x:v>
      </x:c>
      <x:c r="F14" s="254" t="n">
        <x:f>'02_Assumptions'!$B$7+G14</x:f>
        <x:v>9499012.425</x:v>
      </x:c>
      <x:c r="G14" s="254" t="n">
        <x:f>'08_Pricing_Helper'!Z13</x:f>
        <x:v>-500987.575</x:v>
      </x:c>
      <x:c r="H14" s="254" t="n">
        <x:f>'02_Assumptions'!$B$7+I14</x:f>
        <x:v>9982924.375</x:v>
      </x:c>
      <x:c r="I14" s="254" t="n">
        <x:f>'08_Pricing_Helper'!AA13</x:f>
        <x:v>-17075.625</x:v>
      </x:c>
      <x:c r="J14" s="254" t="n">
        <x:f>'02_Assumptions'!$B$7+K14</x:f>
        <x:v>9871918.25</x:v>
      </x:c>
      <x:c r="K14" s="254" t="n">
        <x:f>'08_Pricing_Helper'!AB13</x:f>
        <x:v>-128081.75</x:v>
      </x:c>
      <x:c r="L14" s="254" t="n">
        <x:f>G14+I14+K14</x:f>
        <x:v>-646144.95</x:v>
      </x:c>
      <x:c r="M14" s="254" t="n">
        <x:f>0.02*(G14*I14)/'02_Assumptions'!$B$7+0.01*(G14*K14)/'02_Assumptions'!$B$7+0.01*(I14*K14)/'02_Assumptions'!$B$7</x:f>
        <x:v>83.46379318731876</x:v>
      </x:c>
      <x:c r="N14" s="254" t="n">
        <x:f>E14-L14</x:f>
        <x:v>83.46379318728577</x:v>
      </x:c>
      <x:c r="O14" s="223" t="str">
        <x:v>=gxlTradeNPV(123456, Agency_FNMA_Step08, Eur_Govt_Step08, SOFR_Step08, Treasury_Step08, Swabr_Swaption_Step08, EURUSD_Step08, ESTRN_Step08)</x:v>
      </x:c>
      <x:c r="P14" s="223" t="str">
        <x:v>=gxlTradeNPV(123456, Base_Agency_FNMA, Base_Eur_Govt, SOFR_Step08, Base_Treasury, Swabr_Swaption_Step08, Base_EURUSD, ESTRN_Step08)</x:v>
      </x:c>
      <x:c r="Q14" s="223" t="str">
        <x:v>=gxlTradeNPV(123456, Agency_FNMA_Step08, Eur_Govt_Step08, Base_SOFR, Treasury_Step08, Base_Swabr_Swaption, Base_EURUSD, Base_ESTRN)</x:v>
      </x:c>
      <x:c r="R14" s="223" t="str">
        <x:v>=gxlTradeNPV(123456, Base_Agency_FNMA, Base_Eur_Govt, Base_SOFR, Base_Treasury, Base_Swabr_Swaption, EURUSD_Step08, Base_ESTRN)</x:v>
      </x:c>
      <x:c r="S14" s="191"/>
      <x:c r="T14" s="191" t="n">
        <x:v>9</x:v>
      </x:c>
      <x:c r="U14" s="254" t="n">
        <x:f>E15</x:f>
        <x:v>-916149.8612284559</x:v>
      </x:c>
      <x:c r="V14" s="254" t="n">
        <x:f>G15</x:f>
        <x:v>-594833.8875</x:v>
      </x:c>
      <x:c r="W14" s="254" t="n">
        <x:f>I15</x:f>
        <x:v>-155720</x:v>
      </x:c>
      <x:c r="X14" s="254" t="n">
        <x:f>K15</x:f>
        <x:v>-165905.75</x:v>
      </x:c>
      <x:c r="Y14" s="191"/>
      <x:c r="Z14" s="191"/>
      <x:c r="AA14" s="191"/>
      <x:c r="AB14" s="191"/>
      <x:c r="AC14" s="191"/>
      <x:c r="AD14" s="191"/>
      <x:c r="AE14" s="191"/>
      <x:c r="AF14" s="191"/>
      <x:c r="AG14" s="191"/>
      <x:c r="AH14" s="191"/>
      <x:c r="AI14" s="191"/>
      <x:c r="AJ14" s="191"/>
      <x:c r="AK14" s="191"/>
    </x:row>
    <x:row r="15">
      <x:c r="A15" s="191" t="n">
        <x:v>9</x:v>
      </x:c>
      <x:c r="B15" s="191" t="str">
        <x:v>30Y</x:v>
      </x:c>
      <x:c r="C15" s="191" t="str">
        <x:v>20Y</x:v>
      </x:c>
      <x:c r="D15" s="256" t="n">
        <x:f>'02_Assumptions'!$B$7+E15</x:f>
        <x:v>9083850.138771543</x:v>
      </x:c>
      <x:c r="E15" s="254" t="n">
        <x:f>L15+M15</x:f>
        <x:v>-916149.8612284559</x:v>
      </x:c>
      <x:c r="F15" s="254" t="n">
        <x:f>'02_Assumptions'!$B$7+G15</x:f>
        <x:v>9405166.1125</x:v>
      </x:c>
      <x:c r="G15" s="254" t="n">
        <x:f>'08_Pricing_Helper'!Z14</x:f>
        <x:v>-594833.8875</x:v>
      </x:c>
      <x:c r="H15" s="254" t="n">
        <x:f>'02_Assumptions'!$B$7+I15</x:f>
        <x:v>9844280</x:v>
      </x:c>
      <x:c r="I15" s="254" t="n">
        <x:f>'08_Pricing_Helper'!AA14</x:f>
        <x:v>-155720</x:v>
      </x:c>
      <x:c r="J15" s="254" t="n">
        <x:f>'02_Assumptions'!$B$7+K15</x:f>
        <x:v>9834094.25</x:v>
      </x:c>
      <x:c r="K15" s="254" t="n">
        <x:f>'08_Pricing_Helper'!AB14</x:f>
        <x:v>-165905.75</x:v>
      </x:c>
      <x:c r="L15" s="254" t="n">
        <x:f>G15+I15+K15</x:f>
        <x:v>-916459.6375</x:v>
      </x:c>
      <x:c r="M15" s="254" t="n">
        <x:f>0.02*(G15*I15)/'02_Assumptions'!$B$7+0.01*(G15*K15)/'02_Assumptions'!$B$7+0.01*(I15*K15)/'02_Assumptions'!$B$7</x:f>
        <x:v>309.7762715441031</x:v>
      </x:c>
      <x:c r="N15" s="254" t="n">
        <x:f>E15-L15</x:f>
        <x:v>309.77627154404763</x:v>
      </x:c>
      <x:c r="O15" s="223" t="str">
        <x:v>=gxlTradeNPV(123456, Agency_FNMA_Step09, Eur_Govt_Step09, SOFR_Step09, Treasury_Step09, Swabr_Swaption_Step09, EURUSD_Step09, ESTRN_Step09)</x:v>
      </x:c>
      <x:c r="P15" s="223" t="str">
        <x:v>=gxlTradeNPV(123456, Base_Agency_FNMA, Base_Eur_Govt, SOFR_Step09, Base_Treasury, Swabr_Swaption_Step09, Base_EURUSD, ESTRN_Step09)</x:v>
      </x:c>
      <x:c r="Q15" s="223" t="str">
        <x:v>=gxlTradeNPV(123456, Agency_FNMA_Step09, Eur_Govt_Step09, Base_SOFR, Treasury_Step09, Base_Swabr_Swaption, Base_EURUSD, Base_ESTRN)</x:v>
      </x:c>
      <x:c r="R15" s="223" t="str">
        <x:v>=gxlTradeNPV(123456, Base_Agency_FNMA, Base_Eur_Govt, Base_SOFR, Base_Treasury, Base_Swabr_Swaption, EURUSD_Step09, Base_ESTRN)</x:v>
      </x:c>
      <x:c r="S15" s="191"/>
      <x:c r="T15" s="191" t="n">
        <x:v>10</x:v>
      </x:c>
      <x:c r="U15" s="254" t="n">
        <x:f>E16</x:f>
        <x:v>-893675.4444192464</x:v>
      </x:c>
      <x:c r="V15" s="254" t="n">
        <x:f>G16</x:f>
        <x:v>-572348.7374999999</x:v>
      </x:c>
      <x:c r="W15" s="254" t="n">
        <x:f>I16</x:f>
        <x:v>-155720</x:v>
      </x:c>
      <x:c r="X15" s="254" t="n">
        <x:f>K16</x:f>
        <x:v>-165905.75</x:v>
      </x:c>
      <x:c r="Y15" s="191"/>
      <x:c r="Z15" s="191"/>
      <x:c r="AA15" s="191"/>
      <x:c r="AB15" s="191"/>
      <x:c r="AC15" s="191"/>
      <x:c r="AD15" s="191"/>
      <x:c r="AE15" s="191"/>
      <x:c r="AF15" s="191"/>
      <x:c r="AG15" s="191"/>
      <x:c r="AH15" s="191"/>
      <x:c r="AI15" s="191"/>
      <x:c r="AJ15" s="191"/>
      <x:c r="AK15" s="191"/>
    </x:row>
    <x:row r="16">
      <x:c r="A16" s="257" t="n">
        <x:v>10</x:v>
      </x:c>
      <x:c r="B16" s="257" t="str">
        <x:v>Hold 30Y final</x:v>
      </x:c>
      <x:c r="C16" s="257" t="str">
        <x:v>30Y</x:v>
      </x:c>
      <x:c r="D16" s="258" t="n">
        <x:f>'02_Assumptions'!$B$7+E16</x:f>
        <x:v>9106324.555580754</x:v>
      </x:c>
      <x:c r="E16" s="258" t="n">
        <x:f>L16+M16</x:f>
        <x:v>-893675.4444192464</x:v>
      </x:c>
      <x:c r="F16" s="258" t="n">
        <x:f>'02_Assumptions'!$B$7+G16</x:f>
        <x:v>9427651.2625</x:v>
      </x:c>
      <x:c r="G16" s="258" t="n">
        <x:f>'08_Pricing_Helper'!Z15</x:f>
        <x:v>-572348.7374999999</x:v>
      </x:c>
      <x:c r="H16" s="258" t="n">
        <x:f>'02_Assumptions'!$B$7+I16</x:f>
        <x:v>9844280</x:v>
      </x:c>
      <x:c r="I16" s="258" t="n">
        <x:f>'08_Pricing_Helper'!AA15</x:f>
        <x:v>-155720</x:v>
      </x:c>
      <x:c r="J16" s="258" t="n">
        <x:f>'02_Assumptions'!$B$7+K16</x:f>
        <x:v>9834094.25</x:v>
      </x:c>
      <x:c r="K16" s="258" t="n">
        <x:f>'08_Pricing_Helper'!AB15</x:f>
        <x:v>-165905.75</x:v>
      </x:c>
      <x:c r="L16" s="258" t="n">
        <x:f>G16+I16+K16</x:f>
        <x:v>-893974.4874999999</x:v>
      </x:c>
      <x:c r="M16" s="258" t="n">
        <x:f>0.02*(G16*I16)/'02_Assumptions'!$B$7+0.01*(G16*K16)/'02_Assumptions'!$B$7+0.01*(I16*K16)/'02_Assumptions'!$B$7</x:f>
        <x:v>299.0430807534906</x:v>
      </x:c>
      <x:c r="N16" s="258" t="n">
        <x:f>E16-L16</x:f>
        <x:v>299.0430807535304</x:v>
      </x:c>
      <x:c r="O16" s="203" t="str">
        <x:v>=gxlTradeNPV(123456, Agency_FNMA_Step09, Eur_Govt_Step09, SOFR_Step09, Treasury_Step09, Swabr_Swaption_Step10, EURUSD_Step09, ESTRN_Step09)</x:v>
      </x:c>
      <x:c r="P16" s="203" t="str">
        <x:v>=gxlTradeNPV(123456, Base_Agency_FNMA, Base_Eur_Govt, SOFR_Step09, Base_Treasury, Swabr_Swaption_Step10, Base_EURUSD, ESTRN_Step09)</x:v>
      </x:c>
      <x:c r="Q16" s="203" t="str">
        <x:v>=gxlTradeNPV(123456, Agency_FNMA_Step09, Eur_Govt_Step09, Base_SOFR, Treasury_Step09, Base_Swabr_Swaption, Base_EURUSD, Base_ESTRN)</x:v>
      </x:c>
      <x:c r="R16" s="203" t="str">
        <x:v>=gxlTradeNPV(123456, Base_Agency_FNMA, Base_Eur_Govt, Base_SOFR, Base_Treasury, Base_Swabr_Swaption, EURUSD_Step09, Base_ESTRN)</x:v>
      </x:c>
      <x:c r="S16" s="191"/>
      <x:c r="T16" s="191"/>
      <x:c r="U16" s="191"/>
      <x:c r="V16" s="191"/>
      <x:c r="W16" s="191"/>
      <x:c r="X16" s="191"/>
      <x:c r="Y16" s="191"/>
      <x:c r="Z16" s="191"/>
      <x:c r="AA16" s="191"/>
      <x:c r="AB16" s="191"/>
      <x:c r="AC16" s="191"/>
      <x:c r="AD16" s="191"/>
      <x:c r="AE16" s="191"/>
      <x:c r="AF16" s="191"/>
      <x:c r="AG16" s="191"/>
      <x:c r="AH16" s="191"/>
      <x:c r="AI16" s="191"/>
      <x:c r="AJ16" s="191"/>
      <x:c r="AK16" s="191"/>
    </x:row>
    <x:row r="17">
      <x:c r="A17" s="191"/>
      <x:c r="B17" s="191"/>
      <x:c r="C17" s="191"/>
      <x:c r="D17" s="191"/>
      <x:c r="E17" s="191"/>
      <x:c r="F17" s="191"/>
      <x:c r="G17" s="191"/>
      <x:c r="H17" s="191"/>
      <x:c r="I17" s="191"/>
      <x:c r="J17" s="191"/>
      <x:c r="K17" s="191"/>
      <x:c r="L17" s="191"/>
      <x:c r="M17" s="191"/>
      <x:c r="N17" s="191"/>
      <x:c r="O17" s="191"/>
      <x:c r="P17" s="191"/>
      <x:c r="Q17" s="191"/>
      <x:c r="R17" s="191"/>
      <x:c r="S17" s="191"/>
      <x:c r="T17" s="191"/>
      <x:c r="U17" s="191"/>
      <x:c r="V17" s="191"/>
      <x:c r="W17" s="191"/>
      <x:c r="X17" s="191"/>
      <x:c r="Y17" s="191"/>
      <x:c r="Z17" s="191"/>
      <x:c r="AA17" s="191"/>
      <x:c r="AB17" s="191"/>
      <x:c r="AC17" s="191"/>
      <x:c r="AD17" s="191"/>
      <x:c r="AE17" s="191"/>
      <x:c r="AF17" s="191"/>
      <x:c r="AG17" s="191"/>
      <x:c r="AH17" s="191"/>
      <x:c r="AI17" s="191"/>
      <x:c r="AJ17" s="191"/>
      <x:c r="AK17" s="191"/>
    </x:row>
    <x:row r="18">
      <x:c r="A18" s="191"/>
      <x:c r="B18" s="191"/>
      <x:c r="C18" s="191"/>
      <x:c r="D18" s="191"/>
      <x:c r="E18" s="191"/>
      <x:c r="F18" s="191"/>
      <x:c r="G18" s="191"/>
      <x:c r="H18" s="191"/>
      <x:c r="I18" s="191"/>
      <x:c r="J18" s="191"/>
      <x:c r="K18" s="191"/>
      <x:c r="L18" s="191"/>
      <x:c r="M18" s="191"/>
      <x:c r="N18" s="191"/>
      <x:c r="O18" s="191"/>
      <x:c r="P18" s="191"/>
      <x:c r="Q18" s="191"/>
      <x:c r="R18" s="191"/>
      <x:c r="S18" s="191"/>
      <x:c r="T18" s="191"/>
      <x:c r="U18" s="191"/>
      <x:c r="V18" s="191"/>
      <x:c r="W18" s="191"/>
      <x:c r="X18" s="191"/>
      <x:c r="Y18" s="191"/>
      <x:c r="Z18" s="191"/>
      <x:c r="AA18" s="191"/>
      <x:c r="AB18" s="191"/>
      <x:c r="AC18" s="191"/>
      <x:c r="AD18" s="191"/>
      <x:c r="AE18" s="191"/>
      <x:c r="AF18" s="191"/>
      <x:c r="AG18" s="191"/>
      <x:c r="AH18" s="191"/>
      <x:c r="AI18" s="191"/>
      <x:c r="AJ18" s="191"/>
      <x:c r="AK18" s="191"/>
    </x:row>
    <x:row r="19" ht="22" customHeight="1">
      <x:c r="A19" s="21" t="str">
        <x:v>Final scenario P&amp;L output — 20-Nov-2008</x:v>
      </x:c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191"/>
      <x:c r="P19" s="191"/>
      <x:c r="Q19" s="191"/>
      <x:c r="R19" s="191"/>
      <x:c r="S19" s="191"/>
      <x:c r="T19" s="191"/>
      <x:c r="U19" s="191"/>
      <x:c r="V19" s="191"/>
      <x:c r="W19" s="191"/>
      <x:c r="X19" s="191"/>
      <x:c r="Y19" s="191"/>
      <x:c r="Z19" s="191"/>
      <x:c r="AA19" s="191"/>
      <x:c r="AB19" s="191"/>
      <x:c r="AC19" s="191"/>
      <x:c r="AD19" s="191"/>
      <x:c r="AE19" s="191"/>
      <x:c r="AF19" s="191"/>
      <x:c r="AG19" s="191"/>
      <x:c r="AH19" s="191"/>
      <x:c r="AI19" s="191"/>
      <x:c r="AJ19" s="191"/>
      <x:c r="AK19" s="191"/>
    </x:row>
    <x:row r="20">
      <x:c r="A20" s="45" t="str">
        <x:v>Measure</x:v>
      </x:c>
      <x:c r="B20" s="45" t="str">
        <x:v>Cross</x:v>
      </x:c>
      <x:c r="C20" s="45" t="str">
        <x:v>IR</x:v>
      </x:c>
      <x:c r="D20" s="45" t="str">
        <x:v>Credit</x:v>
      </x:c>
      <x:c r="E20" s="45" t="str">
        <x:v>FX</x:v>
      </x:c>
      <x:c r="F20" s="45" t="str">
        <x:v>Standalone Sum</x:v>
      </x:c>
      <x:c r="G20" s="45" t="str">
        <x:v>Interaction</x:v>
      </x:c>
      <x:c r="H20" s="45" t="str">
        <x:v>Use in ES vector</x:v>
      </x:c>
      <x:c r="I20" s="191"/>
      <x:c r="J20" s="191"/>
      <x:c r="K20" s="191"/>
      <x:c r="L20" s="191"/>
      <x:c r="M20" s="191"/>
      <x:c r="N20" s="191"/>
      <x:c r="O20" s="191"/>
      <x:c r="P20" s="191"/>
      <x:c r="Q20" s="191"/>
      <x:c r="R20" s="191"/>
      <x:c r="S20" s="191"/>
      <x:c r="T20" s="191"/>
      <x:c r="U20" s="191"/>
      <x:c r="V20" s="191"/>
      <x:c r="W20" s="191"/>
      <x:c r="X20" s="191"/>
      <x:c r="Y20" s="191"/>
      <x:c r="Z20" s="191"/>
      <x:c r="AA20" s="191"/>
      <x:c r="AB20" s="191"/>
      <x:c r="AC20" s="191"/>
      <x:c r="AD20" s="191"/>
      <x:c r="AE20" s="191"/>
      <x:c r="AF20" s="191"/>
      <x:c r="AG20" s="191"/>
      <x:c r="AH20" s="191"/>
      <x:c r="AI20" s="191"/>
      <x:c r="AJ20" s="191"/>
      <x:c r="AK20" s="191"/>
    </x:row>
    <x:row r="21">
      <x:c r="A21" s="191" t="str">
        <x:v>Final stressed NPV ($)</x:v>
      </x:c>
      <x:c r="B21" s="254" t="n">
        <x:f>D16</x:f>
        <x:v>9106324.555580754</x:v>
      </x:c>
      <x:c r="C21" s="254" t="n">
        <x:f>F16</x:f>
        <x:v>9427651.2625</x:v>
      </x:c>
      <x:c r="D21" s="254" t="n">
        <x:f>H16</x:f>
        <x:v>9844280</x:v>
      </x:c>
      <x:c r="E21" s="254" t="n">
        <x:f>J16</x:f>
        <x:v>9834094.25</x:v>
      </x:c>
      <x:c r="F21" s="254" t="str">
        <x:v>—</x:v>
      </x:c>
      <x:c r="G21" s="254" t="str">
        <x:v>—</x:v>
      </x:c>
      <x:c r="H21" s="191" t="str">
        <x:v>No</x:v>
      </x:c>
      <x:c r="I21" s="191"/>
      <x:c r="J21" s="191"/>
      <x:c r="K21" s="191"/>
      <x:c r="L21" s="191"/>
      <x:c r="M21" s="191"/>
      <x:c r="N21" s="191"/>
      <x:c r="O21" s="191"/>
      <x:c r="P21" s="191"/>
      <x:c r="Q21" s="191"/>
      <x:c r="R21" s="191"/>
      <x:c r="S21" s="191"/>
      <x:c r="T21" s="191"/>
      <x:c r="U21" s="191"/>
      <x:c r="V21" s="191"/>
      <x:c r="W21" s="191"/>
      <x:c r="X21" s="191"/>
      <x:c r="Y21" s="191"/>
      <x:c r="Z21" s="191"/>
      <x:c r="AA21" s="191"/>
      <x:c r="AB21" s="191"/>
      <x:c r="AC21" s="191"/>
      <x:c r="AD21" s="191"/>
      <x:c r="AE21" s="191"/>
      <x:c r="AF21" s="191"/>
      <x:c r="AG21" s="191"/>
      <x:c r="AH21" s="191"/>
      <x:c r="AI21" s="191"/>
      <x:c r="AJ21" s="191"/>
      <x:c r="AK21" s="191"/>
    </x:row>
    <x:row r="22">
      <x:c r="A22" s="257" t="str">
        <x:v>Final scenario P&amp;L ($)</x:v>
      </x:c>
      <x:c r="B22" s="258" t="n">
        <x:f>E16</x:f>
        <x:v>-893675.4444192464</x:v>
      </x:c>
      <x:c r="C22" s="258" t="n">
        <x:f>G16</x:f>
        <x:v>-572348.7374999999</x:v>
      </x:c>
      <x:c r="D22" s="258" t="n">
        <x:f>I16</x:f>
        <x:v>-155720</x:v>
      </x:c>
      <x:c r="E22" s="258" t="n">
        <x:f>K16</x:f>
        <x:v>-165905.75</x:v>
      </x:c>
      <x:c r="F22" s="258" t="n">
        <x:f>L16</x:f>
        <x:v>-893974.4874999999</x:v>
      </x:c>
      <x:c r="G22" s="258" t="n">
        <x:f>M16</x:f>
        <x:v>299.0430807534906</x:v>
      </x:c>
      <x:c r="H22" s="257" t="str">
        <x:v>Yes — one observation for this shock date</x:v>
      </x:c>
      <x:c r="I22" s="191"/>
      <x:c r="J22" s="191"/>
      <x:c r="K22" s="191"/>
      <x:c r="L22" s="191"/>
      <x:c r="M22" s="191"/>
      <x:c r="N22" s="191"/>
      <x:c r="O22" s="191"/>
      <x:c r="P22" s="191"/>
      <x:c r="Q22" s="191"/>
      <x:c r="R22" s="191"/>
      <x:c r="S22" s="191"/>
      <x:c r="T22" s="191"/>
      <x:c r="U22" s="191"/>
      <x:c r="V22" s="191"/>
      <x:c r="W22" s="191"/>
      <x:c r="X22" s="191"/>
      <x:c r="Y22" s="191"/>
      <x:c r="Z22" s="191"/>
      <x:c r="AA22" s="191"/>
      <x:c r="AB22" s="191"/>
      <x:c r="AC22" s="191"/>
      <x:c r="AD22" s="191"/>
      <x:c r="AE22" s="191"/>
      <x:c r="AF22" s="191"/>
      <x:c r="AG22" s="191"/>
      <x:c r="AH22" s="191"/>
      <x:c r="AI22" s="191"/>
      <x:c r="AJ22" s="191"/>
      <x:c r="AK22" s="191"/>
    </x:row>
    <x:row r="23">
      <x:c r="A23" s="191"/>
      <x:c r="B23" s="191"/>
      <x:c r="C23" s="191"/>
      <x:c r="D23" s="191"/>
      <x:c r="E23" s="191"/>
      <x:c r="F23" s="191"/>
      <x:c r="G23" s="191"/>
      <x:c r="H23" s="191"/>
      <x:c r="I23" s="191"/>
      <x:c r="J23" s="191"/>
      <x:c r="K23" s="191"/>
      <x:c r="L23" s="191"/>
      <x:c r="M23" s="191"/>
      <x:c r="N23" s="191"/>
      <x:c r="O23" s="191"/>
      <x:c r="P23" s="191"/>
      <x:c r="Q23" s="191"/>
      <x:c r="R23" s="191"/>
      <x:c r="S23" s="191"/>
      <x:c r="T23" s="191"/>
      <x:c r="U23" s="191"/>
      <x:c r="V23" s="191"/>
      <x:c r="W23" s="191"/>
      <x:c r="X23" s="191"/>
      <x:c r="Y23" s="191"/>
      <x:c r="Z23" s="191"/>
      <x:c r="AA23" s="191"/>
      <x:c r="AB23" s="191"/>
      <x:c r="AC23" s="191"/>
      <x:c r="AD23" s="191"/>
      <x:c r="AE23" s="191"/>
      <x:c r="AF23" s="191"/>
      <x:c r="AG23" s="191"/>
      <x:c r="AH23" s="191"/>
      <x:c r="AI23" s="191"/>
      <x:c r="AJ23" s="191"/>
      <x:c r="AK23" s="191"/>
    </x:row>
    <x:row r="24">
      <x:c r="A24" s="191"/>
      <x:c r="B24" s="191"/>
      <x:c r="C24" s="191"/>
      <x:c r="D24" s="191"/>
      <x:c r="E24" s="191"/>
      <x:c r="F24" s="191"/>
      <x:c r="G24" s="191"/>
      <x:c r="H24" s="191"/>
      <x:c r="I24" s="191"/>
      <x:c r="J24" s="191"/>
      <x:c r="K24" s="191"/>
      <x:c r="L24" s="191"/>
      <x:c r="M24" s="191"/>
      <x:c r="N24" s="191"/>
      <x:c r="O24" s="191"/>
      <x:c r="P24" s="191"/>
      <x:c r="Q24" s="191"/>
      <x:c r="R24" s="191"/>
      <x:c r="S24" s="191"/>
      <x:c r="T24" s="191"/>
      <x:c r="U24" s="191"/>
      <x:c r="V24" s="191"/>
      <x:c r="W24" s="191"/>
      <x:c r="X24" s="191"/>
      <x:c r="Y24" s="191"/>
      <x:c r="Z24" s="191"/>
      <x:c r="AA24" s="191"/>
      <x:c r="AB24" s="191"/>
      <x:c r="AC24" s="191"/>
      <x:c r="AD24" s="191"/>
      <x:c r="AE24" s="191"/>
      <x:c r="AF24" s="191"/>
      <x:c r="AG24" s="191"/>
      <x:c r="AH24" s="191"/>
      <x:c r="AI24" s="191"/>
      <x:c r="AJ24" s="191"/>
      <x:c r="AK24" s="191"/>
    </x:row>
    <x:row r="25">
      <x:c r="A25" s="191"/>
      <x:c r="B25" s="191"/>
      <x:c r="C25" s="191"/>
      <x:c r="D25" s="191"/>
      <x:c r="E25" s="191"/>
      <x:c r="F25" s="191"/>
      <x:c r="G25" s="191"/>
      <x:c r="H25" s="191"/>
      <x:c r="I25" s="191"/>
      <x:c r="J25" s="191"/>
      <x:c r="K25" s="191"/>
      <x:c r="L25" s="191"/>
      <x:c r="M25" s="191"/>
      <x:c r="N25" s="191"/>
      <x:c r="O25" s="191"/>
      <x:c r="P25" s="191"/>
      <x:c r="Q25" s="191"/>
      <x:c r="R25" s="191"/>
      <x:c r="S25" s="191"/>
      <x:c r="T25" s="191"/>
      <x:c r="U25" s="191"/>
      <x:c r="V25" s="191"/>
      <x:c r="W25" s="191"/>
      <x:c r="X25" s="191"/>
      <x:c r="Y25" s="191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</x:row>
    <x:row r="26">
      <x:c r="A26" s="191"/>
      <x:c r="B26" s="191"/>
      <x:c r="C26" s="191"/>
      <x:c r="D26" s="191"/>
      <x:c r="E26" s="191"/>
      <x:c r="F26" s="191"/>
      <x:c r="G26" s="191"/>
      <x:c r="H26" s="191"/>
      <x:c r="I26" s="191"/>
      <x:c r="J26" s="191"/>
      <x:c r="K26" s="191"/>
      <x:c r="L26" s="191"/>
      <x:c r="M26" s="191"/>
      <x:c r="N26" s="191"/>
      <x:c r="O26" s="191"/>
      <x:c r="P26" s="191"/>
      <x:c r="Q26" s="191"/>
      <x:c r="R26" s="191"/>
      <x:c r="S26" s="191"/>
      <x:c r="T26" s="191"/>
      <x:c r="U26" s="191"/>
      <x:c r="V26" s="191"/>
      <x:c r="W26" s="191"/>
      <x:c r="X26" s="191"/>
      <x:c r="Y26" s="191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</x:row>
    <x:row r="27">
      <x:c r="A27" s="191"/>
      <x:c r="B27" s="191"/>
      <x:c r="C27" s="191"/>
      <x:c r="D27" s="191"/>
      <x:c r="E27" s="191"/>
      <x:c r="F27" s="191"/>
      <x:c r="G27" s="191"/>
      <x:c r="H27" s="191"/>
      <x:c r="I27" s="191"/>
      <x:c r="J27" s="191"/>
      <x:c r="K27" s="191"/>
      <x:c r="L27" s="191"/>
      <x:c r="M27" s="191"/>
      <x:c r="N27" s="191"/>
      <x:c r="O27" s="191"/>
      <x:c r="P27" s="191"/>
      <x:c r="Q27" s="191"/>
      <x:c r="R27" s="191"/>
      <x:c r="S27" s="191"/>
      <x:c r="T27" s="191"/>
      <x:c r="U27" s="191"/>
      <x:c r="V27" s="191"/>
      <x:c r="W27" s="191"/>
      <x:c r="X27" s="191"/>
      <x:c r="Y27" s="191"/>
      <x:c r="Z27" s="191"/>
      <x:c r="AA27" s="191"/>
      <x:c r="AB27" s="191"/>
      <x:c r="AC27" s="191"/>
      <x:c r="AD27" s="191"/>
      <x:c r="AE27" s="191"/>
      <x:c r="AF27" s="191"/>
      <x:c r="AG27" s="191"/>
      <x:c r="AH27" s="191"/>
      <x:c r="AI27" s="191"/>
      <x:c r="AJ27" s="191"/>
      <x:c r="AK27" s="191"/>
    </x:row>
    <x:row r="28">
      <x:c r="A28" s="191"/>
      <x:c r="B28" s="191"/>
      <x:c r="C28" s="191"/>
      <x:c r="D28" s="191"/>
      <x:c r="E28" s="191"/>
      <x:c r="F28" s="191"/>
      <x:c r="G28" s="191"/>
      <x:c r="H28" s="191"/>
      <x:c r="I28" s="191"/>
      <x:c r="J28" s="191"/>
      <x:c r="K28" s="191"/>
      <x:c r="L28" s="191"/>
      <x:c r="M28" s="191"/>
      <x:c r="N28" s="191"/>
      <x:c r="O28" s="191"/>
      <x:c r="P28" s="191"/>
      <x:c r="Q28" s="191"/>
      <x:c r="R28" s="191"/>
      <x:c r="S28" s="191"/>
      <x:c r="T28" s="191"/>
      <x:c r="U28" s="191"/>
      <x:c r="V28" s="191"/>
      <x:c r="W28" s="191"/>
      <x:c r="X28" s="191"/>
      <x:c r="Y28" s="191"/>
      <x:c r="Z28" s="191"/>
      <x:c r="AA28" s="191"/>
      <x:c r="AB28" s="191"/>
      <x:c r="AC28" s="191"/>
      <x:c r="AD28" s="191"/>
      <x:c r="AE28" s="191"/>
      <x:c r="AF28" s="191"/>
      <x:c r="AG28" s="191"/>
      <x:c r="AH28" s="191"/>
      <x:c r="AI28" s="191"/>
      <x:c r="AJ28" s="191"/>
      <x:c r="AK28" s="191"/>
    </x:row>
    <x:row r="29">
      <x:c r="A29" s="191"/>
      <x:c r="B29" s="191"/>
      <x:c r="C29" s="191"/>
      <x:c r="D29" s="191"/>
      <x:c r="E29" s="191"/>
      <x:c r="F29" s="191"/>
      <x:c r="G29" s="191"/>
      <x:c r="H29" s="191"/>
      <x:c r="I29" s="191"/>
      <x:c r="J29" s="191"/>
      <x:c r="K29" s="191"/>
      <x:c r="L29" s="191"/>
      <x:c r="M29" s="191"/>
      <x:c r="N29" s="191"/>
      <x:c r="O29" s="191"/>
      <x:c r="P29" s="191"/>
      <x:c r="Q29" s="191"/>
      <x:c r="R29" s="191"/>
      <x:c r="S29" s="191"/>
      <x:c r="T29" s="191"/>
      <x:c r="U29" s="191"/>
      <x:c r="V29" s="191"/>
      <x:c r="W29" s="191"/>
      <x:c r="X29" s="191"/>
      <x:c r="Y29" s="191"/>
      <x:c r="Z29" s="191"/>
      <x:c r="AA29" s="191"/>
      <x:c r="AB29" s="191"/>
      <x:c r="AC29" s="191"/>
      <x:c r="AD29" s="191"/>
      <x:c r="AE29" s="191"/>
      <x:c r="AF29" s="191"/>
      <x:c r="AG29" s="191"/>
      <x:c r="AH29" s="191"/>
      <x:c r="AI29" s="191"/>
      <x:c r="AJ29" s="191"/>
      <x:c r="AK29" s="191"/>
    </x:row>
    <x:row r="30">
      <x:c r="A30" s="191"/>
      <x:c r="B30" s="191"/>
      <x:c r="C30" s="191"/>
      <x:c r="D30" s="191"/>
      <x:c r="E30" s="191"/>
      <x:c r="F30" s="191"/>
      <x:c r="G30" s="191"/>
      <x:c r="H30" s="191"/>
      <x:c r="I30" s="191"/>
      <x:c r="J30" s="191"/>
      <x:c r="K30" s="191"/>
      <x:c r="L30" s="191"/>
      <x:c r="M30" s="191"/>
      <x:c r="N30" s="191"/>
      <x:c r="O30" s="191"/>
      <x:c r="P30" s="191"/>
      <x:c r="Q30" s="191"/>
      <x:c r="R30" s="191"/>
      <x:c r="S30" s="191"/>
      <x:c r="T30" s="191"/>
      <x:c r="U30" s="191"/>
      <x:c r="V30" s="191"/>
      <x:c r="W30" s="191"/>
      <x:c r="X30" s="191"/>
      <x:c r="Y30" s="191"/>
      <x:c r="Z30" s="191"/>
      <x:c r="AA30" s="191"/>
      <x:c r="AB30" s="191"/>
      <x:c r="AC30" s="191"/>
      <x:c r="AD30" s="191"/>
      <x:c r="AE30" s="191"/>
      <x:c r="AF30" s="191"/>
      <x:c r="AG30" s="191"/>
      <x:c r="AH30" s="191"/>
      <x:c r="AI30" s="191"/>
      <x:c r="AJ30" s="191"/>
      <x:c r="AK30" s="191"/>
    </x:row>
    <x:row r="31">
      <x:c r="A31" s="191"/>
      <x:c r="B31" s="191"/>
      <x:c r="C31" s="191"/>
      <x:c r="D31" s="191"/>
      <x:c r="E31" s="191"/>
      <x:c r="F31" s="191"/>
      <x:c r="G31" s="191"/>
      <x:c r="H31" s="191"/>
      <x:c r="I31" s="191"/>
      <x:c r="J31" s="191"/>
      <x:c r="K31" s="191"/>
      <x:c r="L31" s="191"/>
      <x:c r="M31" s="191"/>
      <x:c r="N31" s="191"/>
      <x:c r="O31" s="191"/>
      <x:c r="P31" s="191"/>
      <x:c r="Q31" s="191"/>
      <x:c r="R31" s="191"/>
      <x:c r="S31" s="191"/>
      <x:c r="T31" s="191"/>
      <x:c r="U31" s="191"/>
      <x:c r="V31" s="191"/>
      <x:c r="W31" s="191"/>
      <x:c r="X31" s="191"/>
      <x:c r="Y31" s="191"/>
      <x:c r="Z31" s="191"/>
      <x:c r="AA31" s="191"/>
      <x:c r="AB31" s="191"/>
      <x:c r="AC31" s="191"/>
      <x:c r="AD31" s="191"/>
      <x:c r="AE31" s="191"/>
      <x:c r="AF31" s="191"/>
      <x:c r="AG31" s="191"/>
      <x:c r="AH31" s="191"/>
      <x:c r="AI31" s="191"/>
      <x:c r="AJ31" s="191"/>
      <x:c r="AK31" s="191"/>
    </x:row>
    <x:row r="32">
      <x:c r="A32" s="191"/>
      <x:c r="B32" s="191"/>
      <x:c r="C32" s="191"/>
      <x:c r="D32" s="191"/>
      <x:c r="E32" s="191"/>
      <x:c r="F32" s="191"/>
      <x:c r="G32" s="191"/>
      <x:c r="H32" s="191"/>
      <x:c r="I32" s="191"/>
      <x:c r="J32" s="191"/>
      <x:c r="K32" s="191"/>
      <x:c r="L32" s="191"/>
      <x:c r="M32" s="191"/>
      <x:c r="N32" s="191"/>
      <x:c r="O32" s="191"/>
      <x:c r="P32" s="191"/>
      <x:c r="Q32" s="191"/>
      <x:c r="R32" s="191"/>
      <x:c r="S32" s="191"/>
      <x:c r="T32" s="191"/>
      <x:c r="U32" s="191"/>
      <x:c r="V32" s="191"/>
      <x:c r="W32" s="191"/>
      <x:c r="X32" s="191"/>
      <x:c r="Y32" s="191"/>
      <x:c r="Z32" s="191"/>
      <x:c r="AA32" s="191"/>
      <x:c r="AB32" s="191"/>
      <x:c r="AC32" s="191"/>
      <x:c r="AD32" s="191"/>
      <x:c r="AE32" s="191"/>
      <x:c r="AF32" s="191"/>
      <x:c r="AG32" s="191"/>
      <x:c r="AH32" s="191"/>
      <x:c r="AI32" s="191"/>
      <x:c r="AJ32" s="191"/>
      <x:c r="AK32" s="191"/>
    </x:row>
    <x:row r="33">
      <x:c r="A33" s="191"/>
      <x:c r="B33" s="191"/>
      <x:c r="C33" s="191"/>
      <x:c r="D33" s="191"/>
      <x:c r="E33" s="191"/>
      <x:c r="F33" s="191"/>
      <x:c r="G33" s="191"/>
      <x:c r="H33" s="191"/>
      <x:c r="I33" s="191"/>
      <x:c r="J33" s="191"/>
      <x:c r="K33" s="191"/>
      <x:c r="L33" s="191"/>
      <x:c r="M33" s="191"/>
      <x:c r="N33" s="191"/>
      <x:c r="O33" s="191"/>
      <x:c r="P33" s="191"/>
      <x:c r="Q33" s="191"/>
      <x:c r="R33" s="191"/>
      <x:c r="S33" s="191"/>
      <x:c r="T33" s="191"/>
      <x:c r="U33" s="191"/>
      <x:c r="V33" s="191"/>
      <x:c r="W33" s="191"/>
      <x:c r="X33" s="191"/>
      <x:c r="Y33" s="191"/>
      <x:c r="Z33" s="191"/>
      <x:c r="AA33" s="191"/>
      <x:c r="AB33" s="191"/>
      <x:c r="AC33" s="191"/>
      <x:c r="AD33" s="191"/>
      <x:c r="AE33" s="191"/>
      <x:c r="AF33" s="191"/>
      <x:c r="AG33" s="191"/>
      <x:c r="AH33" s="191"/>
      <x:c r="AI33" s="191"/>
      <x:c r="AJ33" s="191"/>
      <x:c r="AK33" s="191"/>
    </x:row>
    <x:row r="34">
      <x:c r="A34" s="191"/>
      <x:c r="B34" s="191"/>
      <x:c r="C34" s="191"/>
      <x:c r="D34" s="191"/>
      <x:c r="E34" s="191"/>
      <x:c r="F34" s="191"/>
      <x:c r="G34" s="191"/>
      <x:c r="H34" s="191"/>
      <x:c r="I34" s="191"/>
      <x:c r="J34" s="191"/>
      <x:c r="K34" s="191"/>
      <x:c r="L34" s="191"/>
      <x:c r="M34" s="191"/>
      <x:c r="N34" s="191"/>
      <x:c r="O34" s="191"/>
      <x:c r="P34" s="191"/>
      <x:c r="Q34" s="191"/>
      <x:c r="R34" s="191"/>
      <x:c r="S34" s="191"/>
      <x:c r="T34" s="191"/>
      <x:c r="U34" s="191"/>
      <x:c r="V34" s="191"/>
      <x:c r="W34" s="191"/>
      <x:c r="X34" s="191"/>
      <x:c r="Y34" s="191"/>
      <x:c r="Z34" s="191"/>
      <x:c r="AA34" s="191"/>
      <x:c r="AB34" s="191"/>
      <x:c r="AC34" s="191"/>
      <x:c r="AD34" s="191"/>
      <x:c r="AE34" s="191"/>
      <x:c r="AF34" s="191"/>
      <x:c r="AG34" s="191"/>
      <x:c r="AH34" s="191"/>
      <x:c r="AI34" s="191"/>
      <x:c r="AJ34" s="191"/>
      <x:c r="AK34" s="191"/>
    </x:row>
    <x:row r="35">
      <x:c r="A35" s="191"/>
      <x:c r="B35" s="191"/>
      <x:c r="C35" s="191"/>
      <x:c r="D35" s="191"/>
      <x:c r="E35" s="191"/>
      <x:c r="F35" s="191"/>
      <x:c r="G35" s="191"/>
      <x:c r="H35" s="191"/>
      <x:c r="I35" s="191"/>
      <x:c r="J35" s="191"/>
      <x:c r="K35" s="191"/>
      <x:c r="L35" s="191"/>
      <x:c r="M35" s="191"/>
      <x:c r="N35" s="191"/>
      <x:c r="O35" s="191"/>
      <x:c r="P35" s="191"/>
      <x:c r="Q35" s="191"/>
      <x:c r="R35" s="191"/>
      <x:c r="S35" s="191"/>
      <x:c r="T35" s="191"/>
      <x:c r="U35" s="191"/>
      <x:c r="V35" s="191"/>
      <x:c r="W35" s="191"/>
      <x:c r="X35" s="191"/>
      <x:c r="Y35" s="191"/>
      <x:c r="Z35" s="191"/>
      <x:c r="AA35" s="191"/>
      <x:c r="AB35" s="191"/>
      <x:c r="AC35" s="191"/>
      <x:c r="AD35" s="191"/>
      <x:c r="AE35" s="191"/>
      <x:c r="AF35" s="191"/>
      <x:c r="AG35" s="191"/>
      <x:c r="AH35" s="191"/>
      <x:c r="AI35" s="191"/>
      <x:c r="AJ35" s="191"/>
      <x:c r="AK35" s="191"/>
    </x:row>
    <x:row r="36">
      <x:c r="A36" s="191"/>
      <x:c r="B36" s="191"/>
      <x:c r="C36" s="191"/>
      <x:c r="D36" s="191"/>
      <x:c r="E36" s="191"/>
      <x:c r="F36" s="191"/>
      <x:c r="G36" s="191"/>
      <x:c r="H36" s="191"/>
      <x:c r="I36" s="191"/>
      <x:c r="J36" s="191"/>
      <x:c r="K36" s="191"/>
      <x:c r="L36" s="191"/>
      <x:c r="M36" s="191"/>
      <x:c r="N36" s="191"/>
      <x:c r="O36" s="191"/>
      <x:c r="P36" s="191"/>
      <x:c r="Q36" s="191"/>
      <x:c r="R36" s="191"/>
      <x:c r="S36" s="191"/>
      <x:c r="T36" s="191"/>
      <x:c r="U36" s="191"/>
      <x:c r="V36" s="191"/>
      <x:c r="W36" s="191"/>
      <x:c r="X36" s="191"/>
      <x:c r="Y36" s="191"/>
      <x:c r="Z36" s="191"/>
      <x:c r="AA36" s="191"/>
      <x:c r="AB36" s="191"/>
      <x:c r="AC36" s="191"/>
      <x:c r="AD36" s="191"/>
      <x:c r="AE36" s="191"/>
      <x:c r="AF36" s="191"/>
      <x:c r="AG36" s="191"/>
      <x:c r="AH36" s="191"/>
      <x:c r="AI36" s="191"/>
      <x:c r="AJ36" s="191"/>
      <x:c r="AK36" s="191"/>
    </x:row>
    <x:row r="37">
      <x:c r="A37" s="191"/>
      <x:c r="B37" s="191"/>
      <x:c r="C37" s="191"/>
      <x:c r="D37" s="191"/>
      <x:c r="E37" s="191"/>
      <x:c r="F37" s="191"/>
      <x:c r="G37" s="191"/>
      <x:c r="H37" s="191"/>
      <x:c r="I37" s="191"/>
      <x:c r="J37" s="191"/>
      <x:c r="K37" s="191"/>
      <x:c r="L37" s="191"/>
      <x:c r="M37" s="191"/>
      <x:c r="N37" s="191"/>
      <x:c r="O37" s="191"/>
      <x:c r="P37" s="191"/>
      <x:c r="Q37" s="191"/>
      <x:c r="R37" s="191"/>
      <x:c r="S37" s="191"/>
      <x:c r="T37" s="191"/>
      <x:c r="U37" s="191"/>
      <x:c r="V37" s="191"/>
      <x:c r="W37" s="191"/>
      <x:c r="X37" s="191"/>
      <x:c r="Y37" s="191"/>
      <x:c r="Z37" s="191"/>
      <x:c r="AA37" s="191"/>
      <x:c r="AB37" s="191"/>
      <x:c r="AC37" s="191"/>
      <x:c r="AD37" s="191"/>
      <x:c r="AE37" s="191"/>
      <x:c r="AF37" s="191"/>
      <x:c r="AG37" s="191"/>
      <x:c r="AH37" s="191"/>
      <x:c r="AI37" s="191"/>
      <x:c r="AJ37" s="191"/>
      <x:c r="AK37" s="191"/>
    </x:row>
    <x:row r="38">
      <x:c r="A38" s="191"/>
      <x:c r="B38" s="191"/>
      <x:c r="C38" s="191"/>
      <x:c r="D38" s="191"/>
      <x:c r="E38" s="191"/>
      <x:c r="F38" s="191"/>
      <x:c r="G38" s="191"/>
      <x:c r="H38" s="191"/>
      <x:c r="I38" s="191"/>
      <x:c r="J38" s="191"/>
      <x:c r="K38" s="191"/>
      <x:c r="L38" s="191"/>
      <x:c r="M38" s="191"/>
      <x:c r="N38" s="191"/>
      <x:c r="O38" s="191"/>
      <x:c r="P38" s="191"/>
      <x:c r="Q38" s="191"/>
      <x:c r="R38" s="191"/>
      <x:c r="S38" s="191"/>
      <x:c r="T38" s="191"/>
      <x:c r="U38" s="191"/>
      <x:c r="V38" s="191"/>
      <x:c r="W38" s="191"/>
      <x:c r="X38" s="191"/>
      <x:c r="Y38" s="191"/>
      <x:c r="Z38" s="191"/>
      <x:c r="AA38" s="191"/>
      <x:c r="AB38" s="191"/>
      <x:c r="AC38" s="191"/>
      <x:c r="AD38" s="191"/>
      <x:c r="AE38" s="191"/>
      <x:c r="AF38" s="191"/>
      <x:c r="AG38" s="191"/>
      <x:c r="AH38" s="191"/>
      <x:c r="AI38" s="191"/>
      <x:c r="AJ38" s="191"/>
      <x:c r="AK38" s="191"/>
    </x:row>
    <x:row r="39">
      <x:c r="A39" s="191"/>
      <x:c r="B39" s="191"/>
      <x:c r="C39" s="191"/>
      <x:c r="D39" s="191"/>
      <x:c r="E39" s="191"/>
      <x:c r="F39" s="191"/>
      <x:c r="G39" s="191"/>
      <x:c r="H39" s="191"/>
      <x:c r="I39" s="191"/>
      <x:c r="J39" s="191"/>
      <x:c r="K39" s="191"/>
      <x:c r="L39" s="191"/>
      <x:c r="M39" s="191"/>
      <x:c r="N39" s="191"/>
      <x:c r="O39" s="191"/>
      <x:c r="P39" s="191"/>
      <x:c r="Q39" s="191"/>
      <x:c r="R39" s="191"/>
      <x:c r="S39" s="191"/>
      <x:c r="T39" s="191"/>
      <x:c r="U39" s="191"/>
      <x:c r="V39" s="191"/>
      <x:c r="W39" s="191"/>
      <x:c r="X39" s="191"/>
      <x:c r="Y39" s="191"/>
      <x:c r="Z39" s="191"/>
      <x:c r="AA39" s="191"/>
      <x:c r="AB39" s="191"/>
      <x:c r="AC39" s="191"/>
      <x:c r="AD39" s="191"/>
      <x:c r="AE39" s="191"/>
      <x:c r="AF39" s="191"/>
      <x:c r="AG39" s="191"/>
      <x:c r="AH39" s="191"/>
      <x:c r="AI39" s="191"/>
      <x:c r="AJ39" s="191"/>
      <x:c r="AK39" s="191"/>
    </x:row>
    <x:row r="40">
      <x:c r="A40" s="191"/>
      <x:c r="B40" s="191"/>
      <x:c r="C40" s="191"/>
      <x:c r="D40" s="191"/>
      <x:c r="E40" s="191"/>
      <x:c r="F40" s="191"/>
      <x:c r="G40" s="191"/>
      <x:c r="H40" s="191"/>
      <x:c r="I40" s="191"/>
      <x:c r="J40" s="191"/>
      <x:c r="K40" s="191"/>
      <x:c r="L40" s="191"/>
      <x:c r="M40" s="191"/>
      <x:c r="N40" s="191"/>
      <x:c r="O40" s="191"/>
      <x:c r="P40" s="191"/>
      <x:c r="Q40" s="191"/>
      <x:c r="R40" s="191"/>
      <x:c r="S40" s="191"/>
      <x:c r="T40" s="191"/>
      <x:c r="U40" s="191"/>
      <x:c r="V40" s="191"/>
      <x:c r="W40" s="191"/>
      <x:c r="X40" s="191"/>
      <x:c r="Y40" s="191"/>
      <x:c r="Z40" s="191"/>
      <x:c r="AA40" s="191"/>
      <x:c r="AB40" s="191"/>
      <x:c r="AC40" s="191"/>
      <x:c r="AD40" s="191"/>
      <x:c r="AE40" s="191"/>
      <x:c r="AF40" s="191"/>
      <x:c r="AG40" s="191"/>
      <x:c r="AH40" s="191"/>
      <x:c r="AI40" s="191"/>
      <x:c r="AJ40" s="191"/>
      <x:c r="AK40" s="191"/>
    </x:row>
    <x:row r="41">
      <x:c r="A41" s="191"/>
      <x:c r="B41" s="191"/>
      <x:c r="C41" s="191"/>
      <x:c r="D41" s="191"/>
      <x:c r="E41" s="191"/>
      <x:c r="F41" s="191"/>
      <x:c r="G41" s="191"/>
      <x:c r="H41" s="191"/>
      <x:c r="I41" s="191"/>
      <x:c r="J41" s="191"/>
      <x:c r="K41" s="191"/>
      <x:c r="L41" s="191"/>
      <x:c r="M41" s="191"/>
      <x:c r="N41" s="191"/>
      <x:c r="O41" s="191"/>
      <x:c r="P41" s="191"/>
      <x:c r="Q41" s="191"/>
      <x:c r="R41" s="191"/>
      <x:c r="S41" s="191"/>
      <x:c r="T41" s="191"/>
      <x:c r="U41" s="191"/>
      <x:c r="V41" s="191"/>
      <x:c r="W41" s="191"/>
      <x:c r="X41" s="191"/>
      <x:c r="Y41" s="191"/>
      <x:c r="Z41" s="191"/>
      <x:c r="AA41" s="191"/>
      <x:c r="AB41" s="191"/>
      <x:c r="AC41" s="191"/>
      <x:c r="AD41" s="191"/>
      <x:c r="AE41" s="191"/>
      <x:c r="AF41" s="191"/>
      <x:c r="AG41" s="191"/>
      <x:c r="AH41" s="191"/>
      <x:c r="AI41" s="191"/>
      <x:c r="AJ41" s="191"/>
      <x:c r="AK41" s="191"/>
    </x:row>
    <x:row r="42">
      <x:c r="A42" s="191"/>
      <x:c r="B42" s="191"/>
      <x:c r="C42" s="191"/>
      <x:c r="D42" s="191"/>
      <x:c r="E42" s="191"/>
      <x:c r="F42" s="191"/>
      <x:c r="G42" s="191"/>
      <x:c r="H42" s="191"/>
      <x:c r="I42" s="191"/>
      <x:c r="J42" s="191"/>
      <x:c r="K42" s="191"/>
      <x:c r="L42" s="191"/>
      <x:c r="M42" s="191"/>
      <x:c r="N42" s="191"/>
      <x:c r="O42" s="191"/>
      <x:c r="P42" s="191"/>
      <x:c r="Q42" s="191"/>
      <x:c r="R42" s="191"/>
      <x:c r="S42" s="191"/>
      <x:c r="T42" s="191"/>
      <x:c r="U42" s="191"/>
      <x:c r="V42" s="191"/>
      <x:c r="W42" s="191"/>
      <x:c r="X42" s="191"/>
      <x:c r="Y42" s="191"/>
      <x:c r="Z42" s="191"/>
      <x:c r="AA42" s="191"/>
      <x:c r="AB42" s="191"/>
      <x:c r="AC42" s="191"/>
      <x:c r="AD42" s="191"/>
      <x:c r="AE42" s="191"/>
      <x:c r="AF42" s="191"/>
      <x:c r="AG42" s="191"/>
      <x:c r="AH42" s="191"/>
      <x:c r="AI42" s="191"/>
      <x:c r="AJ42" s="191"/>
      <x:c r="AK42" s="191"/>
    </x:row>
    <x:row r="43">
      <x:c r="A43" s="191"/>
      <x:c r="B43" s="191"/>
      <x:c r="C43" s="191"/>
      <x:c r="D43" s="191"/>
      <x:c r="E43" s="191"/>
      <x:c r="F43" s="191"/>
      <x:c r="G43" s="191"/>
      <x:c r="H43" s="191"/>
      <x:c r="I43" s="191"/>
      <x:c r="J43" s="191"/>
      <x:c r="K43" s="191"/>
      <x:c r="L43" s="191"/>
      <x:c r="M43" s="191"/>
      <x:c r="N43" s="191"/>
      <x:c r="O43" s="191"/>
      <x:c r="P43" s="191"/>
      <x:c r="Q43" s="191"/>
      <x:c r="R43" s="191"/>
      <x:c r="S43" s="191"/>
      <x:c r="T43" s="191"/>
      <x:c r="U43" s="191"/>
      <x:c r="V43" s="191"/>
      <x:c r="W43" s="191"/>
      <x:c r="X43" s="191"/>
      <x:c r="Y43" s="191"/>
      <x:c r="Z43" s="191"/>
      <x:c r="AA43" s="191"/>
      <x:c r="AB43" s="191"/>
      <x:c r="AC43" s="191"/>
      <x:c r="AD43" s="191"/>
      <x:c r="AE43" s="191"/>
      <x:c r="AF43" s="191"/>
      <x:c r="AG43" s="191"/>
      <x:c r="AH43" s="191"/>
      <x:c r="AI43" s="191"/>
      <x:c r="AJ43" s="191"/>
      <x:c r="AK43" s="191"/>
    </x:row>
    <x:row r="44">
      <x:c r="A44" s="191"/>
      <x:c r="B44" s="191"/>
      <x:c r="C44" s="191"/>
      <x:c r="D44" s="191"/>
      <x:c r="E44" s="191"/>
      <x:c r="F44" s="191"/>
      <x:c r="G44" s="191"/>
      <x:c r="H44" s="191"/>
      <x:c r="I44" s="191"/>
      <x:c r="J44" s="191"/>
      <x:c r="K44" s="191"/>
      <x:c r="L44" s="191"/>
      <x:c r="M44" s="191"/>
      <x:c r="N44" s="191"/>
      <x:c r="O44" s="191"/>
      <x:c r="P44" s="191"/>
      <x:c r="Q44" s="191"/>
      <x:c r="R44" s="191"/>
      <x:c r="S44" s="191"/>
      <x:c r="T44" s="191"/>
      <x:c r="U44" s="191"/>
      <x:c r="V44" s="191"/>
      <x:c r="W44" s="191"/>
      <x:c r="X44" s="191"/>
      <x:c r="Y44" s="191"/>
      <x:c r="Z44" s="191"/>
      <x:c r="AA44" s="191"/>
      <x:c r="AB44" s="191"/>
      <x:c r="AC44" s="191"/>
      <x:c r="AD44" s="191"/>
      <x:c r="AE44" s="191"/>
      <x:c r="AF44" s="191"/>
      <x:c r="AG44" s="191"/>
      <x:c r="AH44" s="191"/>
      <x:c r="AI44" s="191"/>
      <x:c r="AJ44" s="191"/>
      <x:c r="AK44" s="191"/>
    </x:row>
    <x:row r="45">
      <x:c r="A45" s="191"/>
      <x:c r="B45" s="191"/>
      <x:c r="C45" s="191"/>
      <x:c r="D45" s="191"/>
      <x:c r="E45" s="191"/>
      <x:c r="F45" s="191"/>
      <x:c r="G45" s="191"/>
      <x:c r="H45" s="191"/>
      <x:c r="I45" s="191"/>
      <x:c r="J45" s="191"/>
      <x:c r="K45" s="191"/>
      <x:c r="L45" s="191"/>
      <x:c r="M45" s="191"/>
      <x:c r="N45" s="191"/>
      <x:c r="O45" s="191"/>
      <x:c r="P45" s="191"/>
      <x:c r="Q45" s="191"/>
      <x:c r="R45" s="191"/>
      <x:c r="S45" s="191"/>
      <x:c r="T45" s="191"/>
      <x:c r="U45" s="191"/>
      <x:c r="V45" s="191"/>
      <x:c r="W45" s="191"/>
      <x:c r="X45" s="191"/>
      <x:c r="Y45" s="191"/>
      <x:c r="Z45" s="191"/>
      <x:c r="AA45" s="191"/>
      <x:c r="AB45" s="191"/>
      <x:c r="AC45" s="191"/>
      <x:c r="AD45" s="191"/>
      <x:c r="AE45" s="191"/>
      <x:c r="AF45" s="191"/>
      <x:c r="AG45" s="191"/>
      <x:c r="AH45" s="191"/>
      <x:c r="AI45" s="191"/>
      <x:c r="AJ45" s="191"/>
      <x:c r="AK45" s="191"/>
    </x:row>
    <x:row r="46">
      <x:c r="A46" s="191"/>
      <x:c r="B46" s="191"/>
      <x:c r="C46" s="191"/>
      <x:c r="D46" s="191"/>
      <x:c r="E46" s="191"/>
      <x:c r="F46" s="191"/>
      <x:c r="G46" s="191"/>
      <x:c r="H46" s="191"/>
      <x:c r="I46" s="191"/>
      <x:c r="J46" s="191"/>
      <x:c r="K46" s="191"/>
      <x:c r="L46" s="191"/>
      <x:c r="M46" s="191"/>
      <x:c r="N46" s="191"/>
      <x:c r="O46" s="191"/>
      <x:c r="P46" s="191"/>
      <x:c r="Q46" s="191"/>
      <x:c r="R46" s="191"/>
      <x:c r="S46" s="191"/>
      <x:c r="T46" s="191"/>
      <x:c r="U46" s="191"/>
      <x:c r="V46" s="191"/>
      <x:c r="W46" s="191"/>
      <x:c r="X46" s="191"/>
      <x:c r="Y46" s="191"/>
      <x:c r="Z46" s="191"/>
      <x:c r="AA46" s="191"/>
      <x:c r="AB46" s="191"/>
      <x:c r="AC46" s="191"/>
      <x:c r="AD46" s="191"/>
      <x:c r="AE46" s="191"/>
      <x:c r="AF46" s="191"/>
      <x:c r="AG46" s="191"/>
      <x:c r="AH46" s="191"/>
      <x:c r="AI46" s="191"/>
      <x:c r="AJ46" s="191"/>
      <x:c r="AK46" s="191"/>
    </x:row>
    <x:row r="47">
      <x:c r="A47" s="191"/>
      <x:c r="B47" s="191"/>
      <x:c r="C47" s="191"/>
      <x:c r="D47" s="191"/>
      <x:c r="E47" s="191"/>
      <x:c r="F47" s="191"/>
      <x:c r="G47" s="191"/>
      <x:c r="H47" s="191"/>
      <x:c r="I47" s="191"/>
      <x:c r="J47" s="191"/>
      <x:c r="K47" s="191"/>
      <x:c r="L47" s="191"/>
      <x:c r="M47" s="191"/>
      <x:c r="N47" s="191"/>
      <x:c r="O47" s="191"/>
      <x:c r="P47" s="191"/>
      <x:c r="Q47" s="191"/>
      <x:c r="R47" s="191"/>
      <x:c r="S47" s="191"/>
      <x:c r="T47" s="191"/>
      <x:c r="U47" s="191"/>
      <x:c r="V47" s="191"/>
      <x:c r="W47" s="191"/>
      <x:c r="X47" s="191"/>
      <x:c r="Y47" s="191"/>
      <x:c r="Z47" s="191"/>
      <x:c r="AA47" s="191"/>
      <x:c r="AB47" s="191"/>
      <x:c r="AC47" s="191"/>
      <x:c r="AD47" s="191"/>
      <x:c r="AE47" s="191"/>
      <x:c r="AF47" s="191"/>
      <x:c r="AG47" s="191"/>
      <x:c r="AH47" s="191"/>
      <x:c r="AI47" s="191"/>
      <x:c r="AJ47" s="191"/>
      <x:c r="AK47" s="191"/>
    </x:row>
    <x:row r="48">
      <x:c r="A48" s="191"/>
      <x:c r="B48" s="191"/>
      <x:c r="C48" s="191"/>
      <x:c r="D48" s="191"/>
      <x:c r="E48" s="191"/>
      <x:c r="F48" s="191"/>
      <x:c r="G48" s="191"/>
      <x:c r="H48" s="191"/>
      <x:c r="I48" s="191"/>
      <x:c r="J48" s="191"/>
      <x:c r="K48" s="191"/>
      <x:c r="L48" s="191"/>
      <x:c r="M48" s="191"/>
      <x:c r="N48" s="191"/>
      <x:c r="O48" s="191"/>
      <x:c r="P48" s="191"/>
      <x:c r="Q48" s="191"/>
      <x:c r="R48" s="191"/>
      <x:c r="S48" s="191"/>
      <x:c r="T48" s="191"/>
      <x:c r="U48" s="191"/>
      <x:c r="V48" s="191"/>
      <x:c r="W48" s="191"/>
      <x:c r="X48" s="191"/>
      <x:c r="Y48" s="191"/>
      <x:c r="Z48" s="191"/>
      <x:c r="AA48" s="191"/>
      <x:c r="AB48" s="191"/>
      <x:c r="AC48" s="191"/>
      <x:c r="AD48" s="191"/>
      <x:c r="AE48" s="191"/>
      <x:c r="AF48" s="191"/>
      <x:c r="AG48" s="191"/>
      <x:c r="AH48" s="191"/>
      <x:c r="AI48" s="191"/>
      <x:c r="AJ48" s="191"/>
      <x:c r="AK48" s="191"/>
    </x:row>
    <x:row r="49">
      <x:c r="A49" s="191"/>
      <x:c r="B49" s="191"/>
      <x:c r="C49" s="191"/>
      <x:c r="D49" s="191"/>
      <x:c r="E49" s="191"/>
      <x:c r="F49" s="191"/>
      <x:c r="G49" s="191"/>
      <x:c r="H49" s="191"/>
      <x:c r="I49" s="191"/>
      <x:c r="J49" s="191"/>
      <x:c r="K49" s="191"/>
      <x:c r="L49" s="191"/>
      <x:c r="M49" s="191"/>
      <x:c r="N49" s="191"/>
      <x:c r="O49" s="191"/>
      <x:c r="P49" s="191"/>
      <x:c r="Q49" s="191"/>
      <x:c r="R49" s="191"/>
      <x:c r="S49" s="191"/>
      <x:c r="T49" s="191"/>
      <x:c r="U49" s="191"/>
      <x:c r="V49" s="191"/>
      <x:c r="W49" s="191"/>
      <x:c r="X49" s="191"/>
      <x:c r="Y49" s="191"/>
      <x:c r="Z49" s="191"/>
      <x:c r="AA49" s="191"/>
      <x:c r="AB49" s="191"/>
      <x:c r="AC49" s="191"/>
      <x:c r="AD49" s="191"/>
      <x:c r="AE49" s="191"/>
      <x:c r="AF49" s="191"/>
      <x:c r="AG49" s="191"/>
      <x:c r="AH49" s="191"/>
      <x:c r="AI49" s="191"/>
      <x:c r="AJ49" s="191"/>
      <x:c r="AK49" s="191"/>
    </x:row>
    <x:row r="50">
      <x:c r="A50" s="191"/>
      <x:c r="B50" s="191"/>
      <x:c r="C50" s="191"/>
      <x:c r="D50" s="191"/>
      <x:c r="E50" s="191"/>
      <x:c r="F50" s="191"/>
      <x:c r="G50" s="191"/>
      <x:c r="H50" s="191"/>
      <x:c r="I50" s="191"/>
      <x:c r="J50" s="191"/>
      <x:c r="K50" s="191"/>
      <x:c r="L50" s="191"/>
      <x:c r="M50" s="191"/>
      <x:c r="N50" s="191"/>
      <x:c r="O50" s="191"/>
      <x:c r="P50" s="191"/>
      <x:c r="Q50" s="191"/>
      <x:c r="R50" s="191"/>
      <x:c r="S50" s="191"/>
      <x:c r="T50" s="191"/>
      <x:c r="U50" s="191"/>
      <x:c r="V50" s="191"/>
      <x:c r="W50" s="191"/>
      <x:c r="X50" s="191"/>
      <x:c r="Y50" s="191"/>
      <x:c r="Z50" s="191"/>
      <x:c r="AA50" s="191"/>
      <x:c r="AB50" s="191"/>
      <x:c r="AC50" s="191"/>
      <x:c r="AD50" s="191"/>
      <x:c r="AE50" s="191"/>
      <x:c r="AF50" s="191"/>
      <x:c r="AG50" s="191"/>
      <x:c r="AH50" s="191"/>
      <x:c r="AI50" s="191"/>
      <x:c r="AJ50" s="191"/>
      <x:c r="AK50" s="191"/>
    </x:row>
    <x:row r="51">
      <x:c r="A51" s="191"/>
      <x:c r="B51" s="191"/>
      <x:c r="C51" s="191"/>
      <x:c r="D51" s="191"/>
      <x:c r="E51" s="191"/>
      <x:c r="F51" s="191"/>
      <x:c r="G51" s="191"/>
      <x:c r="H51" s="191"/>
      <x:c r="I51" s="191"/>
      <x:c r="J51" s="191"/>
      <x:c r="K51" s="191"/>
      <x:c r="L51" s="191"/>
      <x:c r="M51" s="191"/>
      <x:c r="N51" s="191"/>
      <x:c r="O51" s="191"/>
      <x:c r="P51" s="191"/>
      <x:c r="Q51" s="191"/>
      <x:c r="R51" s="191"/>
      <x:c r="S51" s="191"/>
      <x:c r="T51" s="191"/>
      <x:c r="U51" s="191"/>
      <x:c r="V51" s="191"/>
      <x:c r="W51" s="191"/>
      <x:c r="X51" s="191"/>
      <x:c r="Y51" s="191"/>
      <x:c r="Z51" s="191"/>
      <x:c r="AA51" s="191"/>
      <x:c r="AB51" s="191"/>
      <x:c r="AC51" s="191"/>
      <x:c r="AD51" s="191"/>
      <x:c r="AE51" s="191"/>
      <x:c r="AF51" s="191"/>
      <x:c r="AG51" s="191"/>
      <x:c r="AH51" s="191"/>
      <x:c r="AI51" s="191"/>
      <x:c r="AJ51" s="191"/>
      <x:c r="AK51" s="191"/>
    </x:row>
    <x:row r="52">
      <x:c r="A52" s="191"/>
      <x:c r="B52" s="191"/>
      <x:c r="C52" s="191"/>
      <x:c r="D52" s="191"/>
      <x:c r="E52" s="191"/>
      <x:c r="F52" s="191"/>
      <x:c r="G52" s="191"/>
      <x:c r="H52" s="191"/>
      <x:c r="I52" s="191"/>
      <x:c r="J52" s="191"/>
      <x:c r="K52" s="191"/>
      <x:c r="L52" s="191"/>
      <x:c r="M52" s="191"/>
      <x:c r="N52" s="191"/>
      <x:c r="O52" s="191"/>
      <x:c r="P52" s="191"/>
      <x:c r="Q52" s="191"/>
      <x:c r="R52" s="191"/>
      <x:c r="S52" s="191"/>
      <x:c r="T52" s="191"/>
      <x:c r="U52" s="191"/>
      <x:c r="V52" s="191"/>
      <x:c r="W52" s="191"/>
      <x:c r="X52" s="191"/>
      <x:c r="Y52" s="191"/>
      <x:c r="Z52" s="191"/>
      <x:c r="AA52" s="191"/>
      <x:c r="AB52" s="191"/>
      <x:c r="AC52" s="191"/>
      <x:c r="AD52" s="191"/>
      <x:c r="AE52" s="191"/>
      <x:c r="AF52" s="191"/>
      <x:c r="AG52" s="191"/>
      <x:c r="AH52" s="191"/>
      <x:c r="AI52" s="191"/>
      <x:c r="AJ52" s="191"/>
      <x:c r="AK52" s="191"/>
    </x:row>
    <x:row r="53">
      <x:c r="A53" s="191"/>
      <x:c r="B53" s="191"/>
      <x:c r="C53" s="191"/>
      <x:c r="D53" s="191"/>
      <x:c r="E53" s="191"/>
      <x:c r="F53" s="191"/>
      <x:c r="G53" s="191"/>
      <x:c r="H53" s="191"/>
      <x:c r="I53" s="191"/>
      <x:c r="J53" s="191"/>
      <x:c r="K53" s="191"/>
      <x:c r="L53" s="191"/>
      <x:c r="M53" s="191"/>
      <x:c r="N53" s="191"/>
      <x:c r="O53" s="191"/>
      <x:c r="P53" s="191"/>
      <x:c r="Q53" s="191"/>
      <x:c r="R53" s="191"/>
      <x:c r="S53" s="191"/>
      <x:c r="T53" s="191"/>
      <x:c r="U53" s="191"/>
      <x:c r="V53" s="191"/>
      <x:c r="W53" s="191"/>
      <x:c r="X53" s="191"/>
      <x:c r="Y53" s="191"/>
      <x:c r="Z53" s="191"/>
      <x:c r="AA53" s="191"/>
      <x:c r="AB53" s="191"/>
      <x:c r="AC53" s="191"/>
      <x:c r="AD53" s="191"/>
      <x:c r="AE53" s="191"/>
      <x:c r="AF53" s="191"/>
      <x:c r="AG53" s="191"/>
      <x:c r="AH53" s="191"/>
      <x:c r="AI53" s="191"/>
      <x:c r="AJ53" s="191"/>
      <x:c r="AK53" s="191"/>
    </x:row>
    <x:row r="54">
      <x:c r="A54" s="191"/>
      <x:c r="B54" s="191"/>
      <x:c r="C54" s="191"/>
      <x:c r="D54" s="191"/>
      <x:c r="E54" s="191"/>
      <x:c r="F54" s="191"/>
      <x:c r="G54" s="191"/>
      <x:c r="H54" s="191"/>
      <x:c r="I54" s="191"/>
      <x:c r="J54" s="191"/>
      <x:c r="K54" s="191"/>
      <x:c r="L54" s="191"/>
      <x:c r="M54" s="191"/>
      <x:c r="N54" s="191"/>
      <x:c r="O54" s="191"/>
      <x:c r="P54" s="191"/>
      <x:c r="Q54" s="191"/>
      <x:c r="R54" s="191"/>
      <x:c r="S54" s="191"/>
      <x:c r="T54" s="191"/>
      <x:c r="U54" s="191"/>
      <x:c r="V54" s="191"/>
      <x:c r="W54" s="191"/>
      <x:c r="X54" s="191"/>
      <x:c r="Y54" s="191"/>
      <x:c r="Z54" s="191"/>
      <x:c r="AA54" s="191"/>
      <x:c r="AB54" s="191"/>
      <x:c r="AC54" s="191"/>
      <x:c r="AD54" s="191"/>
      <x:c r="AE54" s="191"/>
      <x:c r="AF54" s="191"/>
      <x:c r="AG54" s="191"/>
      <x:c r="AH54" s="191"/>
      <x:c r="AI54" s="191"/>
      <x:c r="AJ54" s="191"/>
      <x:c r="AK54" s="191"/>
    </x:row>
    <x:row r="55">
      <x:c r="A55" s="191"/>
      <x:c r="B55" s="191"/>
      <x:c r="C55" s="191"/>
      <x:c r="D55" s="191"/>
      <x:c r="E55" s="191"/>
      <x:c r="F55" s="191"/>
      <x:c r="G55" s="191"/>
      <x:c r="H55" s="191"/>
      <x:c r="I55" s="191"/>
      <x:c r="J55" s="191"/>
      <x:c r="K55" s="191"/>
      <x:c r="L55" s="191"/>
      <x:c r="M55" s="191"/>
      <x:c r="N55" s="191"/>
      <x:c r="O55" s="191"/>
      <x:c r="P55" s="191"/>
      <x:c r="Q55" s="191"/>
      <x:c r="R55" s="191"/>
      <x:c r="S55" s="191"/>
      <x:c r="T55" s="191"/>
      <x:c r="U55" s="191"/>
      <x:c r="V55" s="191"/>
      <x:c r="W55" s="191"/>
      <x:c r="X55" s="191"/>
      <x:c r="Y55" s="191"/>
      <x:c r="Z55" s="191"/>
      <x:c r="AA55" s="191"/>
      <x:c r="AB55" s="191"/>
      <x:c r="AC55" s="191"/>
      <x:c r="AD55" s="191"/>
      <x:c r="AE55" s="191"/>
      <x:c r="AF55" s="191"/>
      <x:c r="AG55" s="191"/>
      <x:c r="AH55" s="191"/>
      <x:c r="AI55" s="191"/>
      <x:c r="AJ55" s="191"/>
      <x:c r="AK55" s="191"/>
    </x:row>
    <x:row r="56">
      <x:c r="A56" s="191"/>
      <x:c r="B56" s="191"/>
      <x:c r="C56" s="191"/>
      <x:c r="D56" s="191"/>
      <x:c r="E56" s="191"/>
      <x:c r="F56" s="191"/>
      <x:c r="G56" s="191"/>
      <x:c r="H56" s="191"/>
      <x:c r="I56" s="191"/>
      <x:c r="J56" s="191"/>
      <x:c r="K56" s="191"/>
      <x:c r="L56" s="191"/>
      <x:c r="M56" s="191"/>
      <x:c r="N56" s="191"/>
      <x:c r="O56" s="191"/>
      <x:c r="P56" s="191"/>
      <x:c r="Q56" s="191"/>
      <x:c r="R56" s="191"/>
      <x:c r="S56" s="191"/>
      <x:c r="T56" s="191"/>
      <x:c r="U56" s="191"/>
      <x:c r="V56" s="191"/>
      <x:c r="W56" s="191"/>
      <x:c r="X56" s="191"/>
      <x:c r="Y56" s="191"/>
      <x:c r="Z56" s="191"/>
      <x:c r="AA56" s="191"/>
      <x:c r="AB56" s="191"/>
      <x:c r="AC56" s="191"/>
      <x:c r="AD56" s="191"/>
      <x:c r="AE56" s="191"/>
      <x:c r="AF56" s="191"/>
      <x:c r="AG56" s="191"/>
      <x:c r="AH56" s="191"/>
      <x:c r="AI56" s="191"/>
      <x:c r="AJ56" s="191"/>
      <x:c r="AK56" s="191"/>
    </x:row>
    <x:row r="57">
      <x:c r="A57" s="191"/>
      <x:c r="B57" s="191"/>
      <x:c r="C57" s="191"/>
      <x:c r="D57" s="191"/>
      <x:c r="E57" s="191"/>
      <x:c r="F57" s="191"/>
      <x:c r="G57" s="191"/>
      <x:c r="H57" s="191"/>
      <x:c r="I57" s="191"/>
      <x:c r="J57" s="191"/>
      <x:c r="K57" s="191"/>
      <x:c r="L57" s="191"/>
      <x:c r="M57" s="191"/>
      <x:c r="N57" s="191"/>
      <x:c r="O57" s="191"/>
      <x:c r="P57" s="191"/>
      <x:c r="Q57" s="191"/>
      <x:c r="R57" s="191"/>
      <x:c r="S57" s="191"/>
      <x:c r="T57" s="191"/>
      <x:c r="U57" s="191"/>
      <x:c r="V57" s="191"/>
      <x:c r="W57" s="191"/>
      <x:c r="X57" s="191"/>
      <x:c r="Y57" s="191"/>
      <x:c r="Z57" s="191"/>
      <x:c r="AA57" s="191"/>
      <x:c r="AB57" s="191"/>
      <x:c r="AC57" s="191"/>
      <x:c r="AD57" s="191"/>
      <x:c r="AE57" s="191"/>
      <x:c r="AF57" s="191"/>
      <x:c r="AG57" s="191"/>
      <x:c r="AH57" s="191"/>
      <x:c r="AI57" s="191"/>
      <x:c r="AJ57" s="191"/>
      <x:c r="AK57" s="191"/>
    </x:row>
    <x:row r="58">
      <x:c r="A58" s="191"/>
      <x:c r="B58" s="191"/>
      <x:c r="C58" s="191"/>
      <x:c r="D58" s="191"/>
      <x:c r="E58" s="191"/>
      <x:c r="F58" s="191"/>
      <x:c r="G58" s="191"/>
      <x:c r="H58" s="191"/>
      <x:c r="I58" s="191"/>
      <x:c r="J58" s="191"/>
      <x:c r="K58" s="191"/>
      <x:c r="L58" s="191"/>
      <x:c r="M58" s="191"/>
      <x:c r="N58" s="191"/>
      <x:c r="O58" s="191"/>
      <x:c r="P58" s="191"/>
      <x:c r="Q58" s="191"/>
      <x:c r="R58" s="191"/>
      <x:c r="S58" s="191"/>
      <x:c r="T58" s="191"/>
      <x:c r="U58" s="191"/>
      <x:c r="V58" s="191"/>
      <x:c r="W58" s="191"/>
      <x:c r="X58" s="191"/>
      <x:c r="Y58" s="191"/>
      <x:c r="Z58" s="191"/>
      <x:c r="AA58" s="191"/>
      <x:c r="AB58" s="191"/>
      <x:c r="AC58" s="191"/>
      <x:c r="AD58" s="191"/>
      <x:c r="AE58" s="191"/>
      <x:c r="AF58" s="191"/>
      <x:c r="AG58" s="191"/>
      <x:c r="AH58" s="191"/>
      <x:c r="AI58" s="191"/>
      <x:c r="AJ58" s="191"/>
      <x:c r="AK58" s="191"/>
    </x:row>
    <x:row r="59">
      <x:c r="A59" s="191"/>
      <x:c r="B59" s="191"/>
      <x:c r="C59" s="191"/>
      <x:c r="D59" s="191"/>
      <x:c r="E59" s="191"/>
      <x:c r="F59" s="191"/>
      <x:c r="G59" s="191"/>
      <x:c r="H59" s="191"/>
      <x:c r="I59" s="191"/>
      <x:c r="J59" s="191"/>
      <x:c r="K59" s="191"/>
      <x:c r="L59" s="191"/>
      <x:c r="M59" s="191"/>
      <x:c r="N59" s="191"/>
      <x:c r="O59" s="191"/>
      <x:c r="P59" s="191"/>
      <x:c r="Q59" s="191"/>
      <x:c r="R59" s="191"/>
      <x:c r="S59" s="191"/>
      <x:c r="T59" s="191"/>
      <x:c r="U59" s="191"/>
      <x:c r="V59" s="191"/>
      <x:c r="W59" s="191"/>
      <x:c r="X59" s="191"/>
      <x:c r="Y59" s="191"/>
      <x:c r="Z59" s="191"/>
      <x:c r="AA59" s="191"/>
      <x:c r="AB59" s="191"/>
      <x:c r="AC59" s="191"/>
      <x:c r="AD59" s="191"/>
      <x:c r="AE59" s="191"/>
      <x:c r="AF59" s="191"/>
      <x:c r="AG59" s="191"/>
      <x:c r="AH59" s="191"/>
      <x:c r="AI59" s="191"/>
      <x:c r="AJ59" s="191"/>
      <x:c r="AK59" s="191"/>
    </x:row>
    <x:row r="60">
      <x:c r="A60" s="191"/>
      <x:c r="B60" s="191"/>
      <x:c r="C60" s="191"/>
      <x:c r="D60" s="191"/>
      <x:c r="E60" s="191"/>
      <x:c r="F60" s="191"/>
      <x:c r="G60" s="191"/>
      <x:c r="H60" s="191"/>
      <x:c r="I60" s="191"/>
      <x:c r="J60" s="191"/>
      <x:c r="K60" s="191"/>
      <x:c r="L60" s="191"/>
      <x:c r="M60" s="191"/>
      <x:c r="N60" s="191"/>
      <x:c r="O60" s="191"/>
      <x:c r="P60" s="191"/>
      <x:c r="Q60" s="191"/>
      <x:c r="R60" s="191"/>
      <x:c r="S60" s="191"/>
      <x:c r="T60" s="191"/>
      <x:c r="U60" s="191"/>
      <x:c r="V60" s="191"/>
      <x:c r="W60" s="191"/>
      <x:c r="X60" s="191"/>
      <x:c r="Y60" s="191"/>
      <x:c r="Z60" s="191"/>
      <x:c r="AA60" s="191"/>
      <x:c r="AB60" s="191"/>
      <x:c r="AC60" s="191"/>
      <x:c r="AD60" s="191"/>
      <x:c r="AE60" s="191"/>
      <x:c r="AF60" s="191"/>
      <x:c r="AG60" s="191"/>
      <x:c r="AH60" s="191"/>
      <x:c r="AI60" s="191"/>
      <x:c r="AJ60" s="191"/>
      <x:c r="AK60" s="191"/>
    </x:row>
    <x:row r="61">
      <x:c r="A61" s="191"/>
      <x:c r="B61" s="191"/>
      <x:c r="C61" s="191"/>
      <x:c r="D61" s="191"/>
      <x:c r="E61" s="191"/>
      <x:c r="F61" s="191"/>
      <x:c r="G61" s="191"/>
      <x:c r="H61" s="191"/>
      <x:c r="I61" s="191"/>
      <x:c r="J61" s="191"/>
      <x:c r="K61" s="191"/>
      <x:c r="L61" s="191"/>
      <x:c r="M61" s="191"/>
      <x:c r="N61" s="191"/>
      <x:c r="O61" s="191"/>
      <x:c r="P61" s="191"/>
      <x:c r="Q61" s="191"/>
      <x:c r="R61" s="191"/>
      <x:c r="S61" s="191"/>
      <x:c r="T61" s="191"/>
      <x:c r="U61" s="191"/>
      <x:c r="V61" s="191"/>
      <x:c r="W61" s="191"/>
      <x:c r="X61" s="191"/>
      <x:c r="Y61" s="191"/>
      <x:c r="Z61" s="191"/>
      <x:c r="AA61" s="191"/>
      <x:c r="AB61" s="191"/>
      <x:c r="AC61" s="191"/>
      <x:c r="AD61" s="191"/>
      <x:c r="AE61" s="191"/>
      <x:c r="AF61" s="191"/>
      <x:c r="AG61" s="191"/>
      <x:c r="AH61" s="191"/>
      <x:c r="AI61" s="191"/>
      <x:c r="AJ61" s="191"/>
      <x:c r="AK61" s="191"/>
    </x:row>
    <x:row r="62">
      <x:c r="A62" s="191"/>
      <x:c r="B62" s="191"/>
      <x:c r="C62" s="191"/>
      <x:c r="D62" s="191"/>
      <x:c r="E62" s="191"/>
      <x:c r="F62" s="191"/>
      <x:c r="G62" s="191"/>
      <x:c r="H62" s="191"/>
      <x:c r="I62" s="191"/>
      <x:c r="J62" s="191"/>
      <x:c r="K62" s="191"/>
      <x:c r="L62" s="191"/>
      <x:c r="M62" s="191"/>
      <x:c r="N62" s="191"/>
      <x:c r="O62" s="191"/>
      <x:c r="P62" s="191"/>
      <x:c r="Q62" s="191"/>
      <x:c r="R62" s="191"/>
      <x:c r="S62" s="191"/>
      <x:c r="T62" s="191"/>
      <x:c r="U62" s="191"/>
      <x:c r="V62" s="191"/>
      <x:c r="W62" s="191"/>
      <x:c r="X62" s="191"/>
      <x:c r="Y62" s="191"/>
      <x:c r="Z62" s="191"/>
      <x:c r="AA62" s="191"/>
      <x:c r="AB62" s="191"/>
      <x:c r="AC62" s="191"/>
      <x:c r="AD62" s="191"/>
      <x:c r="AE62" s="191"/>
      <x:c r="AF62" s="191"/>
      <x:c r="AG62" s="191"/>
      <x:c r="AH62" s="191"/>
      <x:c r="AI62" s="191"/>
      <x:c r="AJ62" s="191"/>
      <x:c r="AK62" s="191"/>
    </x:row>
    <x:row r="63">
      <x:c r="A63" s="191"/>
      <x:c r="B63" s="191"/>
      <x:c r="C63" s="191"/>
      <x:c r="D63" s="191"/>
      <x:c r="E63" s="191"/>
      <x:c r="F63" s="191"/>
      <x:c r="G63" s="191"/>
      <x:c r="H63" s="191"/>
      <x:c r="I63" s="191"/>
      <x:c r="J63" s="191"/>
      <x:c r="K63" s="191"/>
      <x:c r="L63" s="191"/>
      <x:c r="M63" s="191"/>
      <x:c r="N63" s="191"/>
      <x:c r="O63" s="191"/>
      <x:c r="P63" s="191"/>
      <x:c r="Q63" s="191"/>
      <x:c r="R63" s="191"/>
      <x:c r="S63" s="191"/>
      <x:c r="T63" s="191"/>
      <x:c r="U63" s="191"/>
      <x:c r="V63" s="191"/>
      <x:c r="W63" s="191"/>
      <x:c r="X63" s="191"/>
      <x:c r="Y63" s="191"/>
      <x:c r="Z63" s="191"/>
      <x:c r="AA63" s="191"/>
      <x:c r="AB63" s="191"/>
      <x:c r="AC63" s="191"/>
      <x:c r="AD63" s="191"/>
      <x:c r="AE63" s="191"/>
      <x:c r="AF63" s="191"/>
      <x:c r="AG63" s="191"/>
      <x:c r="AH63" s="191"/>
      <x:c r="AI63" s="191"/>
      <x:c r="AJ63" s="191"/>
      <x:c r="AK63" s="191"/>
    </x:row>
    <x:row r="64">
      <x:c r="A64" s="191"/>
      <x:c r="B64" s="191"/>
      <x:c r="C64" s="191"/>
      <x:c r="D64" s="191"/>
      <x:c r="E64" s="191"/>
      <x:c r="F64" s="191"/>
      <x:c r="G64" s="191"/>
      <x:c r="H64" s="191"/>
      <x:c r="I64" s="191"/>
      <x:c r="J64" s="191"/>
      <x:c r="K64" s="191"/>
      <x:c r="L64" s="191"/>
      <x:c r="M64" s="191"/>
      <x:c r="N64" s="191"/>
      <x:c r="O64" s="191"/>
      <x:c r="P64" s="191"/>
      <x:c r="Q64" s="191"/>
      <x:c r="R64" s="191"/>
      <x:c r="S64" s="191"/>
      <x:c r="T64" s="191"/>
      <x:c r="U64" s="191"/>
      <x:c r="V64" s="191"/>
      <x:c r="W64" s="191"/>
      <x:c r="X64" s="191"/>
      <x:c r="Y64" s="191"/>
      <x:c r="Z64" s="191"/>
      <x:c r="AA64" s="191"/>
      <x:c r="AB64" s="191"/>
      <x:c r="AC64" s="191"/>
      <x:c r="AD64" s="191"/>
      <x:c r="AE64" s="191"/>
      <x:c r="AF64" s="191"/>
      <x:c r="AG64" s="191"/>
      <x:c r="AH64" s="191"/>
      <x:c r="AI64" s="191"/>
      <x:c r="AJ64" s="191"/>
      <x:c r="AK64" s="191"/>
    </x:row>
    <x:row r="65">
      <x:c r="A65" s="191"/>
      <x:c r="B65" s="191"/>
      <x:c r="C65" s="191"/>
      <x:c r="D65" s="191"/>
      <x:c r="E65" s="191"/>
      <x:c r="F65" s="191"/>
      <x:c r="G65" s="191"/>
      <x:c r="H65" s="191"/>
      <x:c r="I65" s="191"/>
      <x:c r="J65" s="191"/>
      <x:c r="K65" s="191"/>
      <x:c r="L65" s="191"/>
      <x:c r="M65" s="191"/>
      <x:c r="N65" s="191"/>
      <x:c r="O65" s="191"/>
      <x:c r="P65" s="191"/>
      <x:c r="Q65" s="191"/>
      <x:c r="R65" s="191"/>
      <x:c r="S65" s="191"/>
      <x:c r="T65" s="191"/>
      <x:c r="U65" s="191"/>
      <x:c r="V65" s="191"/>
      <x:c r="W65" s="191"/>
      <x:c r="X65" s="191"/>
      <x:c r="Y65" s="191"/>
      <x:c r="Z65" s="191"/>
      <x:c r="AA65" s="191"/>
      <x:c r="AB65" s="191"/>
      <x:c r="AC65" s="191"/>
      <x:c r="AD65" s="191"/>
      <x:c r="AE65" s="191"/>
      <x:c r="AF65" s="191"/>
      <x:c r="AG65" s="191"/>
      <x:c r="AH65" s="191"/>
      <x:c r="AI65" s="191"/>
      <x:c r="AJ65" s="191"/>
      <x:c r="AK65" s="191"/>
    </x:row>
    <x:row r="66">
      <x:c r="A66" s="191"/>
      <x:c r="B66" s="191"/>
      <x:c r="C66" s="191"/>
      <x:c r="D66" s="191"/>
      <x:c r="E66" s="191"/>
      <x:c r="F66" s="191"/>
      <x:c r="G66" s="191"/>
      <x:c r="H66" s="191"/>
      <x:c r="I66" s="191"/>
      <x:c r="J66" s="191"/>
      <x:c r="K66" s="191"/>
      <x:c r="L66" s="191"/>
      <x:c r="M66" s="191"/>
      <x:c r="N66" s="191"/>
      <x:c r="O66" s="191"/>
      <x:c r="P66" s="191"/>
      <x:c r="Q66" s="191"/>
      <x:c r="R66" s="191"/>
      <x:c r="S66" s="191"/>
      <x:c r="T66" s="191"/>
      <x:c r="U66" s="191"/>
      <x:c r="V66" s="191"/>
      <x:c r="W66" s="191"/>
      <x:c r="X66" s="191"/>
      <x:c r="Y66" s="191"/>
      <x:c r="Z66" s="191"/>
      <x:c r="AA66" s="191"/>
      <x:c r="AB66" s="191"/>
      <x:c r="AC66" s="191"/>
      <x:c r="AD66" s="191"/>
      <x:c r="AE66" s="191"/>
      <x:c r="AF66" s="191"/>
      <x:c r="AG66" s="191"/>
      <x:c r="AH66" s="191"/>
      <x:c r="AI66" s="191"/>
      <x:c r="AJ66" s="191"/>
      <x:c r="AK66" s="191"/>
    </x:row>
    <x:row r="67">
      <x:c r="A67" s="191"/>
      <x:c r="B67" s="191"/>
      <x:c r="C67" s="191"/>
      <x:c r="D67" s="191"/>
      <x:c r="E67" s="191"/>
      <x:c r="F67" s="191"/>
      <x:c r="G67" s="191"/>
      <x:c r="H67" s="191"/>
      <x:c r="I67" s="191"/>
      <x:c r="J67" s="191"/>
      <x:c r="K67" s="191"/>
      <x:c r="L67" s="191"/>
      <x:c r="M67" s="191"/>
      <x:c r="N67" s="191"/>
      <x:c r="O67" s="191"/>
      <x:c r="P67" s="191"/>
      <x:c r="Q67" s="191"/>
      <x:c r="R67" s="191"/>
      <x:c r="S67" s="191"/>
      <x:c r="T67" s="191"/>
      <x:c r="U67" s="191"/>
      <x:c r="V67" s="191"/>
      <x:c r="W67" s="191"/>
      <x:c r="X67" s="191"/>
      <x:c r="Y67" s="191"/>
      <x:c r="Z67" s="191"/>
      <x:c r="AA67" s="191"/>
      <x:c r="AB67" s="191"/>
      <x:c r="AC67" s="191"/>
      <x:c r="AD67" s="191"/>
      <x:c r="AE67" s="191"/>
      <x:c r="AF67" s="191"/>
      <x:c r="AG67" s="191"/>
      <x:c r="AH67" s="191"/>
      <x:c r="AI67" s="191"/>
      <x:c r="AJ67" s="191"/>
      <x:c r="AK67" s="191"/>
    </x:row>
    <x:row r="68">
      <x:c r="A68" s="191"/>
      <x:c r="B68" s="191"/>
      <x:c r="C68" s="191"/>
      <x:c r="D68" s="191"/>
      <x:c r="E68" s="191"/>
      <x:c r="F68" s="191"/>
      <x:c r="G68" s="191"/>
      <x:c r="H68" s="191"/>
      <x:c r="I68" s="191"/>
      <x:c r="J68" s="191"/>
      <x:c r="K68" s="191"/>
      <x:c r="L68" s="191"/>
      <x:c r="M68" s="191"/>
      <x:c r="N68" s="191"/>
      <x:c r="O68" s="191"/>
      <x:c r="P68" s="191"/>
      <x:c r="Q68" s="191"/>
      <x:c r="R68" s="191"/>
      <x:c r="S68" s="191"/>
      <x:c r="T68" s="191"/>
      <x:c r="U68" s="191"/>
      <x:c r="V68" s="191"/>
      <x:c r="W68" s="191"/>
      <x:c r="X68" s="191"/>
      <x:c r="Y68" s="191"/>
      <x:c r="Z68" s="191"/>
      <x:c r="AA68" s="191"/>
      <x:c r="AB68" s="191"/>
      <x:c r="AC68" s="191"/>
      <x:c r="AD68" s="191"/>
      <x:c r="AE68" s="191"/>
      <x:c r="AF68" s="191"/>
      <x:c r="AG68" s="191"/>
      <x:c r="AH68" s="191"/>
      <x:c r="AI68" s="191"/>
      <x:c r="AJ68" s="191"/>
      <x:c r="AK68" s="191"/>
    </x:row>
    <x:row r="69">
      <x:c r="A69" s="191"/>
      <x:c r="B69" s="191"/>
      <x:c r="C69" s="191"/>
      <x:c r="D69" s="191"/>
      <x:c r="E69" s="191"/>
      <x:c r="F69" s="191"/>
      <x:c r="G69" s="191"/>
      <x:c r="H69" s="191"/>
      <x:c r="I69" s="191"/>
      <x:c r="J69" s="191"/>
      <x:c r="K69" s="191"/>
      <x:c r="L69" s="191"/>
      <x:c r="M69" s="191"/>
      <x:c r="N69" s="191"/>
      <x:c r="O69" s="191"/>
      <x:c r="P69" s="191"/>
      <x:c r="Q69" s="191"/>
      <x:c r="R69" s="191"/>
      <x:c r="S69" s="191"/>
      <x:c r="T69" s="191"/>
      <x:c r="U69" s="191"/>
      <x:c r="V69" s="191"/>
      <x:c r="W69" s="191"/>
      <x:c r="X69" s="191"/>
      <x:c r="Y69" s="191"/>
      <x:c r="Z69" s="191"/>
      <x:c r="AA69" s="191"/>
      <x:c r="AB69" s="191"/>
      <x:c r="AC69" s="191"/>
      <x:c r="AD69" s="191"/>
      <x:c r="AE69" s="191"/>
      <x:c r="AF69" s="191"/>
      <x:c r="AG69" s="191"/>
      <x:c r="AH69" s="191"/>
      <x:c r="AI69" s="191"/>
      <x:c r="AJ69" s="191"/>
      <x:c r="AK69" s="191"/>
    </x:row>
    <x:row r="70">
      <x:c r="A70" s="191"/>
      <x:c r="B70" s="191"/>
      <x:c r="C70" s="191"/>
      <x:c r="D70" s="191"/>
      <x:c r="E70" s="191"/>
      <x:c r="F70" s="191"/>
      <x:c r="G70" s="191"/>
      <x:c r="H70" s="191"/>
      <x:c r="I70" s="191"/>
      <x:c r="J70" s="191"/>
      <x:c r="K70" s="191"/>
      <x:c r="L70" s="191"/>
      <x:c r="M70" s="191"/>
      <x:c r="N70" s="191"/>
      <x:c r="O70" s="191"/>
      <x:c r="P70" s="191"/>
      <x:c r="Q70" s="191"/>
      <x:c r="R70" s="191"/>
      <x:c r="S70" s="191"/>
      <x:c r="T70" s="191"/>
      <x:c r="U70" s="191"/>
      <x:c r="V70" s="191"/>
      <x:c r="W70" s="191"/>
      <x:c r="X70" s="191"/>
      <x:c r="Y70" s="191"/>
      <x:c r="Z70" s="191"/>
      <x:c r="AA70" s="191"/>
      <x:c r="AB70" s="191"/>
      <x:c r="AC70" s="191"/>
      <x:c r="AD70" s="191"/>
      <x:c r="AE70" s="191"/>
      <x:c r="AF70" s="191"/>
      <x:c r="AG70" s="191"/>
      <x:c r="AH70" s="191"/>
      <x:c r="AI70" s="191"/>
      <x:c r="AJ70" s="191"/>
      <x:c r="AK70" s="191"/>
    </x:row>
    <x:row r="71">
      <x:c r="A71" s="191"/>
      <x:c r="B71" s="191"/>
      <x:c r="C71" s="191"/>
      <x:c r="D71" s="191"/>
      <x:c r="E71" s="191"/>
      <x:c r="F71" s="191"/>
      <x:c r="G71" s="191"/>
      <x:c r="H71" s="191"/>
      <x:c r="I71" s="191"/>
      <x:c r="J71" s="191"/>
      <x:c r="K71" s="191"/>
      <x:c r="L71" s="191"/>
      <x:c r="M71" s="191"/>
      <x:c r="N71" s="191"/>
      <x:c r="O71" s="191"/>
      <x:c r="P71" s="191"/>
      <x:c r="Q71" s="191"/>
      <x:c r="R71" s="191"/>
      <x:c r="S71" s="191"/>
      <x:c r="T71" s="191"/>
      <x:c r="U71" s="191"/>
      <x:c r="V71" s="191"/>
      <x:c r="W71" s="191"/>
      <x:c r="X71" s="191"/>
      <x:c r="Y71" s="191"/>
      <x:c r="Z71" s="191"/>
      <x:c r="AA71" s="191"/>
      <x:c r="AB71" s="191"/>
      <x:c r="AC71" s="191"/>
      <x:c r="AD71" s="191"/>
      <x:c r="AE71" s="191"/>
      <x:c r="AF71" s="191"/>
      <x:c r="AG71" s="191"/>
      <x:c r="AH71" s="191"/>
      <x:c r="AI71" s="191"/>
      <x:c r="AJ71" s="191"/>
      <x:c r="AK71" s="191"/>
    </x:row>
    <x:row r="72">
      <x:c r="A72" s="191"/>
      <x:c r="B72" s="191"/>
      <x:c r="C72" s="191"/>
      <x:c r="D72" s="191"/>
      <x:c r="E72" s="191"/>
      <x:c r="F72" s="191"/>
      <x:c r="G72" s="191"/>
      <x:c r="H72" s="191"/>
      <x:c r="I72" s="191"/>
      <x:c r="J72" s="191"/>
      <x:c r="K72" s="191"/>
      <x:c r="L72" s="191"/>
      <x:c r="M72" s="191"/>
      <x:c r="N72" s="191"/>
      <x:c r="O72" s="191"/>
      <x:c r="P72" s="191"/>
      <x:c r="Q72" s="191"/>
      <x:c r="R72" s="191"/>
      <x:c r="S72" s="191"/>
      <x:c r="T72" s="191"/>
      <x:c r="U72" s="191"/>
      <x:c r="V72" s="191"/>
      <x:c r="W72" s="191"/>
      <x:c r="X72" s="191"/>
      <x:c r="Y72" s="191"/>
      <x:c r="Z72" s="191"/>
      <x:c r="AA72" s="191"/>
      <x:c r="AB72" s="191"/>
      <x:c r="AC72" s="191"/>
      <x:c r="AD72" s="191"/>
      <x:c r="AE72" s="191"/>
      <x:c r="AF72" s="191"/>
      <x:c r="AG72" s="191"/>
      <x:c r="AH72" s="191"/>
      <x:c r="AI72" s="191"/>
      <x:c r="AJ72" s="191"/>
      <x:c r="AK72" s="191"/>
    </x:row>
    <x:row r="73">
      <x:c r="A73" s="191"/>
      <x:c r="B73" s="191"/>
      <x:c r="C73" s="191"/>
      <x:c r="D73" s="191"/>
      <x:c r="E73" s="191"/>
      <x:c r="F73" s="191"/>
      <x:c r="G73" s="191"/>
      <x:c r="H73" s="191"/>
      <x:c r="I73" s="191"/>
      <x:c r="J73" s="191"/>
      <x:c r="K73" s="191"/>
      <x:c r="L73" s="191"/>
      <x:c r="M73" s="191"/>
      <x:c r="N73" s="191"/>
      <x:c r="O73" s="191"/>
      <x:c r="P73" s="191"/>
      <x:c r="Q73" s="191"/>
      <x:c r="R73" s="191"/>
      <x:c r="S73" s="191"/>
      <x:c r="T73" s="191"/>
      <x:c r="U73" s="191"/>
      <x:c r="V73" s="191"/>
      <x:c r="W73" s="191"/>
      <x:c r="X73" s="191"/>
      <x:c r="Y73" s="191"/>
      <x:c r="Z73" s="191"/>
      <x:c r="AA73" s="191"/>
      <x:c r="AB73" s="191"/>
      <x:c r="AC73" s="191"/>
      <x:c r="AD73" s="191"/>
      <x:c r="AE73" s="191"/>
      <x:c r="AF73" s="191"/>
      <x:c r="AG73" s="191"/>
      <x:c r="AH73" s="191"/>
      <x:c r="AI73" s="191"/>
      <x:c r="AJ73" s="191"/>
      <x:c r="AK73" s="191"/>
    </x:row>
    <x:row r="74">
      <x:c r="A74" s="191"/>
      <x:c r="B74" s="191"/>
      <x:c r="C74" s="191"/>
      <x:c r="D74" s="191"/>
      <x:c r="E74" s="191"/>
      <x:c r="F74" s="191"/>
      <x:c r="G74" s="191"/>
      <x:c r="H74" s="191"/>
      <x:c r="I74" s="191"/>
      <x:c r="J74" s="191"/>
      <x:c r="K74" s="191"/>
      <x:c r="L74" s="191"/>
      <x:c r="M74" s="191"/>
      <x:c r="N74" s="191"/>
      <x:c r="O74" s="191"/>
      <x:c r="P74" s="191"/>
      <x:c r="Q74" s="191"/>
      <x:c r="R74" s="191"/>
      <x:c r="S74" s="191"/>
      <x:c r="T74" s="191"/>
      <x:c r="U74" s="191"/>
      <x:c r="V74" s="191"/>
      <x:c r="W74" s="191"/>
      <x:c r="X74" s="191"/>
      <x:c r="Y74" s="191"/>
      <x:c r="Z74" s="191"/>
      <x:c r="AA74" s="191"/>
      <x:c r="AB74" s="191"/>
      <x:c r="AC74" s="191"/>
      <x:c r="AD74" s="191"/>
      <x:c r="AE74" s="191"/>
      <x:c r="AF74" s="191"/>
      <x:c r="AG74" s="191"/>
      <x:c r="AH74" s="191"/>
      <x:c r="AI74" s="191"/>
      <x:c r="AJ74" s="191"/>
      <x:c r="AK74" s="191"/>
    </x:row>
    <x:row r="75">
      <x:c r="A75" s="191"/>
      <x:c r="B75" s="191"/>
      <x:c r="C75" s="191"/>
      <x:c r="D75" s="191"/>
      <x:c r="E75" s="191"/>
      <x:c r="F75" s="191"/>
      <x:c r="G75" s="191"/>
      <x:c r="H75" s="191"/>
      <x:c r="I75" s="191"/>
      <x:c r="J75" s="191"/>
      <x:c r="K75" s="191"/>
      <x:c r="L75" s="191"/>
      <x:c r="M75" s="191"/>
      <x:c r="N75" s="191"/>
      <x:c r="O75" s="191"/>
      <x:c r="P75" s="191"/>
      <x:c r="Q75" s="191"/>
      <x:c r="R75" s="191"/>
      <x:c r="S75" s="191"/>
      <x:c r="T75" s="191"/>
      <x:c r="U75" s="191"/>
      <x:c r="V75" s="191"/>
      <x:c r="W75" s="191"/>
      <x:c r="X75" s="191"/>
      <x:c r="Y75" s="191"/>
      <x:c r="Z75" s="191"/>
      <x:c r="AA75" s="191"/>
      <x:c r="AB75" s="191"/>
      <x:c r="AC75" s="191"/>
      <x:c r="AD75" s="191"/>
      <x:c r="AE75" s="191"/>
      <x:c r="AF75" s="191"/>
      <x:c r="AG75" s="191"/>
      <x:c r="AH75" s="191"/>
      <x:c r="AI75" s="191"/>
      <x:c r="AJ75" s="191"/>
      <x:c r="AK75" s="191"/>
    </x:row>
    <x:row r="76">
      <x:c r="A76" s="191"/>
      <x:c r="B76" s="191"/>
      <x:c r="C76" s="191"/>
      <x:c r="D76" s="191"/>
      <x:c r="E76" s="191"/>
      <x:c r="F76" s="191"/>
      <x:c r="G76" s="191"/>
      <x:c r="H76" s="191"/>
      <x:c r="I76" s="191"/>
      <x:c r="J76" s="191"/>
      <x:c r="K76" s="191"/>
      <x:c r="L76" s="191"/>
      <x:c r="M76" s="191"/>
      <x:c r="N76" s="191"/>
      <x:c r="O76" s="191"/>
      <x:c r="P76" s="191"/>
      <x:c r="Q76" s="191"/>
      <x:c r="R76" s="191"/>
      <x:c r="S76" s="191"/>
      <x:c r="T76" s="191"/>
      <x:c r="U76" s="191"/>
      <x:c r="V76" s="191"/>
      <x:c r="W76" s="191"/>
      <x:c r="X76" s="191"/>
      <x:c r="Y76" s="191"/>
      <x:c r="Z76" s="191"/>
      <x:c r="AA76" s="191"/>
      <x:c r="AB76" s="191"/>
      <x:c r="AC76" s="191"/>
      <x:c r="AD76" s="191"/>
      <x:c r="AE76" s="191"/>
      <x:c r="AF76" s="191"/>
      <x:c r="AG76" s="191"/>
      <x:c r="AH76" s="191"/>
      <x:c r="AI76" s="191"/>
      <x:c r="AJ76" s="191"/>
      <x:c r="AK76" s="191"/>
    </x:row>
    <x:row r="77">
      <x:c r="A77" s="191"/>
      <x:c r="B77" s="191"/>
      <x:c r="C77" s="191"/>
      <x:c r="D77" s="191"/>
      <x:c r="E77" s="191"/>
      <x:c r="F77" s="191"/>
      <x:c r="G77" s="191"/>
      <x:c r="H77" s="191"/>
      <x:c r="I77" s="191"/>
      <x:c r="J77" s="191"/>
      <x:c r="K77" s="191"/>
      <x:c r="L77" s="191"/>
      <x:c r="M77" s="191"/>
      <x:c r="N77" s="191"/>
      <x:c r="O77" s="191"/>
      <x:c r="P77" s="191"/>
      <x:c r="Q77" s="191"/>
      <x:c r="R77" s="191"/>
      <x:c r="S77" s="191"/>
      <x:c r="T77" s="191"/>
      <x:c r="U77" s="191"/>
      <x:c r="V77" s="191"/>
      <x:c r="W77" s="191"/>
      <x:c r="X77" s="191"/>
      <x:c r="Y77" s="191"/>
      <x:c r="Z77" s="191"/>
      <x:c r="AA77" s="191"/>
      <x:c r="AB77" s="191"/>
      <x:c r="AC77" s="191"/>
      <x:c r="AD77" s="191"/>
      <x:c r="AE77" s="191"/>
      <x:c r="AF77" s="191"/>
      <x:c r="AG77" s="191"/>
      <x:c r="AH77" s="191"/>
      <x:c r="AI77" s="191"/>
      <x:c r="AJ77" s="191"/>
      <x:c r="AK77" s="191"/>
    </x:row>
    <x:row r="78">
      <x:c r="A78" s="191"/>
      <x:c r="B78" s="191"/>
      <x:c r="C78" s="191"/>
      <x:c r="D78" s="191"/>
      <x:c r="E78" s="191"/>
      <x:c r="F78" s="191"/>
      <x:c r="G78" s="191"/>
      <x:c r="H78" s="191"/>
      <x:c r="I78" s="191"/>
      <x:c r="J78" s="191"/>
      <x:c r="K78" s="191"/>
      <x:c r="L78" s="191"/>
      <x:c r="M78" s="191"/>
      <x:c r="N78" s="191"/>
      <x:c r="O78" s="191"/>
      <x:c r="P78" s="191"/>
      <x:c r="Q78" s="191"/>
      <x:c r="R78" s="191"/>
      <x:c r="S78" s="191"/>
      <x:c r="T78" s="191"/>
      <x:c r="U78" s="191"/>
      <x:c r="V78" s="191"/>
      <x:c r="W78" s="191"/>
      <x:c r="X78" s="191"/>
      <x:c r="Y78" s="191"/>
      <x:c r="Z78" s="191"/>
      <x:c r="AA78" s="191"/>
      <x:c r="AB78" s="191"/>
      <x:c r="AC78" s="191"/>
      <x:c r="AD78" s="191"/>
      <x:c r="AE78" s="191"/>
      <x:c r="AF78" s="191"/>
      <x:c r="AG78" s="191"/>
      <x:c r="AH78" s="191"/>
      <x:c r="AI78" s="191"/>
      <x:c r="AJ78" s="191"/>
      <x:c r="AK78" s="191"/>
    </x:row>
    <x:row r="79">
      <x:c r="A79" s="191"/>
      <x:c r="B79" s="191"/>
      <x:c r="C79" s="191"/>
      <x:c r="D79" s="191"/>
      <x:c r="E79" s="191"/>
      <x:c r="F79" s="191"/>
      <x:c r="G79" s="191"/>
      <x:c r="H79" s="191"/>
      <x:c r="I79" s="191"/>
      <x:c r="J79" s="191"/>
      <x:c r="K79" s="191"/>
      <x:c r="L79" s="191"/>
      <x:c r="M79" s="191"/>
      <x:c r="N79" s="191"/>
      <x:c r="O79" s="191"/>
      <x:c r="P79" s="191"/>
      <x:c r="Q79" s="191"/>
      <x:c r="R79" s="191"/>
      <x:c r="S79" s="191"/>
      <x:c r="T79" s="191"/>
      <x:c r="U79" s="191"/>
      <x:c r="V79" s="191"/>
      <x:c r="W79" s="191"/>
      <x:c r="X79" s="191"/>
      <x:c r="Y79" s="191"/>
      <x:c r="Z79" s="191"/>
      <x:c r="AA79" s="191"/>
      <x:c r="AB79" s="191"/>
      <x:c r="AC79" s="191"/>
      <x:c r="AD79" s="191"/>
      <x:c r="AE79" s="191"/>
      <x:c r="AF79" s="191"/>
      <x:c r="AG79" s="191"/>
      <x:c r="AH79" s="191"/>
      <x:c r="AI79" s="191"/>
      <x:c r="AJ79" s="191"/>
      <x:c r="AK79" s="191"/>
    </x:row>
    <x:row r="80">
      <x:c r="A80" s="191"/>
      <x:c r="B80" s="191"/>
      <x:c r="C80" s="191"/>
      <x:c r="D80" s="191"/>
      <x:c r="E80" s="191"/>
      <x:c r="F80" s="191"/>
      <x:c r="G80" s="191"/>
      <x:c r="H80" s="191"/>
      <x:c r="I80" s="191"/>
      <x:c r="J80" s="191"/>
      <x:c r="K80" s="191"/>
      <x:c r="L80" s="191"/>
      <x:c r="M80" s="191"/>
      <x:c r="N80" s="191"/>
      <x:c r="O80" s="191"/>
      <x:c r="P80" s="191"/>
      <x:c r="Q80" s="191"/>
      <x:c r="R80" s="191"/>
      <x:c r="S80" s="191"/>
      <x:c r="T80" s="191"/>
      <x:c r="U80" s="191"/>
      <x:c r="V80" s="191"/>
      <x:c r="W80" s="191"/>
      <x:c r="X80" s="191"/>
      <x:c r="Y80" s="191"/>
      <x:c r="Z80" s="191"/>
      <x:c r="AA80" s="191"/>
      <x:c r="AB80" s="191"/>
      <x:c r="AC80" s="191"/>
      <x:c r="AD80" s="191"/>
      <x:c r="AE80" s="191"/>
      <x:c r="AF80" s="191"/>
      <x:c r="AG80" s="191"/>
      <x:c r="AH80" s="191"/>
      <x:c r="AI80" s="191"/>
      <x:c r="AJ80" s="191"/>
      <x:c r="AK80" s="191"/>
    </x:row>
    <x:row r="81">
      <x:c r="A81" s="191"/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  <x:c r="S81" s="191"/>
      <x:c r="T81" s="191"/>
      <x:c r="U81" s="191"/>
      <x:c r="V81" s="191"/>
      <x:c r="W81" s="191"/>
      <x:c r="X81" s="191"/>
      <x:c r="Y81" s="191"/>
      <x:c r="Z81" s="191"/>
      <x:c r="AA81" s="191"/>
      <x:c r="AB81" s="191"/>
      <x:c r="AC81" s="191"/>
      <x:c r="AD81" s="191"/>
      <x:c r="AE81" s="191"/>
      <x:c r="AF81" s="191"/>
      <x:c r="AG81" s="191"/>
      <x:c r="AH81" s="191"/>
      <x:c r="AI81" s="191"/>
      <x:c r="AJ81" s="191"/>
      <x:c r="AK81" s="191"/>
    </x:row>
    <x:row r="82">
      <x:c r="A82" s="191"/>
      <x:c r="B82" s="191"/>
      <x:c r="C82" s="191"/>
      <x:c r="D82" s="191"/>
      <x:c r="E82" s="191"/>
      <x:c r="F82" s="191"/>
      <x:c r="G82" s="191"/>
      <x:c r="H82" s="191"/>
      <x:c r="I82" s="191"/>
      <x:c r="J82" s="191"/>
      <x:c r="K82" s="191"/>
      <x:c r="L82" s="191"/>
      <x:c r="M82" s="191"/>
      <x:c r="N82" s="191"/>
      <x:c r="O82" s="191"/>
      <x:c r="P82" s="191"/>
      <x:c r="Q82" s="191"/>
      <x:c r="R82" s="191"/>
      <x:c r="S82" s="191"/>
      <x:c r="T82" s="191"/>
      <x:c r="U82" s="191"/>
      <x:c r="V82" s="191"/>
      <x:c r="W82" s="191"/>
      <x:c r="X82" s="191"/>
      <x:c r="Y82" s="191"/>
      <x:c r="Z82" s="191"/>
      <x:c r="AA82" s="191"/>
      <x:c r="AB82" s="191"/>
      <x:c r="AC82" s="191"/>
      <x:c r="AD82" s="191"/>
      <x:c r="AE82" s="191"/>
      <x:c r="AF82" s="191"/>
      <x:c r="AG82" s="191"/>
      <x:c r="AH82" s="191"/>
      <x:c r="AI82" s="191"/>
      <x:c r="AJ82" s="191"/>
      <x:c r="AK82" s="191"/>
    </x:row>
    <x:row r="83">
      <x:c r="A83" s="191"/>
      <x:c r="B83" s="191"/>
      <x:c r="C83" s="191"/>
      <x:c r="D83" s="191"/>
      <x:c r="E83" s="191"/>
      <x:c r="F83" s="191"/>
      <x:c r="G83" s="191"/>
      <x:c r="H83" s="191"/>
      <x:c r="I83" s="191"/>
      <x:c r="J83" s="191"/>
      <x:c r="K83" s="191"/>
      <x:c r="L83" s="191"/>
      <x:c r="M83" s="191"/>
      <x:c r="N83" s="191"/>
      <x:c r="O83" s="191"/>
      <x:c r="P83" s="191"/>
      <x:c r="Q83" s="191"/>
      <x:c r="R83" s="191"/>
      <x:c r="S83" s="191"/>
      <x:c r="T83" s="191"/>
      <x:c r="U83" s="191"/>
      <x:c r="V83" s="191"/>
      <x:c r="W83" s="191"/>
      <x:c r="X83" s="191"/>
      <x:c r="Y83" s="191"/>
      <x:c r="Z83" s="191"/>
      <x:c r="AA83" s="191"/>
      <x:c r="AB83" s="191"/>
      <x:c r="AC83" s="191"/>
      <x:c r="AD83" s="191"/>
      <x:c r="AE83" s="191"/>
      <x:c r="AF83" s="191"/>
      <x:c r="AG83" s="191"/>
      <x:c r="AH83" s="191"/>
      <x:c r="AI83" s="191"/>
      <x:c r="AJ83" s="191"/>
      <x:c r="AK83" s="191"/>
    </x:row>
    <x:row r="84">
      <x:c r="A84" s="191"/>
      <x:c r="B84" s="191"/>
      <x:c r="C84" s="191"/>
      <x:c r="D84" s="191"/>
      <x:c r="E84" s="191"/>
      <x:c r="F84" s="191"/>
      <x:c r="G84" s="191"/>
      <x:c r="H84" s="191"/>
      <x:c r="I84" s="191"/>
      <x:c r="J84" s="191"/>
      <x:c r="K84" s="191"/>
      <x:c r="L84" s="191"/>
      <x:c r="M84" s="191"/>
      <x:c r="N84" s="191"/>
      <x:c r="O84" s="191"/>
      <x:c r="P84" s="191"/>
      <x:c r="Q84" s="191"/>
      <x:c r="R84" s="191"/>
      <x:c r="S84" s="191"/>
      <x:c r="T84" s="191"/>
      <x:c r="U84" s="191"/>
      <x:c r="V84" s="191"/>
      <x:c r="W84" s="191"/>
      <x:c r="X84" s="191"/>
      <x:c r="Y84" s="191"/>
      <x:c r="Z84" s="191"/>
      <x:c r="AA84" s="191"/>
      <x:c r="AB84" s="191"/>
      <x:c r="AC84" s="191"/>
      <x:c r="AD84" s="191"/>
      <x:c r="AE84" s="191"/>
      <x:c r="AF84" s="191"/>
      <x:c r="AG84" s="191"/>
      <x:c r="AH84" s="191"/>
      <x:c r="AI84" s="191"/>
      <x:c r="AJ84" s="191"/>
      <x:c r="AK84" s="191"/>
    </x:row>
    <x:row r="85">
      <x:c r="A85" s="191"/>
      <x:c r="B85" s="191"/>
      <x:c r="C85" s="191"/>
      <x:c r="D85" s="191"/>
      <x:c r="E85" s="191"/>
      <x:c r="F85" s="191"/>
      <x:c r="G85" s="191"/>
      <x:c r="H85" s="191"/>
      <x:c r="I85" s="191"/>
      <x:c r="J85" s="191"/>
      <x:c r="K85" s="191"/>
      <x:c r="L85" s="191"/>
      <x:c r="M85" s="191"/>
      <x:c r="N85" s="191"/>
      <x:c r="O85" s="191"/>
      <x:c r="P85" s="191"/>
      <x:c r="Q85" s="191"/>
      <x:c r="R85" s="191"/>
      <x:c r="S85" s="191"/>
      <x:c r="T85" s="191"/>
      <x:c r="U85" s="191"/>
      <x:c r="V85" s="191"/>
      <x:c r="W85" s="191"/>
      <x:c r="X85" s="191"/>
      <x:c r="Y85" s="191"/>
      <x:c r="Z85" s="191"/>
      <x:c r="AA85" s="191"/>
      <x:c r="AB85" s="191"/>
      <x:c r="AC85" s="191"/>
      <x:c r="AD85" s="191"/>
      <x:c r="AE85" s="191"/>
      <x:c r="AF85" s="191"/>
      <x:c r="AG85" s="191"/>
      <x:c r="AH85" s="191"/>
      <x:c r="AI85" s="191"/>
      <x:c r="AJ85" s="191"/>
      <x:c r="AK85" s="191"/>
    </x:row>
    <x:row r="86">
      <x:c r="A86" s="191"/>
      <x:c r="B86" s="191"/>
      <x:c r="C86" s="191"/>
      <x:c r="D86" s="191"/>
      <x:c r="E86" s="191"/>
      <x:c r="F86" s="191"/>
      <x:c r="G86" s="191"/>
      <x:c r="H86" s="191"/>
      <x:c r="I86" s="191"/>
      <x:c r="J86" s="191"/>
      <x:c r="K86" s="191"/>
      <x:c r="L86" s="191"/>
      <x:c r="M86" s="191"/>
      <x:c r="N86" s="191"/>
      <x:c r="O86" s="191"/>
      <x:c r="P86" s="191"/>
      <x:c r="Q86" s="191"/>
      <x:c r="R86" s="191"/>
      <x:c r="S86" s="191"/>
      <x:c r="T86" s="191"/>
      <x:c r="U86" s="191"/>
      <x:c r="V86" s="191"/>
      <x:c r="W86" s="191"/>
      <x:c r="X86" s="191"/>
      <x:c r="Y86" s="191"/>
      <x:c r="Z86" s="191"/>
      <x:c r="AA86" s="191"/>
      <x:c r="AB86" s="191"/>
      <x:c r="AC86" s="191"/>
      <x:c r="AD86" s="191"/>
      <x:c r="AE86" s="191"/>
      <x:c r="AF86" s="191"/>
      <x:c r="AG86" s="191"/>
      <x:c r="AH86" s="191"/>
      <x:c r="AI86" s="191"/>
      <x:c r="AJ86" s="191"/>
      <x:c r="AK86" s="191"/>
    </x:row>
    <x:row r="87">
      <x:c r="A87" s="191"/>
      <x:c r="B87" s="191"/>
      <x:c r="C87" s="191"/>
      <x:c r="D87" s="191"/>
      <x:c r="E87" s="191"/>
      <x:c r="F87" s="191"/>
      <x:c r="G87" s="191"/>
      <x:c r="H87" s="191"/>
      <x:c r="I87" s="191"/>
      <x:c r="J87" s="191"/>
      <x:c r="K87" s="191"/>
      <x:c r="L87" s="191"/>
      <x:c r="M87" s="191"/>
      <x:c r="N87" s="191"/>
      <x:c r="O87" s="191"/>
      <x:c r="P87" s="191"/>
      <x:c r="Q87" s="191"/>
      <x:c r="R87" s="191"/>
      <x:c r="S87" s="191"/>
      <x:c r="T87" s="191"/>
      <x:c r="U87" s="191"/>
      <x:c r="V87" s="191"/>
      <x:c r="W87" s="191"/>
      <x:c r="X87" s="191"/>
      <x:c r="Y87" s="191"/>
      <x:c r="Z87" s="191"/>
      <x:c r="AA87" s="191"/>
      <x:c r="AB87" s="191"/>
      <x:c r="AC87" s="191"/>
      <x:c r="AD87" s="191"/>
      <x:c r="AE87" s="191"/>
      <x:c r="AF87" s="191"/>
      <x:c r="AG87" s="191"/>
      <x:c r="AH87" s="191"/>
      <x:c r="AI87" s="191"/>
      <x:c r="AJ87" s="191"/>
      <x:c r="AK87" s="191"/>
    </x:row>
    <x:row r="88">
      <x:c r="A88" s="191"/>
      <x:c r="B88" s="191"/>
      <x:c r="C88" s="191"/>
      <x:c r="D88" s="191"/>
      <x:c r="E88" s="191"/>
      <x:c r="F88" s="191"/>
      <x:c r="G88" s="191"/>
      <x:c r="H88" s="191"/>
      <x:c r="I88" s="191"/>
      <x:c r="J88" s="191"/>
      <x:c r="K88" s="191"/>
      <x:c r="L88" s="191"/>
      <x:c r="M88" s="191"/>
      <x:c r="N88" s="191"/>
      <x:c r="O88" s="191"/>
      <x:c r="P88" s="191"/>
      <x:c r="Q88" s="191"/>
      <x:c r="R88" s="191"/>
      <x:c r="S88" s="191"/>
      <x:c r="T88" s="191"/>
      <x:c r="U88" s="191"/>
      <x:c r="V88" s="191"/>
      <x:c r="W88" s="191"/>
      <x:c r="X88" s="191"/>
      <x:c r="Y88" s="191"/>
      <x:c r="Z88" s="191"/>
      <x:c r="AA88" s="191"/>
      <x:c r="AB88" s="191"/>
      <x:c r="AC88" s="191"/>
      <x:c r="AD88" s="191"/>
      <x:c r="AE88" s="191"/>
      <x:c r="AF88" s="191"/>
      <x:c r="AG88" s="191"/>
      <x:c r="AH88" s="191"/>
      <x:c r="AI88" s="191"/>
      <x:c r="AJ88" s="191"/>
      <x:c r="AK88" s="191"/>
    </x:row>
    <x:row r="89">
      <x:c r="A89" s="191"/>
      <x:c r="B89" s="191"/>
      <x:c r="C89" s="191"/>
      <x:c r="D89" s="191"/>
      <x:c r="E89" s="191"/>
      <x:c r="F89" s="191"/>
      <x:c r="G89" s="191"/>
      <x:c r="H89" s="191"/>
      <x:c r="I89" s="191"/>
      <x:c r="J89" s="191"/>
      <x:c r="K89" s="191"/>
      <x:c r="L89" s="191"/>
      <x:c r="M89" s="191"/>
      <x:c r="N89" s="191"/>
      <x:c r="O89" s="191"/>
      <x:c r="P89" s="191"/>
      <x:c r="Q89" s="191"/>
      <x:c r="R89" s="191"/>
      <x:c r="S89" s="191"/>
      <x:c r="T89" s="191"/>
      <x:c r="U89" s="191"/>
      <x:c r="V89" s="191"/>
      <x:c r="W89" s="191"/>
      <x:c r="X89" s="191"/>
      <x:c r="Y89" s="191"/>
      <x:c r="Z89" s="191"/>
      <x:c r="AA89" s="191"/>
      <x:c r="AB89" s="191"/>
      <x:c r="AC89" s="191"/>
      <x:c r="AD89" s="191"/>
      <x:c r="AE89" s="191"/>
      <x:c r="AF89" s="191"/>
      <x:c r="AG89" s="191"/>
      <x:c r="AH89" s="191"/>
      <x:c r="AI89" s="191"/>
      <x:c r="AJ89" s="191"/>
      <x:c r="AK89" s="191"/>
    </x:row>
    <x:row r="90">
      <x:c r="A90" s="191"/>
      <x:c r="B90" s="191"/>
      <x:c r="C90" s="191"/>
      <x:c r="D90" s="191"/>
      <x:c r="E90" s="191"/>
      <x:c r="F90" s="191"/>
      <x:c r="G90" s="191"/>
      <x:c r="H90" s="191"/>
      <x:c r="I90" s="191"/>
      <x:c r="J90" s="191"/>
      <x:c r="K90" s="191"/>
      <x:c r="L90" s="191"/>
      <x:c r="M90" s="191"/>
      <x:c r="N90" s="191"/>
      <x:c r="O90" s="191"/>
      <x:c r="P90" s="191"/>
      <x:c r="Q90" s="191"/>
      <x:c r="R90" s="191"/>
      <x:c r="S90" s="191"/>
      <x:c r="T90" s="191"/>
      <x:c r="U90" s="191"/>
      <x:c r="V90" s="191"/>
      <x:c r="W90" s="191"/>
      <x:c r="X90" s="191"/>
      <x:c r="Y90" s="191"/>
      <x:c r="Z90" s="191"/>
      <x:c r="AA90" s="191"/>
      <x:c r="AB90" s="191"/>
      <x:c r="AC90" s="191"/>
      <x:c r="AD90" s="191"/>
      <x:c r="AE90" s="191"/>
      <x:c r="AF90" s="191"/>
      <x:c r="AG90" s="191"/>
      <x:c r="AH90" s="191"/>
      <x:c r="AI90" s="191"/>
      <x:c r="AJ90" s="191"/>
      <x:c r="AK90" s="191"/>
    </x:row>
    <x:row r="91">
      <x:c r="A91" s="191"/>
      <x:c r="B91" s="191"/>
      <x:c r="C91" s="191"/>
      <x:c r="D91" s="191"/>
      <x:c r="E91" s="191"/>
      <x:c r="F91" s="191"/>
      <x:c r="G91" s="191"/>
      <x:c r="H91" s="191"/>
      <x:c r="I91" s="191"/>
      <x:c r="J91" s="191"/>
      <x:c r="K91" s="191"/>
      <x:c r="L91" s="191"/>
      <x:c r="M91" s="191"/>
      <x:c r="N91" s="191"/>
      <x:c r="O91" s="191"/>
      <x:c r="P91" s="191"/>
      <x:c r="Q91" s="191"/>
      <x:c r="R91" s="191"/>
      <x:c r="S91" s="191"/>
      <x:c r="T91" s="191"/>
      <x:c r="U91" s="191"/>
      <x:c r="V91" s="191"/>
      <x:c r="W91" s="191"/>
      <x:c r="X91" s="191"/>
      <x:c r="Y91" s="191"/>
      <x:c r="Z91" s="191"/>
      <x:c r="AA91" s="191"/>
      <x:c r="AB91" s="191"/>
      <x:c r="AC91" s="191"/>
      <x:c r="AD91" s="191"/>
      <x:c r="AE91" s="191"/>
      <x:c r="AF91" s="191"/>
      <x:c r="AG91" s="191"/>
      <x:c r="AH91" s="191"/>
      <x:c r="AI91" s="191"/>
      <x:c r="AJ91" s="191"/>
      <x:c r="AK91" s="191"/>
    </x:row>
    <x:row r="92">
      <x:c r="A92" s="191"/>
      <x:c r="B92" s="191"/>
      <x:c r="C92" s="191"/>
      <x:c r="D92" s="191"/>
      <x:c r="E92" s="191"/>
      <x:c r="F92" s="191"/>
      <x:c r="G92" s="191"/>
      <x:c r="H92" s="191"/>
      <x:c r="I92" s="191"/>
      <x:c r="J92" s="191"/>
      <x:c r="K92" s="191"/>
      <x:c r="L92" s="191"/>
      <x:c r="M92" s="191"/>
      <x:c r="N92" s="191"/>
      <x:c r="O92" s="191"/>
      <x:c r="P92" s="191"/>
      <x:c r="Q92" s="191"/>
      <x:c r="R92" s="191"/>
      <x:c r="S92" s="191"/>
      <x:c r="T92" s="191"/>
      <x:c r="U92" s="191"/>
      <x:c r="V92" s="191"/>
      <x:c r="W92" s="191"/>
      <x:c r="X92" s="191"/>
      <x:c r="Y92" s="191"/>
      <x:c r="Z92" s="191"/>
      <x:c r="AA92" s="191"/>
      <x:c r="AB92" s="191"/>
      <x:c r="AC92" s="191"/>
      <x:c r="AD92" s="191"/>
      <x:c r="AE92" s="191"/>
      <x:c r="AF92" s="191"/>
      <x:c r="AG92" s="191"/>
      <x:c r="AH92" s="191"/>
      <x:c r="AI92" s="191"/>
      <x:c r="AJ92" s="191"/>
      <x:c r="AK92" s="191"/>
    </x:row>
    <x:row r="93">
      <x:c r="A93" s="191"/>
      <x:c r="B93" s="191"/>
      <x:c r="C93" s="191"/>
      <x:c r="D93" s="191"/>
      <x:c r="E93" s="191"/>
      <x:c r="F93" s="191"/>
      <x:c r="G93" s="191"/>
      <x:c r="H93" s="191"/>
      <x:c r="I93" s="191"/>
      <x:c r="J93" s="191"/>
      <x:c r="K93" s="191"/>
      <x:c r="L93" s="191"/>
      <x:c r="M93" s="191"/>
      <x:c r="N93" s="191"/>
      <x:c r="O93" s="191"/>
      <x:c r="P93" s="191"/>
      <x:c r="Q93" s="191"/>
      <x:c r="R93" s="191"/>
      <x:c r="S93" s="191"/>
      <x:c r="T93" s="191"/>
      <x:c r="U93" s="191"/>
      <x:c r="V93" s="191"/>
      <x:c r="W93" s="191"/>
      <x:c r="X93" s="191"/>
      <x:c r="Y93" s="191"/>
      <x:c r="Z93" s="191"/>
      <x:c r="AA93" s="191"/>
      <x:c r="AB93" s="191"/>
      <x:c r="AC93" s="191"/>
      <x:c r="AD93" s="191"/>
      <x:c r="AE93" s="191"/>
      <x:c r="AF93" s="191"/>
      <x:c r="AG93" s="191"/>
      <x:c r="AH93" s="191"/>
      <x:c r="AI93" s="191"/>
      <x:c r="AJ93" s="191"/>
      <x:c r="AK93" s="191"/>
    </x:row>
    <x:row r="94">
      <x:c r="A94" s="191"/>
      <x:c r="B94" s="191"/>
      <x:c r="C94" s="191"/>
      <x:c r="D94" s="191"/>
      <x:c r="E94" s="191"/>
      <x:c r="F94" s="191"/>
      <x:c r="G94" s="191"/>
      <x:c r="H94" s="191"/>
      <x:c r="I94" s="191"/>
      <x:c r="J94" s="191"/>
      <x:c r="K94" s="191"/>
      <x:c r="L94" s="191"/>
      <x:c r="M94" s="191"/>
      <x:c r="N94" s="191"/>
      <x:c r="O94" s="191"/>
      <x:c r="P94" s="191"/>
      <x:c r="Q94" s="191"/>
      <x:c r="R94" s="191"/>
      <x:c r="S94" s="191"/>
      <x:c r="T94" s="191"/>
      <x:c r="U94" s="191"/>
      <x:c r="V94" s="191"/>
      <x:c r="W94" s="191"/>
      <x:c r="X94" s="191"/>
      <x:c r="Y94" s="191"/>
      <x:c r="Z94" s="191"/>
      <x:c r="AA94" s="191"/>
      <x:c r="AB94" s="191"/>
      <x:c r="AC94" s="191"/>
      <x:c r="AD94" s="191"/>
      <x:c r="AE94" s="191"/>
      <x:c r="AF94" s="191"/>
      <x:c r="AG94" s="191"/>
      <x:c r="AH94" s="191"/>
      <x:c r="AI94" s="191"/>
      <x:c r="AJ94" s="191"/>
      <x:c r="AK94" s="191"/>
    </x:row>
    <x:row r="95">
      <x:c r="A95" s="191"/>
      <x:c r="B95" s="191"/>
      <x:c r="C95" s="191"/>
      <x:c r="D95" s="191"/>
      <x:c r="E95" s="191"/>
      <x:c r="F95" s="191"/>
      <x:c r="G95" s="191"/>
      <x:c r="H95" s="191"/>
      <x:c r="I95" s="191"/>
      <x:c r="J95" s="191"/>
      <x:c r="K95" s="191"/>
      <x:c r="L95" s="191"/>
      <x:c r="M95" s="191"/>
      <x:c r="N95" s="191"/>
      <x:c r="O95" s="191"/>
      <x:c r="P95" s="191"/>
      <x:c r="Q95" s="191"/>
      <x:c r="R95" s="191"/>
      <x:c r="S95" s="191"/>
      <x:c r="T95" s="191"/>
      <x:c r="U95" s="191"/>
      <x:c r="V95" s="191"/>
      <x:c r="W95" s="191"/>
      <x:c r="X95" s="191"/>
      <x:c r="Y95" s="191"/>
      <x:c r="Z95" s="191"/>
      <x:c r="AA95" s="191"/>
      <x:c r="AB95" s="191"/>
      <x:c r="AC95" s="191"/>
      <x:c r="AD95" s="191"/>
      <x:c r="AE95" s="191"/>
      <x:c r="AF95" s="191"/>
      <x:c r="AG95" s="191"/>
      <x:c r="AH95" s="191"/>
      <x:c r="AI95" s="191"/>
      <x:c r="AJ95" s="191"/>
      <x:c r="AK95" s="191"/>
    </x:row>
    <x:row r="96">
      <x:c r="A96" s="191"/>
      <x:c r="B96" s="191"/>
      <x:c r="C96" s="191"/>
      <x:c r="D96" s="191"/>
      <x:c r="E96" s="191"/>
      <x:c r="F96" s="191"/>
      <x:c r="G96" s="191"/>
      <x:c r="H96" s="191"/>
      <x:c r="I96" s="191"/>
      <x:c r="J96" s="191"/>
      <x:c r="K96" s="191"/>
      <x:c r="L96" s="191"/>
      <x:c r="M96" s="191"/>
      <x:c r="N96" s="191"/>
      <x:c r="O96" s="191"/>
      <x:c r="P96" s="191"/>
      <x:c r="Q96" s="191"/>
      <x:c r="R96" s="191"/>
      <x:c r="S96" s="191"/>
      <x:c r="T96" s="191"/>
      <x:c r="U96" s="191"/>
      <x:c r="V96" s="191"/>
      <x:c r="W96" s="191"/>
      <x:c r="X96" s="191"/>
      <x:c r="Y96" s="191"/>
      <x:c r="Z96" s="191"/>
      <x:c r="AA96" s="191"/>
      <x:c r="AB96" s="191"/>
      <x:c r="AC96" s="191"/>
      <x:c r="AD96" s="191"/>
      <x:c r="AE96" s="191"/>
      <x:c r="AF96" s="191"/>
      <x:c r="AG96" s="191"/>
      <x:c r="AH96" s="191"/>
      <x:c r="AI96" s="191"/>
      <x:c r="AJ96" s="191"/>
      <x:c r="AK96" s="191"/>
    </x:row>
    <x:row r="97">
      <x:c r="A97" s="191"/>
      <x:c r="B97" s="191"/>
      <x:c r="C97" s="191"/>
      <x:c r="D97" s="191"/>
      <x:c r="E97" s="191"/>
      <x:c r="F97" s="191"/>
      <x:c r="G97" s="191"/>
      <x:c r="H97" s="191"/>
      <x:c r="I97" s="191"/>
      <x:c r="J97" s="191"/>
      <x:c r="K97" s="191"/>
      <x:c r="L97" s="191"/>
      <x:c r="M97" s="191"/>
      <x:c r="N97" s="191"/>
      <x:c r="O97" s="191"/>
      <x:c r="P97" s="191"/>
      <x:c r="Q97" s="191"/>
      <x:c r="R97" s="191"/>
      <x:c r="S97" s="191"/>
      <x:c r="T97" s="191"/>
      <x:c r="U97" s="191"/>
      <x:c r="V97" s="191"/>
      <x:c r="W97" s="191"/>
      <x:c r="X97" s="191"/>
      <x:c r="Y97" s="191"/>
      <x:c r="Z97" s="191"/>
      <x:c r="AA97" s="191"/>
      <x:c r="AB97" s="191"/>
      <x:c r="AC97" s="191"/>
      <x:c r="AD97" s="191"/>
      <x:c r="AE97" s="191"/>
      <x:c r="AF97" s="191"/>
      <x:c r="AG97" s="191"/>
      <x:c r="AH97" s="191"/>
      <x:c r="AI97" s="191"/>
      <x:c r="AJ97" s="191"/>
      <x:c r="AK97" s="191"/>
    </x:row>
    <x:row r="98">
      <x:c r="A98" s="191"/>
      <x:c r="B98" s="191"/>
      <x:c r="C98" s="191"/>
      <x:c r="D98" s="191"/>
      <x:c r="E98" s="191"/>
      <x:c r="F98" s="191"/>
      <x:c r="G98" s="191"/>
      <x:c r="H98" s="191"/>
      <x:c r="I98" s="191"/>
      <x:c r="J98" s="191"/>
      <x:c r="K98" s="191"/>
      <x:c r="L98" s="191"/>
      <x:c r="M98" s="191"/>
      <x:c r="N98" s="191"/>
      <x:c r="O98" s="191"/>
      <x:c r="P98" s="191"/>
      <x:c r="Q98" s="191"/>
      <x:c r="R98" s="191"/>
      <x:c r="S98" s="191"/>
      <x:c r="T98" s="191"/>
      <x:c r="U98" s="191"/>
      <x:c r="V98" s="191"/>
      <x:c r="W98" s="191"/>
      <x:c r="X98" s="191"/>
      <x:c r="Y98" s="191"/>
      <x:c r="Z98" s="191"/>
      <x:c r="AA98" s="191"/>
      <x:c r="AB98" s="191"/>
      <x:c r="AC98" s="191"/>
      <x:c r="AD98" s="191"/>
      <x:c r="AE98" s="191"/>
      <x:c r="AF98" s="191"/>
      <x:c r="AG98" s="191"/>
      <x:c r="AH98" s="191"/>
      <x:c r="AI98" s="191"/>
      <x:c r="AJ98" s="191"/>
      <x:c r="AK98" s="191"/>
    </x:row>
    <x:row r="99">
      <x:c r="A99" s="191"/>
      <x:c r="B99" s="191"/>
      <x:c r="C99" s="191"/>
      <x:c r="D99" s="191"/>
      <x:c r="E99" s="191"/>
      <x:c r="F99" s="191"/>
      <x:c r="G99" s="191"/>
      <x:c r="H99" s="191"/>
      <x:c r="I99" s="191"/>
      <x:c r="J99" s="191"/>
      <x:c r="K99" s="191"/>
      <x:c r="L99" s="191"/>
      <x:c r="M99" s="191"/>
      <x:c r="N99" s="191"/>
      <x:c r="O99" s="191"/>
      <x:c r="P99" s="191"/>
      <x:c r="Q99" s="191"/>
      <x:c r="R99" s="191"/>
      <x:c r="S99" s="191"/>
      <x:c r="T99" s="191"/>
      <x:c r="U99" s="191"/>
      <x:c r="V99" s="191"/>
      <x:c r="W99" s="191"/>
      <x:c r="X99" s="191"/>
      <x:c r="Y99" s="191"/>
      <x:c r="Z99" s="191"/>
      <x:c r="AA99" s="191"/>
      <x:c r="AB99" s="191"/>
      <x:c r="AC99" s="191"/>
      <x:c r="AD99" s="191"/>
      <x:c r="AE99" s="191"/>
      <x:c r="AF99" s="191"/>
      <x:c r="AG99" s="191"/>
      <x:c r="AH99" s="191"/>
      <x:c r="AI99" s="191"/>
      <x:c r="AJ99" s="191"/>
      <x:c r="AK99" s="191"/>
    </x:row>
    <x:row r="100">
      <x:c r="A100" s="191"/>
      <x:c r="B100" s="191"/>
      <x:c r="C100" s="191"/>
      <x:c r="D100" s="191"/>
      <x:c r="E100" s="191"/>
      <x:c r="F100" s="191"/>
      <x:c r="G100" s="191"/>
      <x:c r="H100" s="191"/>
      <x:c r="I100" s="191"/>
      <x:c r="J100" s="191"/>
      <x:c r="K100" s="191"/>
      <x:c r="L100" s="191"/>
      <x:c r="M100" s="191"/>
      <x:c r="N100" s="191"/>
      <x:c r="O100" s="191"/>
      <x:c r="P100" s="191"/>
      <x:c r="Q100" s="191"/>
      <x:c r="R100" s="191"/>
      <x:c r="S100" s="191"/>
      <x:c r="T100" s="191"/>
      <x:c r="U100" s="191"/>
      <x:c r="V100" s="191"/>
      <x:c r="W100" s="191"/>
      <x:c r="X100" s="191"/>
      <x:c r="Y100" s="191"/>
      <x:c r="Z100" s="191"/>
      <x:c r="AA100" s="191"/>
      <x:c r="AB100" s="191"/>
      <x:c r="AC100" s="191"/>
      <x:c r="AD100" s="191"/>
      <x:c r="AE100" s="191"/>
      <x:c r="AF100" s="191"/>
      <x:c r="AG100" s="191"/>
      <x:c r="AH100" s="191"/>
      <x:c r="AI100" s="191"/>
      <x:c r="AJ100" s="191"/>
      <x:c r="AK100" s="191"/>
    </x:row>
    <x:row r="101">
      <x:c r="A101" s="191"/>
      <x:c r="B101" s="191"/>
      <x:c r="C101" s="191"/>
      <x:c r="D101" s="191"/>
      <x:c r="E101" s="191"/>
      <x:c r="F101" s="191"/>
      <x:c r="G101" s="191"/>
      <x:c r="H101" s="191"/>
      <x:c r="I101" s="191"/>
      <x:c r="J101" s="191"/>
      <x:c r="K101" s="191"/>
      <x:c r="L101" s="191"/>
      <x:c r="M101" s="191"/>
      <x:c r="N101" s="191"/>
      <x:c r="O101" s="191"/>
      <x:c r="P101" s="191"/>
      <x:c r="Q101" s="191"/>
      <x:c r="R101" s="191"/>
      <x:c r="S101" s="191"/>
      <x:c r="T101" s="191"/>
      <x:c r="U101" s="191"/>
      <x:c r="V101" s="191"/>
      <x:c r="W101" s="191"/>
      <x:c r="X101" s="191"/>
      <x:c r="Y101" s="191"/>
      <x:c r="Z101" s="191"/>
      <x:c r="AA101" s="191"/>
      <x:c r="AB101" s="191"/>
      <x:c r="AC101" s="191"/>
      <x:c r="AD101" s="191"/>
      <x:c r="AE101" s="191"/>
      <x:c r="AF101" s="191"/>
      <x:c r="AG101" s="191"/>
      <x:c r="AH101" s="191"/>
      <x:c r="AI101" s="191"/>
      <x:c r="AJ101" s="191"/>
      <x:c r="AK101" s="191"/>
    </x:row>
    <x:row r="102">
      <x:c r="A102" s="191"/>
      <x:c r="B102" s="191"/>
      <x:c r="C102" s="191"/>
      <x:c r="D102" s="191"/>
      <x:c r="E102" s="191"/>
      <x:c r="F102" s="191"/>
      <x:c r="G102" s="191"/>
      <x:c r="H102" s="191"/>
      <x:c r="I102" s="191"/>
      <x:c r="J102" s="191"/>
      <x:c r="K102" s="191"/>
      <x:c r="L102" s="191"/>
      <x:c r="M102" s="191"/>
      <x:c r="N102" s="191"/>
      <x:c r="O102" s="191"/>
      <x:c r="P102" s="191"/>
      <x:c r="Q102" s="191"/>
      <x:c r="R102" s="191"/>
      <x:c r="S102" s="191"/>
      <x:c r="T102" s="191"/>
      <x:c r="U102" s="191"/>
      <x:c r="V102" s="191"/>
      <x:c r="W102" s="191"/>
      <x:c r="X102" s="191"/>
      <x:c r="Y102" s="191"/>
      <x:c r="Z102" s="191"/>
      <x:c r="AA102" s="191"/>
      <x:c r="AB102" s="191"/>
      <x:c r="AC102" s="191"/>
      <x:c r="AD102" s="191"/>
      <x:c r="AE102" s="191"/>
      <x:c r="AF102" s="191"/>
      <x:c r="AG102" s="191"/>
      <x:c r="AH102" s="191"/>
      <x:c r="AI102" s="191"/>
      <x:c r="AJ102" s="191"/>
      <x:c r="AK102" s="191"/>
    </x:row>
    <x:row r="103">
      <x:c r="A103" s="191"/>
      <x:c r="B103" s="191"/>
      <x:c r="C103" s="191"/>
      <x:c r="D103" s="191"/>
      <x:c r="E103" s="191"/>
      <x:c r="F103" s="191"/>
      <x:c r="G103" s="191"/>
      <x:c r="H103" s="191"/>
      <x:c r="I103" s="191"/>
      <x:c r="J103" s="191"/>
      <x:c r="K103" s="191"/>
      <x:c r="L103" s="191"/>
      <x:c r="M103" s="191"/>
      <x:c r="N103" s="191"/>
      <x:c r="O103" s="191"/>
      <x:c r="P103" s="191"/>
      <x:c r="Q103" s="191"/>
      <x:c r="R103" s="191"/>
      <x:c r="S103" s="191"/>
      <x:c r="T103" s="191"/>
      <x:c r="U103" s="191"/>
      <x:c r="V103" s="191"/>
      <x:c r="W103" s="191"/>
      <x:c r="X103" s="191"/>
      <x:c r="Y103" s="191"/>
      <x:c r="Z103" s="191"/>
      <x:c r="AA103" s="191"/>
      <x:c r="AB103" s="191"/>
      <x:c r="AC103" s="191"/>
      <x:c r="AD103" s="191"/>
      <x:c r="AE103" s="191"/>
      <x:c r="AF103" s="191"/>
      <x:c r="AG103" s="191"/>
      <x:c r="AH103" s="191"/>
      <x:c r="AI103" s="191"/>
      <x:c r="AJ103" s="191"/>
      <x:c r="AK103" s="191"/>
    </x:row>
    <x:row r="104">
      <x:c r="A104" s="191"/>
      <x:c r="B104" s="191"/>
      <x:c r="C104" s="191"/>
      <x:c r="D104" s="191"/>
      <x:c r="E104" s="191"/>
      <x:c r="F104" s="191"/>
      <x:c r="G104" s="191"/>
      <x:c r="H104" s="191"/>
      <x:c r="I104" s="191"/>
      <x:c r="J104" s="191"/>
      <x:c r="K104" s="191"/>
      <x:c r="L104" s="191"/>
      <x:c r="M104" s="191"/>
      <x:c r="N104" s="191"/>
      <x:c r="O104" s="191"/>
      <x:c r="P104" s="191"/>
      <x:c r="Q104" s="191"/>
      <x:c r="R104" s="191"/>
      <x:c r="S104" s="191"/>
      <x:c r="T104" s="191"/>
      <x:c r="U104" s="191"/>
      <x:c r="V104" s="191"/>
      <x:c r="W104" s="191"/>
      <x:c r="X104" s="191"/>
      <x:c r="Y104" s="191"/>
      <x:c r="Z104" s="191"/>
      <x:c r="AA104" s="191"/>
      <x:c r="AB104" s="191"/>
      <x:c r="AC104" s="191"/>
      <x:c r="AD104" s="191"/>
      <x:c r="AE104" s="191"/>
      <x:c r="AF104" s="191"/>
      <x:c r="AG104" s="191"/>
      <x:c r="AH104" s="191"/>
      <x:c r="AI104" s="191"/>
      <x:c r="AJ104" s="191"/>
      <x:c r="AK104" s="191"/>
    </x:row>
    <x:row r="105">
      <x:c r="A105" s="191"/>
      <x:c r="B105" s="191"/>
      <x:c r="C105" s="191"/>
      <x:c r="D105" s="191"/>
      <x:c r="E105" s="191"/>
      <x:c r="F105" s="191"/>
      <x:c r="G105" s="191"/>
      <x:c r="H105" s="191"/>
      <x:c r="I105" s="191"/>
      <x:c r="J105" s="191"/>
      <x:c r="K105" s="191"/>
      <x:c r="L105" s="191"/>
      <x:c r="M105" s="191"/>
      <x:c r="N105" s="191"/>
      <x:c r="O105" s="191"/>
      <x:c r="P105" s="191"/>
      <x:c r="Q105" s="191"/>
      <x:c r="R105" s="191"/>
      <x:c r="S105" s="191"/>
      <x:c r="T105" s="191"/>
      <x:c r="U105" s="191"/>
      <x:c r="V105" s="191"/>
      <x:c r="W105" s="191"/>
      <x:c r="X105" s="191"/>
      <x:c r="Y105" s="191"/>
      <x:c r="Z105" s="191"/>
      <x:c r="AA105" s="191"/>
      <x:c r="AB105" s="191"/>
      <x:c r="AC105" s="191"/>
      <x:c r="AD105" s="191"/>
      <x:c r="AE105" s="191"/>
      <x:c r="AF105" s="191"/>
      <x:c r="AG105" s="191"/>
      <x:c r="AH105" s="191"/>
      <x:c r="AI105" s="191"/>
      <x:c r="AJ105" s="191"/>
      <x:c r="AK105" s="191"/>
    </x:row>
    <x:row r="106">
      <x:c r="A106" s="191"/>
      <x:c r="B106" s="191"/>
      <x:c r="C106" s="191"/>
      <x:c r="D106" s="191"/>
      <x:c r="E106" s="191"/>
      <x:c r="F106" s="191"/>
      <x:c r="G106" s="191"/>
      <x:c r="H106" s="191"/>
      <x:c r="I106" s="191"/>
      <x:c r="J106" s="191"/>
      <x:c r="K106" s="191"/>
      <x:c r="L106" s="191"/>
      <x:c r="M106" s="191"/>
      <x:c r="N106" s="191"/>
      <x:c r="O106" s="191"/>
      <x:c r="P106" s="191"/>
      <x:c r="Q106" s="191"/>
      <x:c r="R106" s="191"/>
      <x:c r="S106" s="191"/>
      <x:c r="T106" s="191"/>
      <x:c r="U106" s="191"/>
      <x:c r="V106" s="191"/>
      <x:c r="W106" s="191"/>
      <x:c r="X106" s="191"/>
      <x:c r="Y106" s="191"/>
      <x:c r="Z106" s="191"/>
      <x:c r="AA106" s="191"/>
      <x:c r="AB106" s="191"/>
      <x:c r="AC106" s="191"/>
      <x:c r="AD106" s="191"/>
      <x:c r="AE106" s="191"/>
      <x:c r="AF106" s="191"/>
      <x:c r="AG106" s="191"/>
      <x:c r="AH106" s="191"/>
      <x:c r="AI106" s="191"/>
      <x:c r="AJ106" s="191"/>
      <x:c r="AK106" s="191"/>
    </x:row>
    <x:row r="107">
      <x:c r="A107" s="191"/>
      <x:c r="B107" s="191"/>
      <x:c r="C107" s="191"/>
      <x:c r="D107" s="191"/>
      <x:c r="E107" s="191"/>
      <x:c r="F107" s="191"/>
      <x:c r="G107" s="191"/>
      <x:c r="H107" s="191"/>
      <x:c r="I107" s="191"/>
      <x:c r="J107" s="191"/>
      <x:c r="K107" s="191"/>
      <x:c r="L107" s="191"/>
      <x:c r="M107" s="191"/>
      <x:c r="N107" s="191"/>
      <x:c r="O107" s="191"/>
      <x:c r="P107" s="191"/>
      <x:c r="Q107" s="191"/>
      <x:c r="R107" s="191"/>
      <x:c r="S107" s="191"/>
      <x:c r="T107" s="191"/>
      <x:c r="U107" s="191"/>
      <x:c r="V107" s="191"/>
      <x:c r="W107" s="191"/>
      <x:c r="X107" s="191"/>
      <x:c r="Y107" s="191"/>
      <x:c r="Z107" s="191"/>
      <x:c r="AA107" s="191"/>
      <x:c r="AB107" s="191"/>
      <x:c r="AC107" s="191"/>
      <x:c r="AD107" s="191"/>
      <x:c r="AE107" s="191"/>
      <x:c r="AF107" s="191"/>
      <x:c r="AG107" s="191"/>
      <x:c r="AH107" s="191"/>
      <x:c r="AI107" s="191"/>
      <x:c r="AJ107" s="191"/>
      <x:c r="AK107" s="191"/>
    </x:row>
    <x:row r="108">
      <x:c r="A108" s="191"/>
      <x:c r="B108" s="191"/>
      <x:c r="C108" s="191"/>
      <x:c r="D108" s="191"/>
      <x:c r="E108" s="191"/>
      <x:c r="F108" s="191"/>
      <x:c r="G108" s="191"/>
      <x:c r="H108" s="191"/>
      <x:c r="I108" s="191"/>
      <x:c r="J108" s="191"/>
      <x:c r="K108" s="191"/>
      <x:c r="L108" s="191"/>
      <x:c r="M108" s="191"/>
      <x:c r="N108" s="191"/>
      <x:c r="O108" s="191"/>
      <x:c r="P108" s="191"/>
      <x:c r="Q108" s="191"/>
      <x:c r="R108" s="191"/>
      <x:c r="S108" s="191"/>
      <x:c r="T108" s="191"/>
      <x:c r="U108" s="191"/>
      <x:c r="V108" s="191"/>
      <x:c r="W108" s="191"/>
      <x:c r="X108" s="191"/>
      <x:c r="Y108" s="191"/>
      <x:c r="Z108" s="191"/>
      <x:c r="AA108" s="191"/>
      <x:c r="AB108" s="191"/>
      <x:c r="AC108" s="191"/>
      <x:c r="AD108" s="191"/>
      <x:c r="AE108" s="191"/>
      <x:c r="AF108" s="191"/>
      <x:c r="AG108" s="191"/>
      <x:c r="AH108" s="191"/>
      <x:c r="AI108" s="191"/>
      <x:c r="AJ108" s="191"/>
      <x:c r="AK108" s="191"/>
    </x:row>
    <x:row r="109">
      <x:c r="A109" s="191"/>
      <x:c r="B109" s="191"/>
      <x:c r="C109" s="191"/>
      <x:c r="D109" s="191"/>
      <x:c r="E109" s="191"/>
      <x:c r="F109" s="191"/>
      <x:c r="G109" s="191"/>
      <x:c r="H109" s="191"/>
      <x:c r="I109" s="191"/>
      <x:c r="J109" s="191"/>
      <x:c r="K109" s="191"/>
      <x:c r="L109" s="191"/>
      <x:c r="M109" s="191"/>
      <x:c r="N109" s="191"/>
      <x:c r="O109" s="191"/>
      <x:c r="P109" s="191"/>
      <x:c r="Q109" s="191"/>
      <x:c r="R109" s="191"/>
      <x:c r="S109" s="191"/>
      <x:c r="T109" s="191"/>
      <x:c r="U109" s="191"/>
      <x:c r="V109" s="191"/>
      <x:c r="W109" s="191"/>
      <x:c r="X109" s="191"/>
      <x:c r="Y109" s="191"/>
      <x:c r="Z109" s="191"/>
      <x:c r="AA109" s="191"/>
      <x:c r="AB109" s="191"/>
      <x:c r="AC109" s="191"/>
      <x:c r="AD109" s="191"/>
      <x:c r="AE109" s="191"/>
      <x:c r="AF109" s="191"/>
      <x:c r="AG109" s="191"/>
      <x:c r="AH109" s="191"/>
      <x:c r="AI109" s="191"/>
      <x:c r="AJ109" s="191"/>
      <x:c r="AK109" s="191"/>
    </x:row>
    <x:row r="110">
      <x:c r="A110" s="191"/>
      <x:c r="B110" s="191"/>
      <x:c r="C110" s="191"/>
      <x:c r="D110" s="191"/>
      <x:c r="E110" s="191"/>
      <x:c r="F110" s="191"/>
      <x:c r="G110" s="191"/>
      <x:c r="H110" s="191"/>
      <x:c r="I110" s="191"/>
      <x:c r="J110" s="191"/>
      <x:c r="K110" s="191"/>
      <x:c r="L110" s="191"/>
      <x:c r="M110" s="191"/>
      <x:c r="N110" s="191"/>
      <x:c r="O110" s="191"/>
      <x:c r="P110" s="191"/>
      <x:c r="Q110" s="191"/>
      <x:c r="R110" s="191"/>
      <x:c r="S110" s="191"/>
      <x:c r="T110" s="191"/>
      <x:c r="U110" s="191"/>
      <x:c r="V110" s="191"/>
      <x:c r="W110" s="191"/>
      <x:c r="X110" s="191"/>
      <x:c r="Y110" s="191"/>
      <x:c r="Z110" s="191"/>
      <x:c r="AA110" s="191"/>
      <x:c r="AB110" s="191"/>
      <x:c r="AC110" s="191"/>
      <x:c r="AD110" s="191"/>
      <x:c r="AE110" s="191"/>
      <x:c r="AF110" s="191"/>
      <x:c r="AG110" s="191"/>
      <x:c r="AH110" s="191"/>
      <x:c r="AI110" s="191"/>
      <x:c r="AJ110" s="191"/>
      <x:c r="AK110" s="191"/>
    </x:row>
    <x:row r="111">
      <x:c r="A111" s="191"/>
      <x:c r="B111" s="191"/>
      <x:c r="C111" s="191"/>
      <x:c r="D111" s="191"/>
      <x:c r="E111" s="191"/>
      <x:c r="F111" s="191"/>
      <x:c r="G111" s="191"/>
      <x:c r="H111" s="191"/>
      <x:c r="I111" s="191"/>
      <x:c r="J111" s="191"/>
      <x:c r="K111" s="191"/>
      <x:c r="L111" s="191"/>
      <x:c r="M111" s="191"/>
      <x:c r="N111" s="191"/>
      <x:c r="O111" s="191"/>
      <x:c r="P111" s="191"/>
      <x:c r="Q111" s="191"/>
      <x:c r="R111" s="191"/>
      <x:c r="S111" s="191"/>
      <x:c r="T111" s="191"/>
      <x:c r="U111" s="191"/>
      <x:c r="V111" s="191"/>
      <x:c r="W111" s="191"/>
      <x:c r="X111" s="191"/>
      <x:c r="Y111" s="191"/>
      <x:c r="Z111" s="191"/>
      <x:c r="AA111" s="191"/>
      <x:c r="AB111" s="191"/>
      <x:c r="AC111" s="191"/>
      <x:c r="AD111" s="191"/>
      <x:c r="AE111" s="191"/>
      <x:c r="AF111" s="191"/>
      <x:c r="AG111" s="191"/>
      <x:c r="AH111" s="191"/>
      <x:c r="AI111" s="191"/>
      <x:c r="AJ111" s="191"/>
      <x:c r="AK111" s="191"/>
    </x:row>
    <x:row r="112">
      <x:c r="A112" s="191"/>
      <x:c r="B112" s="191"/>
      <x:c r="C112" s="191"/>
      <x:c r="D112" s="191"/>
      <x:c r="E112" s="191"/>
      <x:c r="F112" s="191"/>
      <x:c r="G112" s="191"/>
      <x:c r="H112" s="191"/>
      <x:c r="I112" s="191"/>
      <x:c r="J112" s="191"/>
      <x:c r="K112" s="191"/>
      <x:c r="L112" s="191"/>
      <x:c r="M112" s="191"/>
      <x:c r="N112" s="191"/>
      <x:c r="O112" s="191"/>
      <x:c r="P112" s="191"/>
      <x:c r="Q112" s="191"/>
      <x:c r="R112" s="191"/>
      <x:c r="S112" s="191"/>
      <x:c r="T112" s="191"/>
      <x:c r="U112" s="191"/>
      <x:c r="V112" s="191"/>
      <x:c r="W112" s="191"/>
      <x:c r="X112" s="191"/>
      <x:c r="Y112" s="191"/>
      <x:c r="Z112" s="191"/>
      <x:c r="AA112" s="191"/>
      <x:c r="AB112" s="191"/>
      <x:c r="AC112" s="191"/>
      <x:c r="AD112" s="191"/>
      <x:c r="AE112" s="191"/>
      <x:c r="AF112" s="191"/>
      <x:c r="AG112" s="191"/>
      <x:c r="AH112" s="191"/>
      <x:c r="AI112" s="191"/>
      <x:c r="AJ112" s="191"/>
      <x:c r="AK112" s="191"/>
    </x:row>
    <x:row r="113">
      <x:c r="A113" s="191"/>
      <x:c r="B113" s="191"/>
      <x:c r="C113" s="191"/>
      <x:c r="D113" s="191"/>
      <x:c r="E113" s="191"/>
      <x:c r="F113" s="191"/>
      <x:c r="G113" s="191"/>
      <x:c r="H113" s="191"/>
      <x:c r="I113" s="191"/>
      <x:c r="J113" s="191"/>
      <x:c r="K113" s="191"/>
      <x:c r="L113" s="191"/>
      <x:c r="M113" s="191"/>
      <x:c r="N113" s="191"/>
      <x:c r="O113" s="191"/>
      <x:c r="P113" s="191"/>
      <x:c r="Q113" s="191"/>
      <x:c r="R113" s="191"/>
      <x:c r="S113" s="191"/>
      <x:c r="T113" s="191"/>
      <x:c r="U113" s="191"/>
      <x:c r="V113" s="191"/>
      <x:c r="W113" s="191"/>
      <x:c r="X113" s="191"/>
      <x:c r="Y113" s="191"/>
      <x:c r="Z113" s="191"/>
      <x:c r="AA113" s="191"/>
      <x:c r="AB113" s="191"/>
      <x:c r="AC113" s="191"/>
      <x:c r="AD113" s="191"/>
      <x:c r="AE113" s="191"/>
      <x:c r="AF113" s="191"/>
      <x:c r="AG113" s="191"/>
      <x:c r="AH113" s="191"/>
      <x:c r="AI113" s="191"/>
      <x:c r="AJ113" s="191"/>
      <x:c r="AK113" s="191"/>
    </x:row>
    <x:row r="114">
      <x:c r="A114" s="191"/>
      <x:c r="B114" s="191"/>
      <x:c r="C114" s="191"/>
      <x:c r="D114" s="191"/>
      <x:c r="E114" s="191"/>
      <x:c r="F114" s="191"/>
      <x:c r="G114" s="191"/>
      <x:c r="H114" s="191"/>
      <x:c r="I114" s="191"/>
      <x:c r="J114" s="191"/>
      <x:c r="K114" s="191"/>
      <x:c r="L114" s="191"/>
      <x:c r="M114" s="191"/>
      <x:c r="N114" s="191"/>
      <x:c r="O114" s="191"/>
      <x:c r="P114" s="191"/>
      <x:c r="Q114" s="191"/>
      <x:c r="R114" s="191"/>
      <x:c r="S114" s="191"/>
      <x:c r="T114" s="191"/>
      <x:c r="U114" s="191"/>
      <x:c r="V114" s="191"/>
      <x:c r="W114" s="191"/>
      <x:c r="X114" s="191"/>
      <x:c r="Y114" s="191"/>
      <x:c r="Z114" s="191"/>
      <x:c r="AA114" s="191"/>
      <x:c r="AB114" s="191"/>
      <x:c r="AC114" s="191"/>
      <x:c r="AD114" s="191"/>
      <x:c r="AE114" s="191"/>
      <x:c r="AF114" s="191"/>
      <x:c r="AG114" s="191"/>
      <x:c r="AH114" s="191"/>
      <x:c r="AI114" s="191"/>
      <x:c r="AJ114" s="191"/>
      <x:c r="AK114" s="191"/>
    </x:row>
    <x:row r="115">
      <x:c r="A115" s="191"/>
      <x:c r="B115" s="191"/>
      <x:c r="C115" s="191"/>
      <x:c r="D115" s="191"/>
      <x:c r="E115" s="191"/>
      <x:c r="F115" s="191"/>
      <x:c r="G115" s="191"/>
      <x:c r="H115" s="191"/>
      <x:c r="I115" s="191"/>
      <x:c r="J115" s="191"/>
      <x:c r="K115" s="191"/>
      <x:c r="L115" s="191"/>
      <x:c r="M115" s="191"/>
      <x:c r="N115" s="191"/>
      <x:c r="O115" s="191"/>
      <x:c r="P115" s="191"/>
      <x:c r="Q115" s="191"/>
      <x:c r="R115" s="191"/>
      <x:c r="S115" s="191"/>
      <x:c r="T115" s="191"/>
      <x:c r="U115" s="191"/>
      <x:c r="V115" s="191"/>
      <x:c r="W115" s="191"/>
      <x:c r="X115" s="191"/>
      <x:c r="Y115" s="191"/>
      <x:c r="Z115" s="191"/>
      <x:c r="AA115" s="191"/>
      <x:c r="AB115" s="191"/>
      <x:c r="AC115" s="191"/>
      <x:c r="AD115" s="191"/>
      <x:c r="AE115" s="191"/>
      <x:c r="AF115" s="191"/>
      <x:c r="AG115" s="191"/>
      <x:c r="AH115" s="191"/>
      <x:c r="AI115" s="191"/>
      <x:c r="AJ115" s="191"/>
      <x:c r="AK115" s="191"/>
    </x:row>
    <x:row r="116">
      <x:c r="A116" s="191"/>
      <x:c r="B116" s="191"/>
      <x:c r="C116" s="191"/>
      <x:c r="D116" s="191"/>
      <x:c r="E116" s="191"/>
      <x:c r="F116" s="191"/>
      <x:c r="G116" s="191"/>
      <x:c r="H116" s="191"/>
      <x:c r="I116" s="191"/>
      <x:c r="J116" s="191"/>
      <x:c r="K116" s="191"/>
      <x:c r="L116" s="191"/>
      <x:c r="M116" s="191"/>
      <x:c r="N116" s="191"/>
      <x:c r="O116" s="191"/>
      <x:c r="P116" s="191"/>
      <x:c r="Q116" s="191"/>
      <x:c r="R116" s="191"/>
      <x:c r="S116" s="191"/>
      <x:c r="T116" s="191"/>
      <x:c r="U116" s="191"/>
      <x:c r="V116" s="191"/>
      <x:c r="W116" s="191"/>
      <x:c r="X116" s="191"/>
      <x:c r="Y116" s="191"/>
      <x:c r="Z116" s="191"/>
      <x:c r="AA116" s="191"/>
      <x:c r="AB116" s="191"/>
      <x:c r="AC116" s="191"/>
      <x:c r="AD116" s="191"/>
      <x:c r="AE116" s="191"/>
      <x:c r="AF116" s="191"/>
      <x:c r="AG116" s="191"/>
      <x:c r="AH116" s="191"/>
      <x:c r="AI116" s="191"/>
      <x:c r="AJ116" s="191"/>
      <x:c r="AK116" s="191"/>
    </x:row>
    <x:row r="117">
      <x:c r="A117" s="191"/>
      <x:c r="B117" s="191"/>
      <x:c r="C117" s="191"/>
      <x:c r="D117" s="191"/>
      <x:c r="E117" s="191"/>
      <x:c r="F117" s="191"/>
      <x:c r="G117" s="191"/>
      <x:c r="H117" s="191"/>
      <x:c r="I117" s="191"/>
      <x:c r="J117" s="191"/>
      <x:c r="K117" s="191"/>
      <x:c r="L117" s="191"/>
      <x:c r="M117" s="191"/>
      <x:c r="N117" s="191"/>
      <x:c r="O117" s="191"/>
      <x:c r="P117" s="191"/>
      <x:c r="Q117" s="191"/>
      <x:c r="R117" s="191"/>
      <x:c r="S117" s="191"/>
      <x:c r="T117" s="191"/>
      <x:c r="U117" s="191"/>
      <x:c r="V117" s="191"/>
      <x:c r="W117" s="191"/>
      <x:c r="X117" s="191"/>
      <x:c r="Y117" s="191"/>
      <x:c r="Z117" s="191"/>
      <x:c r="AA117" s="191"/>
      <x:c r="AB117" s="191"/>
      <x:c r="AC117" s="191"/>
      <x:c r="AD117" s="191"/>
      <x:c r="AE117" s="191"/>
      <x:c r="AF117" s="191"/>
      <x:c r="AG117" s="191"/>
      <x:c r="AH117" s="191"/>
      <x:c r="AI117" s="191"/>
      <x:c r="AJ117" s="191"/>
      <x:c r="AK117" s="191"/>
    </x:row>
    <x:row r="118">
      <x:c r="A118" s="191"/>
      <x:c r="B118" s="191"/>
      <x:c r="C118" s="191"/>
      <x:c r="D118" s="191"/>
      <x:c r="E118" s="191"/>
      <x:c r="F118" s="191"/>
      <x:c r="G118" s="191"/>
      <x:c r="H118" s="191"/>
      <x:c r="I118" s="191"/>
      <x:c r="J118" s="191"/>
      <x:c r="K118" s="191"/>
      <x:c r="L118" s="191"/>
      <x:c r="M118" s="191"/>
      <x:c r="N118" s="191"/>
      <x:c r="O118" s="191"/>
      <x:c r="P118" s="191"/>
      <x:c r="Q118" s="191"/>
      <x:c r="R118" s="191"/>
      <x:c r="S118" s="191"/>
      <x:c r="T118" s="191"/>
      <x:c r="U118" s="191"/>
      <x:c r="V118" s="191"/>
      <x:c r="W118" s="191"/>
      <x:c r="X118" s="191"/>
      <x:c r="Y118" s="191"/>
      <x:c r="Z118" s="191"/>
      <x:c r="AA118" s="191"/>
      <x:c r="AB118" s="191"/>
      <x:c r="AC118" s="191"/>
      <x:c r="AD118" s="191"/>
      <x:c r="AE118" s="191"/>
      <x:c r="AF118" s="191"/>
      <x:c r="AG118" s="191"/>
      <x:c r="AH118" s="191"/>
      <x:c r="AI118" s="191"/>
      <x:c r="AJ118" s="191"/>
      <x:c r="AK118" s="191"/>
    </x:row>
    <x:row r="119">
      <x:c r="A119" s="191"/>
      <x:c r="B119" s="191"/>
      <x:c r="C119" s="191"/>
      <x:c r="D119" s="191"/>
      <x:c r="E119" s="191"/>
      <x:c r="F119" s="191"/>
      <x:c r="G119" s="191"/>
      <x:c r="H119" s="191"/>
      <x:c r="I119" s="191"/>
      <x:c r="J119" s="191"/>
      <x:c r="K119" s="191"/>
      <x:c r="L119" s="191"/>
      <x:c r="M119" s="191"/>
      <x:c r="N119" s="191"/>
      <x:c r="O119" s="191"/>
      <x:c r="P119" s="191"/>
      <x:c r="Q119" s="191"/>
      <x:c r="R119" s="191"/>
      <x:c r="S119" s="191"/>
      <x:c r="T119" s="191"/>
      <x:c r="U119" s="191"/>
      <x:c r="V119" s="191"/>
      <x:c r="W119" s="191"/>
      <x:c r="X119" s="191"/>
      <x:c r="Y119" s="191"/>
      <x:c r="Z119" s="191"/>
      <x:c r="AA119" s="191"/>
      <x:c r="AB119" s="191"/>
      <x:c r="AC119" s="191"/>
      <x:c r="AD119" s="191"/>
      <x:c r="AE119" s="191"/>
      <x:c r="AF119" s="191"/>
      <x:c r="AG119" s="191"/>
      <x:c r="AH119" s="191"/>
      <x:c r="AI119" s="191"/>
      <x:c r="AJ119" s="191"/>
      <x:c r="AK119" s="191"/>
    </x:row>
    <x:row r="120">
      <x:c r="A120" s="191"/>
      <x:c r="B120" s="191"/>
      <x:c r="C120" s="191"/>
      <x:c r="D120" s="191"/>
      <x:c r="E120" s="191"/>
      <x:c r="F120" s="191"/>
      <x:c r="G120" s="191"/>
      <x:c r="H120" s="191"/>
      <x:c r="I120" s="191"/>
      <x:c r="J120" s="191"/>
      <x:c r="K120" s="191"/>
      <x:c r="L120" s="191"/>
      <x:c r="M120" s="191"/>
      <x:c r="N120" s="191"/>
      <x:c r="O120" s="191"/>
      <x:c r="P120" s="191"/>
      <x:c r="Q120" s="191"/>
      <x:c r="R120" s="191"/>
      <x:c r="S120" s="191"/>
      <x:c r="T120" s="191"/>
      <x:c r="U120" s="191"/>
      <x:c r="V120" s="191"/>
      <x:c r="W120" s="191"/>
      <x:c r="X120" s="191"/>
      <x:c r="Y120" s="191"/>
      <x:c r="Z120" s="191"/>
      <x:c r="AA120" s="191"/>
      <x:c r="AB120" s="191"/>
      <x:c r="AC120" s="191"/>
      <x:c r="AD120" s="191"/>
      <x:c r="AE120" s="191"/>
      <x:c r="AF120" s="191"/>
      <x:c r="AG120" s="191"/>
      <x:c r="AH120" s="191"/>
      <x:c r="AI120" s="191"/>
      <x:c r="AJ120" s="191"/>
      <x:c r="AK120" s="191"/>
    </x:row>
    <x:row r="121">
      <x:c r="A121" s="191"/>
      <x:c r="B121" s="191"/>
      <x:c r="C121" s="191"/>
      <x:c r="D121" s="191"/>
      <x:c r="E121" s="191"/>
      <x:c r="F121" s="191"/>
      <x:c r="G121" s="191"/>
      <x:c r="H121" s="191"/>
      <x:c r="I121" s="191"/>
      <x:c r="J121" s="191"/>
      <x:c r="K121" s="191"/>
      <x:c r="L121" s="191"/>
      <x:c r="M121" s="191"/>
      <x:c r="N121" s="191"/>
      <x:c r="O121" s="191"/>
      <x:c r="P121" s="191"/>
      <x:c r="Q121" s="191"/>
      <x:c r="R121" s="191"/>
      <x:c r="S121" s="191"/>
      <x:c r="T121" s="191"/>
      <x:c r="U121" s="191"/>
      <x:c r="V121" s="191"/>
      <x:c r="W121" s="191"/>
      <x:c r="X121" s="191"/>
      <x:c r="Y121" s="191"/>
      <x:c r="Z121" s="191"/>
      <x:c r="AA121" s="191"/>
      <x:c r="AB121" s="191"/>
      <x:c r="AC121" s="191"/>
      <x:c r="AD121" s="191"/>
      <x:c r="AE121" s="191"/>
      <x:c r="AF121" s="191"/>
      <x:c r="AG121" s="191"/>
      <x:c r="AH121" s="191"/>
      <x:c r="AI121" s="191"/>
      <x:c r="AJ121" s="191"/>
      <x:c r="AK121" s="191"/>
    </x:row>
    <x:row r="122">
      <x:c r="A122" s="191"/>
      <x:c r="B122" s="191"/>
      <x:c r="C122" s="191"/>
      <x:c r="D122" s="191"/>
      <x:c r="E122" s="191"/>
      <x:c r="F122" s="191"/>
      <x:c r="G122" s="191"/>
      <x:c r="H122" s="191"/>
      <x:c r="I122" s="191"/>
      <x:c r="J122" s="191"/>
      <x:c r="K122" s="191"/>
      <x:c r="L122" s="191"/>
      <x:c r="M122" s="191"/>
      <x:c r="N122" s="191"/>
      <x:c r="O122" s="191"/>
      <x:c r="P122" s="191"/>
      <x:c r="Q122" s="191"/>
      <x:c r="R122" s="191"/>
      <x:c r="S122" s="191"/>
      <x:c r="T122" s="191"/>
      <x:c r="U122" s="191"/>
      <x:c r="V122" s="191"/>
      <x:c r="W122" s="191"/>
      <x:c r="X122" s="191"/>
      <x:c r="Y122" s="191"/>
      <x:c r="Z122" s="191"/>
      <x:c r="AA122" s="191"/>
      <x:c r="AB122" s="191"/>
      <x:c r="AC122" s="191"/>
      <x:c r="AD122" s="191"/>
      <x:c r="AE122" s="191"/>
      <x:c r="AF122" s="191"/>
      <x:c r="AG122" s="191"/>
      <x:c r="AH122" s="191"/>
      <x:c r="AI122" s="191"/>
      <x:c r="AJ122" s="191"/>
      <x:c r="AK122" s="191"/>
    </x:row>
    <x:row r="123">
      <x:c r="A123" s="191"/>
      <x:c r="B123" s="191"/>
      <x:c r="C123" s="191"/>
      <x:c r="D123" s="191"/>
      <x:c r="E123" s="191"/>
      <x:c r="F123" s="191"/>
      <x:c r="G123" s="191"/>
      <x:c r="H123" s="191"/>
      <x:c r="I123" s="191"/>
      <x:c r="J123" s="191"/>
      <x:c r="K123" s="191"/>
      <x:c r="L123" s="191"/>
      <x:c r="M123" s="191"/>
      <x:c r="N123" s="191"/>
      <x:c r="O123" s="191"/>
      <x:c r="P123" s="191"/>
      <x:c r="Q123" s="191"/>
      <x:c r="R123" s="191"/>
      <x:c r="S123" s="191"/>
      <x:c r="T123" s="191"/>
      <x:c r="U123" s="191"/>
      <x:c r="V123" s="191"/>
      <x:c r="W123" s="191"/>
      <x:c r="X123" s="191"/>
      <x:c r="Y123" s="191"/>
      <x:c r="Z123" s="191"/>
      <x:c r="AA123" s="191"/>
      <x:c r="AB123" s="191"/>
      <x:c r="AC123" s="191"/>
      <x:c r="AD123" s="191"/>
      <x:c r="AE123" s="191"/>
      <x:c r="AF123" s="191"/>
      <x:c r="AG123" s="191"/>
      <x:c r="AH123" s="191"/>
      <x:c r="AI123" s="191"/>
      <x:c r="AJ123" s="191"/>
      <x:c r="AK123" s="191"/>
    </x:row>
    <x:row r="124">
      <x:c r="A124" s="191"/>
      <x:c r="B124" s="191"/>
      <x:c r="C124" s="191"/>
      <x:c r="D124" s="191"/>
      <x:c r="E124" s="191"/>
      <x:c r="F124" s="191"/>
      <x:c r="G124" s="191"/>
      <x:c r="H124" s="191"/>
      <x:c r="I124" s="191"/>
      <x:c r="J124" s="191"/>
      <x:c r="K124" s="191"/>
      <x:c r="L124" s="191"/>
      <x:c r="M124" s="191"/>
      <x:c r="N124" s="191"/>
      <x:c r="O124" s="191"/>
      <x:c r="P124" s="191"/>
      <x:c r="Q124" s="191"/>
      <x:c r="R124" s="191"/>
      <x:c r="S124" s="191"/>
      <x:c r="T124" s="191"/>
      <x:c r="U124" s="191"/>
      <x:c r="V124" s="191"/>
      <x:c r="W124" s="191"/>
      <x:c r="X124" s="191"/>
      <x:c r="Y124" s="191"/>
      <x:c r="Z124" s="191"/>
      <x:c r="AA124" s="191"/>
      <x:c r="AB124" s="191"/>
      <x:c r="AC124" s="191"/>
      <x:c r="AD124" s="191"/>
      <x:c r="AE124" s="191"/>
      <x:c r="AF124" s="191"/>
      <x:c r="AG124" s="191"/>
      <x:c r="AH124" s="191"/>
      <x:c r="AI124" s="191"/>
      <x:c r="AJ124" s="191"/>
      <x:c r="AK124" s="191"/>
    </x:row>
    <x:row r="125">
      <x:c r="A125" s="191"/>
      <x:c r="B125" s="191"/>
      <x:c r="C125" s="191"/>
      <x:c r="D125" s="191"/>
      <x:c r="E125" s="191"/>
      <x:c r="F125" s="191"/>
      <x:c r="G125" s="191"/>
      <x:c r="H125" s="191"/>
      <x:c r="I125" s="191"/>
      <x:c r="J125" s="191"/>
      <x:c r="K125" s="191"/>
      <x:c r="L125" s="191"/>
      <x:c r="M125" s="191"/>
      <x:c r="N125" s="191"/>
      <x:c r="O125" s="191"/>
      <x:c r="P125" s="191"/>
      <x:c r="Q125" s="191"/>
      <x:c r="R125" s="191"/>
      <x:c r="S125" s="191"/>
      <x:c r="T125" s="191"/>
      <x:c r="U125" s="191"/>
      <x:c r="V125" s="191"/>
      <x:c r="W125" s="191"/>
      <x:c r="X125" s="191"/>
      <x:c r="Y125" s="191"/>
      <x:c r="Z125" s="191"/>
      <x:c r="AA125" s="191"/>
      <x:c r="AB125" s="191"/>
      <x:c r="AC125" s="191"/>
      <x:c r="AD125" s="191"/>
      <x:c r="AE125" s="191"/>
      <x:c r="AF125" s="191"/>
      <x:c r="AG125" s="191"/>
      <x:c r="AH125" s="191"/>
      <x:c r="AI125" s="191"/>
      <x:c r="AJ125" s="191"/>
      <x:c r="AK125" s="191"/>
    </x:row>
    <x:row r="126">
      <x:c r="A126" s="191"/>
      <x:c r="B126" s="191"/>
      <x:c r="C126" s="191"/>
      <x:c r="D126" s="191"/>
      <x:c r="E126" s="191"/>
      <x:c r="F126" s="191"/>
      <x:c r="G126" s="191"/>
      <x:c r="H126" s="191"/>
      <x:c r="I126" s="191"/>
      <x:c r="J126" s="191"/>
      <x:c r="K126" s="191"/>
      <x:c r="L126" s="191"/>
      <x:c r="M126" s="191"/>
      <x:c r="N126" s="191"/>
      <x:c r="O126" s="191"/>
      <x:c r="P126" s="191"/>
      <x:c r="Q126" s="191"/>
      <x:c r="R126" s="191"/>
      <x:c r="S126" s="191"/>
      <x:c r="T126" s="191"/>
      <x:c r="U126" s="191"/>
      <x:c r="V126" s="191"/>
      <x:c r="W126" s="191"/>
      <x:c r="X126" s="191"/>
      <x:c r="Y126" s="191"/>
      <x:c r="Z126" s="191"/>
      <x:c r="AA126" s="191"/>
      <x:c r="AB126" s="191"/>
      <x:c r="AC126" s="191"/>
      <x:c r="AD126" s="191"/>
      <x:c r="AE126" s="191"/>
      <x:c r="AF126" s="191"/>
      <x:c r="AG126" s="191"/>
      <x:c r="AH126" s="191"/>
      <x:c r="AI126" s="191"/>
      <x:c r="AJ126" s="191"/>
      <x:c r="AK126" s="191"/>
    </x:row>
    <x:row r="127">
      <x:c r="A127" s="191"/>
      <x:c r="B127" s="191"/>
      <x:c r="C127" s="191"/>
      <x:c r="D127" s="191"/>
      <x:c r="E127" s="191"/>
      <x:c r="F127" s="191"/>
      <x:c r="G127" s="191"/>
      <x:c r="H127" s="191"/>
      <x:c r="I127" s="191"/>
      <x:c r="J127" s="191"/>
      <x:c r="K127" s="191"/>
      <x:c r="L127" s="191"/>
      <x:c r="M127" s="191"/>
      <x:c r="N127" s="191"/>
      <x:c r="O127" s="191"/>
      <x:c r="P127" s="191"/>
      <x:c r="Q127" s="191"/>
      <x:c r="R127" s="191"/>
      <x:c r="S127" s="191"/>
      <x:c r="T127" s="191"/>
      <x:c r="U127" s="191"/>
      <x:c r="V127" s="191"/>
      <x:c r="W127" s="191"/>
      <x:c r="X127" s="191"/>
      <x:c r="Y127" s="191"/>
      <x:c r="Z127" s="191"/>
      <x:c r="AA127" s="191"/>
      <x:c r="AB127" s="191"/>
      <x:c r="AC127" s="191"/>
      <x:c r="AD127" s="191"/>
      <x:c r="AE127" s="191"/>
      <x:c r="AF127" s="191"/>
      <x:c r="AG127" s="191"/>
      <x:c r="AH127" s="191"/>
      <x:c r="AI127" s="191"/>
      <x:c r="AJ127" s="191"/>
      <x:c r="AK127" s="191"/>
    </x:row>
    <x:row r="128">
      <x:c r="A128" s="191"/>
      <x:c r="B128" s="191"/>
      <x:c r="C128" s="191"/>
      <x:c r="D128" s="191"/>
      <x:c r="E128" s="191"/>
      <x:c r="F128" s="191"/>
      <x:c r="G128" s="191"/>
      <x:c r="H128" s="191"/>
      <x:c r="I128" s="191"/>
      <x:c r="J128" s="191"/>
      <x:c r="K128" s="191"/>
      <x:c r="L128" s="191"/>
      <x:c r="M128" s="191"/>
      <x:c r="N128" s="191"/>
      <x:c r="O128" s="191"/>
      <x:c r="P128" s="191"/>
      <x:c r="Q128" s="191"/>
      <x:c r="R128" s="191"/>
      <x:c r="S128" s="191"/>
      <x:c r="T128" s="191"/>
      <x:c r="U128" s="191"/>
      <x:c r="V128" s="191"/>
      <x:c r="W128" s="191"/>
      <x:c r="X128" s="191"/>
      <x:c r="Y128" s="191"/>
      <x:c r="Z128" s="191"/>
      <x:c r="AA128" s="191"/>
      <x:c r="AB128" s="191"/>
      <x:c r="AC128" s="191"/>
      <x:c r="AD128" s="191"/>
      <x:c r="AE128" s="191"/>
      <x:c r="AF128" s="191"/>
      <x:c r="AG128" s="191"/>
      <x:c r="AH128" s="191"/>
      <x:c r="AI128" s="191"/>
      <x:c r="AJ128" s="191"/>
      <x:c r="AK128" s="191"/>
    </x:row>
    <x:row r="129">
      <x:c r="A129" s="191"/>
      <x:c r="B129" s="191"/>
      <x:c r="C129" s="191"/>
      <x:c r="D129" s="191"/>
      <x:c r="E129" s="191"/>
      <x:c r="F129" s="191"/>
      <x:c r="G129" s="191"/>
      <x:c r="H129" s="191"/>
      <x:c r="I129" s="191"/>
      <x:c r="J129" s="191"/>
      <x:c r="K129" s="191"/>
      <x:c r="L129" s="191"/>
      <x:c r="M129" s="191"/>
      <x:c r="N129" s="191"/>
      <x:c r="O129" s="191"/>
      <x:c r="P129" s="191"/>
      <x:c r="Q129" s="191"/>
      <x:c r="R129" s="191"/>
      <x:c r="S129" s="191"/>
      <x:c r="T129" s="191"/>
      <x:c r="U129" s="191"/>
      <x:c r="V129" s="191"/>
      <x:c r="W129" s="191"/>
      <x:c r="X129" s="191"/>
      <x:c r="Y129" s="191"/>
      <x:c r="Z129" s="191"/>
      <x:c r="AA129" s="191"/>
      <x:c r="AB129" s="191"/>
      <x:c r="AC129" s="191"/>
      <x:c r="AD129" s="191"/>
      <x:c r="AE129" s="191"/>
      <x:c r="AF129" s="191"/>
      <x:c r="AG129" s="191"/>
      <x:c r="AH129" s="191"/>
      <x:c r="AI129" s="191"/>
      <x:c r="AJ129" s="191"/>
      <x:c r="AK129" s="191"/>
    </x:row>
    <x:row r="130">
      <x:c r="A130" s="191"/>
      <x:c r="B130" s="191"/>
      <x:c r="C130" s="191"/>
      <x:c r="D130" s="191"/>
      <x:c r="E130" s="191"/>
      <x:c r="F130" s="191"/>
      <x:c r="G130" s="191"/>
      <x:c r="H130" s="191"/>
      <x:c r="I130" s="191"/>
      <x:c r="J130" s="191"/>
      <x:c r="K130" s="191"/>
      <x:c r="L130" s="191"/>
      <x:c r="M130" s="191"/>
      <x:c r="N130" s="191"/>
      <x:c r="O130" s="191"/>
      <x:c r="P130" s="191"/>
      <x:c r="Q130" s="191"/>
      <x:c r="R130" s="191"/>
      <x:c r="S130" s="191"/>
      <x:c r="T130" s="191"/>
      <x:c r="U130" s="191"/>
      <x:c r="V130" s="191"/>
      <x:c r="W130" s="191"/>
      <x:c r="X130" s="191"/>
      <x:c r="Y130" s="191"/>
      <x:c r="Z130" s="191"/>
      <x:c r="AA130" s="191"/>
      <x:c r="AB130" s="191"/>
      <x:c r="AC130" s="191"/>
      <x:c r="AD130" s="191"/>
      <x:c r="AE130" s="191"/>
      <x:c r="AF130" s="191"/>
      <x:c r="AG130" s="191"/>
      <x:c r="AH130" s="191"/>
      <x:c r="AI130" s="191"/>
      <x:c r="AJ130" s="191"/>
      <x:c r="AK130" s="191"/>
    </x:row>
    <x:row r="131">
      <x:c r="A131" s="191"/>
      <x:c r="B131" s="191"/>
      <x:c r="C131" s="191"/>
      <x:c r="D131" s="191"/>
      <x:c r="E131" s="191"/>
      <x:c r="F131" s="191"/>
      <x:c r="G131" s="191"/>
      <x:c r="H131" s="191"/>
      <x:c r="I131" s="191"/>
      <x:c r="J131" s="191"/>
      <x:c r="K131" s="191"/>
      <x:c r="L131" s="191"/>
      <x:c r="M131" s="191"/>
      <x:c r="N131" s="191"/>
      <x:c r="O131" s="191"/>
      <x:c r="P131" s="191"/>
      <x:c r="Q131" s="191"/>
      <x:c r="R131" s="191"/>
      <x:c r="S131" s="191"/>
      <x:c r="T131" s="191"/>
      <x:c r="U131" s="191"/>
      <x:c r="V131" s="191"/>
      <x:c r="W131" s="191"/>
      <x:c r="X131" s="191"/>
      <x:c r="Y131" s="191"/>
      <x:c r="Z131" s="191"/>
      <x:c r="AA131" s="191"/>
      <x:c r="AB131" s="191"/>
      <x:c r="AC131" s="191"/>
      <x:c r="AD131" s="191"/>
      <x:c r="AE131" s="191"/>
      <x:c r="AF131" s="191"/>
      <x:c r="AG131" s="191"/>
      <x:c r="AH131" s="191"/>
      <x:c r="AI131" s="191"/>
      <x:c r="AJ131" s="191"/>
      <x:c r="AK131" s="191"/>
    </x:row>
    <x:row r="132">
      <x:c r="A132" s="191"/>
      <x:c r="B132" s="191"/>
      <x:c r="C132" s="191"/>
      <x:c r="D132" s="191"/>
      <x:c r="E132" s="191"/>
      <x:c r="F132" s="191"/>
      <x:c r="G132" s="191"/>
      <x:c r="H132" s="191"/>
      <x:c r="I132" s="191"/>
      <x:c r="J132" s="191"/>
      <x:c r="K132" s="191"/>
      <x:c r="L132" s="191"/>
      <x:c r="M132" s="191"/>
      <x:c r="N132" s="191"/>
      <x:c r="O132" s="191"/>
      <x:c r="P132" s="191"/>
      <x:c r="Q132" s="191"/>
      <x:c r="R132" s="191"/>
      <x:c r="S132" s="191"/>
      <x:c r="T132" s="191"/>
      <x:c r="U132" s="191"/>
      <x:c r="V132" s="191"/>
      <x:c r="W132" s="191"/>
      <x:c r="X132" s="191"/>
      <x:c r="Y132" s="191"/>
      <x:c r="Z132" s="191"/>
      <x:c r="AA132" s="191"/>
      <x:c r="AB132" s="191"/>
      <x:c r="AC132" s="191"/>
      <x:c r="AD132" s="191"/>
      <x:c r="AE132" s="191"/>
      <x:c r="AF132" s="191"/>
      <x:c r="AG132" s="191"/>
      <x:c r="AH132" s="191"/>
      <x:c r="AI132" s="191"/>
      <x:c r="AJ132" s="191"/>
      <x:c r="AK132" s="191"/>
    </x:row>
    <x:row r="133">
      <x:c r="A133" s="191"/>
      <x:c r="B133" s="191"/>
      <x:c r="C133" s="191"/>
      <x:c r="D133" s="191"/>
      <x:c r="E133" s="191"/>
      <x:c r="F133" s="191"/>
      <x:c r="G133" s="191"/>
      <x:c r="H133" s="191"/>
      <x:c r="I133" s="191"/>
      <x:c r="J133" s="191"/>
      <x:c r="K133" s="191"/>
      <x:c r="L133" s="191"/>
      <x:c r="M133" s="191"/>
      <x:c r="N133" s="191"/>
      <x:c r="O133" s="191"/>
      <x:c r="P133" s="191"/>
      <x:c r="Q133" s="191"/>
      <x:c r="R133" s="191"/>
      <x:c r="S133" s="191"/>
      <x:c r="T133" s="191"/>
      <x:c r="U133" s="191"/>
      <x:c r="V133" s="191"/>
      <x:c r="W133" s="191"/>
      <x:c r="X133" s="191"/>
      <x:c r="Y133" s="191"/>
      <x:c r="Z133" s="191"/>
      <x:c r="AA133" s="191"/>
      <x:c r="AB133" s="191"/>
      <x:c r="AC133" s="191"/>
      <x:c r="AD133" s="191"/>
      <x:c r="AE133" s="191"/>
      <x:c r="AF133" s="191"/>
      <x:c r="AG133" s="191"/>
      <x:c r="AH133" s="191"/>
      <x:c r="AI133" s="191"/>
      <x:c r="AJ133" s="191"/>
      <x:c r="AK133" s="191"/>
    </x:row>
    <x:row r="134">
      <x:c r="A134" s="191"/>
      <x:c r="B134" s="191"/>
      <x:c r="C134" s="191"/>
      <x:c r="D134" s="191"/>
      <x:c r="E134" s="191"/>
      <x:c r="F134" s="191"/>
      <x:c r="G134" s="191"/>
      <x:c r="H134" s="191"/>
      <x:c r="I134" s="191"/>
      <x:c r="J134" s="191"/>
      <x:c r="K134" s="191"/>
      <x:c r="L134" s="191"/>
      <x:c r="M134" s="191"/>
      <x:c r="N134" s="191"/>
      <x:c r="O134" s="191"/>
      <x:c r="P134" s="191"/>
      <x:c r="Q134" s="191"/>
      <x:c r="R134" s="191"/>
      <x:c r="S134" s="191"/>
      <x:c r="T134" s="191"/>
      <x:c r="U134" s="191"/>
      <x:c r="V134" s="191"/>
      <x:c r="W134" s="191"/>
      <x:c r="X134" s="191"/>
      <x:c r="Y134" s="191"/>
      <x:c r="Z134" s="191"/>
      <x:c r="AA134" s="191"/>
      <x:c r="AB134" s="191"/>
      <x:c r="AC134" s="191"/>
      <x:c r="AD134" s="191"/>
      <x:c r="AE134" s="191"/>
      <x:c r="AF134" s="191"/>
      <x:c r="AG134" s="191"/>
      <x:c r="AH134" s="191"/>
      <x:c r="AI134" s="191"/>
      <x:c r="AJ134" s="191"/>
      <x:c r="AK134" s="191"/>
    </x:row>
    <x:row r="135">
      <x:c r="A135" s="191"/>
      <x:c r="B135" s="191"/>
      <x:c r="C135" s="191"/>
      <x:c r="D135" s="191"/>
      <x:c r="E135" s="191"/>
      <x:c r="F135" s="191"/>
      <x:c r="G135" s="191"/>
      <x:c r="H135" s="191"/>
      <x:c r="I135" s="191"/>
      <x:c r="J135" s="191"/>
      <x:c r="K135" s="191"/>
      <x:c r="L135" s="191"/>
      <x:c r="M135" s="191"/>
      <x:c r="N135" s="191"/>
      <x:c r="O135" s="191"/>
      <x:c r="P135" s="191"/>
      <x:c r="Q135" s="191"/>
      <x:c r="R135" s="191"/>
      <x:c r="S135" s="191"/>
      <x:c r="T135" s="191"/>
      <x:c r="U135" s="191"/>
      <x:c r="V135" s="191"/>
      <x:c r="W135" s="191"/>
      <x:c r="X135" s="191"/>
      <x:c r="Y135" s="191"/>
      <x:c r="Z135" s="191"/>
      <x:c r="AA135" s="191"/>
      <x:c r="AB135" s="191"/>
      <x:c r="AC135" s="191"/>
      <x:c r="AD135" s="191"/>
      <x:c r="AE135" s="191"/>
      <x:c r="AF135" s="191"/>
      <x:c r="AG135" s="191"/>
      <x:c r="AH135" s="191"/>
      <x:c r="AI135" s="191"/>
      <x:c r="AJ135" s="191"/>
      <x:c r="AK135" s="191"/>
    </x:row>
    <x:row r="136">
      <x:c r="A136" s="191"/>
      <x:c r="B136" s="191"/>
      <x:c r="C136" s="191"/>
      <x:c r="D136" s="191"/>
      <x:c r="E136" s="191"/>
      <x:c r="F136" s="191"/>
      <x:c r="G136" s="191"/>
      <x:c r="H136" s="191"/>
      <x:c r="I136" s="191"/>
      <x:c r="J136" s="191"/>
      <x:c r="K136" s="191"/>
      <x:c r="L136" s="191"/>
      <x:c r="M136" s="191"/>
      <x:c r="N136" s="191"/>
      <x:c r="O136" s="191"/>
      <x:c r="P136" s="191"/>
      <x:c r="Q136" s="191"/>
      <x:c r="R136" s="191"/>
      <x:c r="S136" s="191"/>
      <x:c r="T136" s="191"/>
      <x:c r="U136" s="191"/>
      <x:c r="V136" s="191"/>
      <x:c r="W136" s="191"/>
      <x:c r="X136" s="191"/>
      <x:c r="Y136" s="191"/>
      <x:c r="Z136" s="191"/>
      <x:c r="AA136" s="191"/>
      <x:c r="AB136" s="191"/>
      <x:c r="AC136" s="191"/>
      <x:c r="AD136" s="191"/>
      <x:c r="AE136" s="191"/>
      <x:c r="AF136" s="191"/>
      <x:c r="AG136" s="191"/>
      <x:c r="AH136" s="191"/>
      <x:c r="AI136" s="191"/>
      <x:c r="AJ136" s="191"/>
      <x:c r="AK136" s="191"/>
    </x:row>
    <x:row r="137">
      <x:c r="A137" s="191"/>
      <x:c r="B137" s="191"/>
      <x:c r="C137" s="191"/>
      <x:c r="D137" s="191"/>
      <x:c r="E137" s="191"/>
      <x:c r="F137" s="191"/>
      <x:c r="G137" s="191"/>
      <x:c r="H137" s="191"/>
      <x:c r="I137" s="191"/>
      <x:c r="J137" s="191"/>
      <x:c r="K137" s="191"/>
      <x:c r="L137" s="191"/>
      <x:c r="M137" s="191"/>
      <x:c r="N137" s="191"/>
      <x:c r="O137" s="191"/>
      <x:c r="P137" s="191"/>
      <x:c r="Q137" s="191"/>
      <x:c r="R137" s="191"/>
      <x:c r="S137" s="191"/>
      <x:c r="T137" s="191"/>
      <x:c r="U137" s="191"/>
      <x:c r="V137" s="191"/>
      <x:c r="W137" s="191"/>
      <x:c r="X137" s="191"/>
      <x:c r="Y137" s="191"/>
      <x:c r="Z137" s="191"/>
      <x:c r="AA137" s="191"/>
      <x:c r="AB137" s="191"/>
      <x:c r="AC137" s="191"/>
      <x:c r="AD137" s="191"/>
      <x:c r="AE137" s="191"/>
      <x:c r="AF137" s="191"/>
      <x:c r="AG137" s="191"/>
      <x:c r="AH137" s="191"/>
      <x:c r="AI137" s="191"/>
      <x:c r="AJ137" s="191"/>
      <x:c r="AK137" s="191"/>
    </x:row>
    <x:row r="138">
      <x:c r="A138" s="191"/>
      <x:c r="B138" s="191"/>
      <x:c r="C138" s="191"/>
      <x:c r="D138" s="191"/>
      <x:c r="E138" s="191"/>
      <x:c r="F138" s="191"/>
      <x:c r="G138" s="191"/>
      <x:c r="H138" s="191"/>
      <x:c r="I138" s="191"/>
      <x:c r="J138" s="191"/>
      <x:c r="K138" s="191"/>
      <x:c r="L138" s="191"/>
      <x:c r="M138" s="191"/>
      <x:c r="N138" s="191"/>
      <x:c r="O138" s="191"/>
      <x:c r="P138" s="191"/>
      <x:c r="Q138" s="191"/>
      <x:c r="R138" s="191"/>
      <x:c r="S138" s="191"/>
      <x:c r="T138" s="191"/>
      <x:c r="U138" s="191"/>
      <x:c r="V138" s="191"/>
      <x:c r="W138" s="191"/>
      <x:c r="X138" s="191"/>
      <x:c r="Y138" s="191"/>
      <x:c r="Z138" s="191"/>
      <x:c r="AA138" s="191"/>
      <x:c r="AB138" s="191"/>
      <x:c r="AC138" s="191"/>
      <x:c r="AD138" s="191"/>
      <x:c r="AE138" s="191"/>
      <x:c r="AF138" s="191"/>
      <x:c r="AG138" s="191"/>
      <x:c r="AH138" s="191"/>
      <x:c r="AI138" s="191"/>
      <x:c r="AJ138" s="191"/>
      <x:c r="AK138" s="191"/>
    </x:row>
    <x:row r="139">
      <x:c r="A139" s="191"/>
      <x:c r="B139" s="191"/>
      <x:c r="C139" s="191"/>
      <x:c r="D139" s="191"/>
      <x:c r="E139" s="191"/>
      <x:c r="F139" s="191"/>
      <x:c r="G139" s="191"/>
      <x:c r="H139" s="191"/>
      <x:c r="I139" s="191"/>
      <x:c r="J139" s="191"/>
      <x:c r="K139" s="191"/>
      <x:c r="L139" s="191"/>
      <x:c r="M139" s="191"/>
      <x:c r="N139" s="191"/>
      <x:c r="O139" s="191"/>
      <x:c r="P139" s="191"/>
      <x:c r="Q139" s="191"/>
      <x:c r="R139" s="191"/>
      <x:c r="S139" s="191"/>
      <x:c r="T139" s="191"/>
      <x:c r="U139" s="191"/>
      <x:c r="V139" s="191"/>
      <x:c r="W139" s="191"/>
      <x:c r="X139" s="191"/>
      <x:c r="Y139" s="191"/>
      <x:c r="Z139" s="191"/>
      <x:c r="AA139" s="191"/>
      <x:c r="AB139" s="191"/>
      <x:c r="AC139" s="191"/>
      <x:c r="AD139" s="191"/>
      <x:c r="AE139" s="191"/>
      <x:c r="AF139" s="191"/>
      <x:c r="AG139" s="191"/>
      <x:c r="AH139" s="191"/>
      <x:c r="AI139" s="191"/>
      <x:c r="AJ139" s="191"/>
      <x:c r="AK139" s="191"/>
    </x:row>
    <x:row r="140">
      <x:c r="A140" s="191"/>
      <x:c r="B140" s="191"/>
      <x:c r="C140" s="191"/>
      <x:c r="D140" s="191"/>
      <x:c r="E140" s="191"/>
      <x:c r="F140" s="191"/>
      <x:c r="G140" s="191"/>
      <x:c r="H140" s="191"/>
      <x:c r="I140" s="191"/>
      <x:c r="J140" s="191"/>
      <x:c r="K140" s="191"/>
      <x:c r="L140" s="191"/>
      <x:c r="M140" s="191"/>
      <x:c r="N140" s="191"/>
      <x:c r="O140" s="191"/>
      <x:c r="P140" s="191"/>
      <x:c r="Q140" s="191"/>
      <x:c r="R140" s="191"/>
      <x:c r="S140" s="191"/>
      <x:c r="T140" s="191"/>
      <x:c r="U140" s="191"/>
      <x:c r="V140" s="191"/>
      <x:c r="W140" s="191"/>
      <x:c r="X140" s="191"/>
      <x:c r="Y140" s="191"/>
      <x:c r="Z140" s="191"/>
      <x:c r="AA140" s="191"/>
      <x:c r="AB140" s="191"/>
      <x:c r="AC140" s="191"/>
      <x:c r="AD140" s="191"/>
      <x:c r="AE140" s="191"/>
      <x:c r="AF140" s="191"/>
      <x:c r="AG140" s="191"/>
      <x:c r="AH140" s="191"/>
      <x:c r="AI140" s="191"/>
      <x:c r="AJ140" s="191"/>
      <x:c r="AK140" s="191"/>
    </x:row>
    <x:row r="141">
      <x:c r="A141" s="191"/>
      <x:c r="B141" s="191"/>
      <x:c r="C141" s="191"/>
      <x:c r="D141" s="191"/>
      <x:c r="E141" s="191"/>
      <x:c r="F141" s="191"/>
      <x:c r="G141" s="191"/>
      <x:c r="H141" s="191"/>
      <x:c r="I141" s="191"/>
      <x:c r="J141" s="191"/>
      <x:c r="K141" s="191"/>
      <x:c r="L141" s="191"/>
      <x:c r="M141" s="191"/>
      <x:c r="N141" s="191"/>
      <x:c r="O141" s="191"/>
      <x:c r="P141" s="191"/>
      <x:c r="Q141" s="191"/>
      <x:c r="R141" s="191"/>
      <x:c r="S141" s="191"/>
      <x:c r="T141" s="191"/>
      <x:c r="U141" s="191"/>
      <x:c r="V141" s="191"/>
      <x:c r="W141" s="191"/>
      <x:c r="X141" s="191"/>
      <x:c r="Y141" s="191"/>
      <x:c r="Z141" s="191"/>
      <x:c r="AA141" s="191"/>
      <x:c r="AB141" s="191"/>
      <x:c r="AC141" s="191"/>
      <x:c r="AD141" s="191"/>
      <x:c r="AE141" s="191"/>
      <x:c r="AF141" s="191"/>
      <x:c r="AG141" s="191"/>
      <x:c r="AH141" s="191"/>
      <x:c r="AI141" s="191"/>
      <x:c r="AJ141" s="191"/>
      <x:c r="AK141" s="191"/>
    </x:row>
    <x:row r="142">
      <x:c r="A142" s="191"/>
      <x:c r="B142" s="191"/>
      <x:c r="C142" s="191"/>
      <x:c r="D142" s="191"/>
      <x:c r="E142" s="191"/>
      <x:c r="F142" s="191"/>
      <x:c r="G142" s="191"/>
      <x:c r="H142" s="191"/>
      <x:c r="I142" s="191"/>
      <x:c r="J142" s="191"/>
      <x:c r="K142" s="191"/>
      <x:c r="L142" s="191"/>
      <x:c r="M142" s="191"/>
      <x:c r="N142" s="191"/>
      <x:c r="O142" s="191"/>
      <x:c r="P142" s="191"/>
      <x:c r="Q142" s="191"/>
      <x:c r="R142" s="191"/>
      <x:c r="S142" s="191"/>
      <x:c r="T142" s="191"/>
      <x:c r="U142" s="191"/>
      <x:c r="V142" s="191"/>
      <x:c r="W142" s="191"/>
      <x:c r="X142" s="191"/>
      <x:c r="Y142" s="191"/>
      <x:c r="Z142" s="191"/>
      <x:c r="AA142" s="191"/>
      <x:c r="AB142" s="191"/>
      <x:c r="AC142" s="191"/>
      <x:c r="AD142" s="191"/>
      <x:c r="AE142" s="191"/>
      <x:c r="AF142" s="191"/>
      <x:c r="AG142" s="191"/>
      <x:c r="AH142" s="191"/>
      <x:c r="AI142" s="191"/>
      <x:c r="AJ142" s="191"/>
      <x:c r="AK142" s="191"/>
    </x:row>
    <x:row r="143">
      <x:c r="A143" s="191"/>
      <x:c r="B143" s="191"/>
      <x:c r="C143" s="191"/>
      <x:c r="D143" s="191"/>
      <x:c r="E143" s="191"/>
      <x:c r="F143" s="191"/>
      <x:c r="G143" s="191"/>
      <x:c r="H143" s="191"/>
      <x:c r="I143" s="191"/>
      <x:c r="J143" s="191"/>
      <x:c r="K143" s="191"/>
      <x:c r="L143" s="191"/>
      <x:c r="M143" s="191"/>
      <x:c r="N143" s="191"/>
      <x:c r="O143" s="191"/>
      <x:c r="P143" s="191"/>
      <x:c r="Q143" s="191"/>
      <x:c r="R143" s="191"/>
      <x:c r="S143" s="191"/>
      <x:c r="T143" s="191"/>
      <x:c r="U143" s="191"/>
      <x:c r="V143" s="191"/>
      <x:c r="W143" s="191"/>
      <x:c r="X143" s="191"/>
      <x:c r="Y143" s="191"/>
      <x:c r="Z143" s="191"/>
      <x:c r="AA143" s="191"/>
      <x:c r="AB143" s="191"/>
      <x:c r="AC143" s="191"/>
      <x:c r="AD143" s="191"/>
      <x:c r="AE143" s="191"/>
      <x:c r="AF143" s="191"/>
      <x:c r="AG143" s="191"/>
      <x:c r="AH143" s="191"/>
      <x:c r="AI143" s="191"/>
      <x:c r="AJ143" s="191"/>
      <x:c r="AK143" s="191"/>
    </x:row>
    <x:row r="144">
      <x:c r="A144" s="191"/>
      <x:c r="B144" s="191"/>
      <x:c r="C144" s="191"/>
      <x:c r="D144" s="191"/>
      <x:c r="E144" s="191"/>
      <x:c r="F144" s="191"/>
      <x:c r="G144" s="191"/>
      <x:c r="H144" s="191"/>
      <x:c r="I144" s="191"/>
      <x:c r="J144" s="191"/>
      <x:c r="K144" s="191"/>
      <x:c r="L144" s="191"/>
      <x:c r="M144" s="191"/>
      <x:c r="N144" s="191"/>
      <x:c r="O144" s="191"/>
      <x:c r="P144" s="191"/>
      <x:c r="Q144" s="191"/>
      <x:c r="R144" s="191"/>
      <x:c r="S144" s="191"/>
      <x:c r="T144" s="191"/>
      <x:c r="U144" s="191"/>
      <x:c r="V144" s="191"/>
      <x:c r="W144" s="191"/>
      <x:c r="X144" s="191"/>
      <x:c r="Y144" s="191"/>
      <x:c r="Z144" s="191"/>
      <x:c r="AA144" s="191"/>
      <x:c r="AB144" s="191"/>
      <x:c r="AC144" s="191"/>
      <x:c r="AD144" s="191"/>
      <x:c r="AE144" s="191"/>
      <x:c r="AF144" s="191"/>
      <x:c r="AG144" s="191"/>
      <x:c r="AH144" s="191"/>
      <x:c r="AI144" s="191"/>
      <x:c r="AJ144" s="191"/>
      <x:c r="AK144" s="191"/>
    </x:row>
    <x:row r="145">
      <x:c r="A145" s="191"/>
      <x:c r="B145" s="191"/>
      <x:c r="C145" s="191"/>
      <x:c r="D145" s="191"/>
      <x:c r="E145" s="191"/>
      <x:c r="F145" s="191"/>
      <x:c r="G145" s="191"/>
      <x:c r="H145" s="191"/>
      <x:c r="I145" s="191"/>
      <x:c r="J145" s="191"/>
      <x:c r="K145" s="191"/>
      <x:c r="L145" s="191"/>
      <x:c r="M145" s="191"/>
      <x:c r="N145" s="191"/>
      <x:c r="O145" s="191"/>
      <x:c r="P145" s="191"/>
      <x:c r="Q145" s="191"/>
      <x:c r="R145" s="191"/>
      <x:c r="S145" s="191"/>
      <x:c r="T145" s="191"/>
      <x:c r="U145" s="191"/>
      <x:c r="V145" s="191"/>
      <x:c r="W145" s="191"/>
      <x:c r="X145" s="191"/>
      <x:c r="Y145" s="191"/>
      <x:c r="Z145" s="191"/>
      <x:c r="AA145" s="191"/>
      <x:c r="AB145" s="191"/>
      <x:c r="AC145" s="191"/>
      <x:c r="AD145" s="191"/>
      <x:c r="AE145" s="191"/>
      <x:c r="AF145" s="191"/>
      <x:c r="AG145" s="191"/>
      <x:c r="AH145" s="191"/>
      <x:c r="AI145" s="191"/>
      <x:c r="AJ145" s="191"/>
      <x:c r="AK145" s="191"/>
    </x:row>
    <x:row r="146">
      <x:c r="A146" s="191"/>
      <x:c r="B146" s="191"/>
      <x:c r="C146" s="191"/>
      <x:c r="D146" s="191"/>
      <x:c r="E146" s="191"/>
      <x:c r="F146" s="191"/>
      <x:c r="G146" s="191"/>
      <x:c r="H146" s="191"/>
      <x:c r="I146" s="191"/>
      <x:c r="J146" s="191"/>
      <x:c r="K146" s="191"/>
      <x:c r="L146" s="191"/>
      <x:c r="M146" s="191"/>
      <x:c r="N146" s="191"/>
      <x:c r="O146" s="191"/>
      <x:c r="P146" s="191"/>
      <x:c r="Q146" s="191"/>
      <x:c r="R146" s="191"/>
      <x:c r="S146" s="191"/>
      <x:c r="T146" s="191"/>
      <x:c r="U146" s="191"/>
      <x:c r="V146" s="191"/>
      <x:c r="W146" s="191"/>
      <x:c r="X146" s="191"/>
      <x:c r="Y146" s="191"/>
      <x:c r="Z146" s="191"/>
      <x:c r="AA146" s="191"/>
      <x:c r="AB146" s="191"/>
      <x:c r="AC146" s="191"/>
      <x:c r="AD146" s="191"/>
      <x:c r="AE146" s="191"/>
      <x:c r="AF146" s="191"/>
      <x:c r="AG146" s="191"/>
      <x:c r="AH146" s="191"/>
      <x:c r="AI146" s="191"/>
      <x:c r="AJ146" s="191"/>
      <x:c r="AK146" s="191"/>
    </x:row>
    <x:row r="147">
      <x:c r="A147" s="191"/>
      <x:c r="B147" s="191"/>
      <x:c r="C147" s="191"/>
      <x:c r="D147" s="191"/>
      <x:c r="E147" s="191"/>
      <x:c r="F147" s="191"/>
      <x:c r="G147" s="191"/>
      <x:c r="H147" s="191"/>
      <x:c r="I147" s="191"/>
      <x:c r="J147" s="191"/>
      <x:c r="K147" s="191"/>
      <x:c r="L147" s="191"/>
      <x:c r="M147" s="191"/>
      <x:c r="N147" s="191"/>
      <x:c r="O147" s="191"/>
      <x:c r="P147" s="191"/>
      <x:c r="Q147" s="191"/>
      <x:c r="R147" s="191"/>
      <x:c r="S147" s="191"/>
      <x:c r="T147" s="191"/>
      <x:c r="U147" s="191"/>
      <x:c r="V147" s="191"/>
      <x:c r="W147" s="191"/>
      <x:c r="X147" s="191"/>
      <x:c r="Y147" s="191"/>
      <x:c r="Z147" s="191"/>
      <x:c r="AA147" s="191"/>
      <x:c r="AB147" s="191"/>
      <x:c r="AC147" s="191"/>
      <x:c r="AD147" s="191"/>
      <x:c r="AE147" s="191"/>
      <x:c r="AF147" s="191"/>
      <x:c r="AG147" s="191"/>
      <x:c r="AH147" s="191"/>
      <x:c r="AI147" s="191"/>
      <x:c r="AJ147" s="191"/>
      <x:c r="AK147" s="191"/>
    </x:row>
    <x:row r="148">
      <x:c r="A148" s="191"/>
      <x:c r="B148" s="191"/>
      <x:c r="C148" s="191"/>
      <x:c r="D148" s="191"/>
      <x:c r="E148" s="191"/>
      <x:c r="F148" s="191"/>
      <x:c r="G148" s="191"/>
      <x:c r="H148" s="191"/>
      <x:c r="I148" s="191"/>
      <x:c r="J148" s="191"/>
      <x:c r="K148" s="191"/>
      <x:c r="L148" s="191"/>
      <x:c r="M148" s="191"/>
      <x:c r="N148" s="191"/>
      <x:c r="O148" s="191"/>
      <x:c r="P148" s="191"/>
      <x:c r="Q148" s="191"/>
      <x:c r="R148" s="191"/>
      <x:c r="S148" s="191"/>
      <x:c r="T148" s="191"/>
      <x:c r="U148" s="191"/>
      <x:c r="V148" s="191"/>
      <x:c r="W148" s="191"/>
      <x:c r="X148" s="191"/>
      <x:c r="Y148" s="191"/>
      <x:c r="Z148" s="191"/>
      <x:c r="AA148" s="191"/>
      <x:c r="AB148" s="191"/>
      <x:c r="AC148" s="191"/>
      <x:c r="AD148" s="191"/>
      <x:c r="AE148" s="191"/>
      <x:c r="AF148" s="191"/>
      <x:c r="AG148" s="191"/>
      <x:c r="AH148" s="191"/>
      <x:c r="AI148" s="191"/>
      <x:c r="AJ148" s="191"/>
      <x:c r="AK148" s="191"/>
    </x:row>
    <x:row r="149">
      <x:c r="A149" s="191"/>
      <x:c r="B149" s="191"/>
      <x:c r="C149" s="191"/>
      <x:c r="D149" s="191"/>
      <x:c r="E149" s="191"/>
      <x:c r="F149" s="191"/>
      <x:c r="G149" s="191"/>
      <x:c r="H149" s="191"/>
      <x:c r="I149" s="191"/>
      <x:c r="J149" s="191"/>
      <x:c r="K149" s="191"/>
      <x:c r="L149" s="191"/>
      <x:c r="M149" s="191"/>
      <x:c r="N149" s="191"/>
      <x:c r="O149" s="191"/>
      <x:c r="P149" s="191"/>
      <x:c r="Q149" s="191"/>
      <x:c r="R149" s="191"/>
      <x:c r="S149" s="191"/>
      <x:c r="T149" s="191"/>
      <x:c r="U149" s="191"/>
      <x:c r="V149" s="191"/>
      <x:c r="W149" s="191"/>
      <x:c r="X149" s="191"/>
      <x:c r="Y149" s="191"/>
      <x:c r="Z149" s="191"/>
      <x:c r="AA149" s="191"/>
      <x:c r="AB149" s="191"/>
      <x:c r="AC149" s="191"/>
      <x:c r="AD149" s="191"/>
      <x:c r="AE149" s="191"/>
      <x:c r="AF149" s="191"/>
      <x:c r="AG149" s="191"/>
      <x:c r="AH149" s="191"/>
      <x:c r="AI149" s="191"/>
      <x:c r="AJ149" s="191"/>
      <x:c r="AK149" s="191"/>
    </x:row>
    <x:row r="150">
      <x:c r="A150" s="191"/>
      <x:c r="B150" s="191"/>
      <x:c r="C150" s="191"/>
      <x:c r="D150" s="191"/>
      <x:c r="E150" s="191"/>
      <x:c r="F150" s="191"/>
      <x:c r="G150" s="191"/>
      <x:c r="H150" s="191"/>
      <x:c r="I150" s="191"/>
      <x:c r="J150" s="191"/>
      <x:c r="K150" s="191"/>
      <x:c r="L150" s="191"/>
      <x:c r="M150" s="191"/>
      <x:c r="N150" s="191"/>
      <x:c r="O150" s="191"/>
      <x:c r="P150" s="191"/>
      <x:c r="Q150" s="191"/>
      <x:c r="R150" s="191"/>
      <x:c r="S150" s="191"/>
      <x:c r="T150" s="191"/>
      <x:c r="U150" s="191"/>
      <x:c r="V150" s="191"/>
      <x:c r="W150" s="191"/>
      <x:c r="X150" s="191"/>
      <x:c r="Y150" s="191"/>
      <x:c r="Z150" s="191"/>
      <x:c r="AA150" s="191"/>
      <x:c r="AB150" s="191"/>
      <x:c r="AC150" s="191"/>
      <x:c r="AD150" s="191"/>
      <x:c r="AE150" s="191"/>
      <x:c r="AF150" s="191"/>
      <x:c r="AG150" s="191"/>
      <x:c r="AH150" s="191"/>
      <x:c r="AI150" s="191"/>
      <x:c r="AJ150" s="191"/>
      <x:c r="AK150" s="191"/>
    </x:row>
    <x:row r="151">
      <x:c r="A151" s="191"/>
      <x:c r="B151" s="191"/>
      <x:c r="C151" s="191"/>
      <x:c r="D151" s="191"/>
      <x:c r="E151" s="191"/>
      <x:c r="F151" s="191"/>
      <x:c r="G151" s="191"/>
      <x:c r="H151" s="191"/>
      <x:c r="I151" s="191"/>
      <x:c r="J151" s="191"/>
      <x:c r="K151" s="191"/>
      <x:c r="L151" s="191"/>
      <x:c r="M151" s="191"/>
      <x:c r="N151" s="191"/>
      <x:c r="O151" s="191"/>
      <x:c r="P151" s="191"/>
      <x:c r="Q151" s="191"/>
      <x:c r="R151" s="191"/>
      <x:c r="S151" s="191"/>
      <x:c r="T151" s="191"/>
      <x:c r="U151" s="191"/>
      <x:c r="V151" s="191"/>
      <x:c r="W151" s="191"/>
      <x:c r="X151" s="191"/>
      <x:c r="Y151" s="191"/>
      <x:c r="Z151" s="191"/>
      <x:c r="AA151" s="191"/>
      <x:c r="AB151" s="191"/>
      <x:c r="AC151" s="191"/>
      <x:c r="AD151" s="191"/>
      <x:c r="AE151" s="191"/>
      <x:c r="AF151" s="191"/>
      <x:c r="AG151" s="191"/>
      <x:c r="AH151" s="191"/>
      <x:c r="AI151" s="191"/>
      <x:c r="AJ151" s="191"/>
      <x:c r="AK151" s="191"/>
    </x:row>
    <x:row r="152">
      <x:c r="A152" s="191"/>
      <x:c r="B152" s="191"/>
      <x:c r="C152" s="191"/>
      <x:c r="D152" s="191"/>
      <x:c r="E152" s="191"/>
      <x:c r="F152" s="191"/>
      <x:c r="G152" s="191"/>
      <x:c r="H152" s="191"/>
      <x:c r="I152" s="191"/>
      <x:c r="J152" s="191"/>
      <x:c r="K152" s="191"/>
      <x:c r="L152" s="191"/>
      <x:c r="M152" s="191"/>
      <x:c r="N152" s="191"/>
      <x:c r="O152" s="191"/>
      <x:c r="P152" s="191"/>
      <x:c r="Q152" s="191"/>
      <x:c r="R152" s="191"/>
      <x:c r="S152" s="191"/>
      <x:c r="T152" s="191"/>
      <x:c r="U152" s="191"/>
      <x:c r="V152" s="191"/>
      <x:c r="W152" s="191"/>
      <x:c r="X152" s="191"/>
      <x:c r="Y152" s="191"/>
      <x:c r="Z152" s="191"/>
      <x:c r="AA152" s="191"/>
      <x:c r="AB152" s="191"/>
      <x:c r="AC152" s="191"/>
      <x:c r="AD152" s="191"/>
      <x:c r="AE152" s="191"/>
      <x:c r="AF152" s="191"/>
      <x:c r="AG152" s="191"/>
      <x:c r="AH152" s="191"/>
      <x:c r="AI152" s="191"/>
      <x:c r="AJ152" s="191"/>
      <x:c r="AK152" s="191"/>
    </x:row>
    <x:row r="153">
      <x:c r="A153" s="191"/>
      <x:c r="B153" s="191"/>
      <x:c r="C153" s="191"/>
      <x:c r="D153" s="191"/>
      <x:c r="E153" s="191"/>
      <x:c r="F153" s="191"/>
      <x:c r="G153" s="191"/>
      <x:c r="H153" s="191"/>
      <x:c r="I153" s="191"/>
      <x:c r="J153" s="191"/>
      <x:c r="K153" s="191"/>
      <x:c r="L153" s="191"/>
      <x:c r="M153" s="191"/>
      <x:c r="N153" s="191"/>
      <x:c r="O153" s="191"/>
      <x:c r="P153" s="191"/>
      <x:c r="Q153" s="191"/>
      <x:c r="R153" s="191"/>
      <x:c r="S153" s="191"/>
      <x:c r="T153" s="191"/>
      <x:c r="U153" s="191"/>
      <x:c r="V153" s="191"/>
      <x:c r="W153" s="191"/>
      <x:c r="X153" s="191"/>
      <x:c r="Y153" s="191"/>
      <x:c r="Z153" s="191"/>
      <x:c r="AA153" s="191"/>
      <x:c r="AB153" s="191"/>
      <x:c r="AC153" s="191"/>
      <x:c r="AD153" s="191"/>
      <x:c r="AE153" s="191"/>
      <x:c r="AF153" s="191"/>
      <x:c r="AG153" s="191"/>
      <x:c r="AH153" s="191"/>
      <x:c r="AI153" s="191"/>
      <x:c r="AJ153" s="191"/>
      <x:c r="AK153" s="191"/>
    </x:row>
    <x:row r="154">
      <x:c r="A154" s="191"/>
      <x:c r="B154" s="191"/>
      <x:c r="C154" s="191"/>
      <x:c r="D154" s="191"/>
      <x:c r="E154" s="191"/>
      <x:c r="F154" s="191"/>
      <x:c r="G154" s="191"/>
      <x:c r="H154" s="191"/>
      <x:c r="I154" s="191"/>
      <x:c r="J154" s="191"/>
      <x:c r="K154" s="191"/>
      <x:c r="L154" s="191"/>
      <x:c r="M154" s="191"/>
      <x:c r="N154" s="191"/>
      <x:c r="O154" s="191"/>
      <x:c r="P154" s="191"/>
      <x:c r="Q154" s="191"/>
      <x:c r="R154" s="191"/>
      <x:c r="S154" s="191"/>
      <x:c r="T154" s="191"/>
      <x:c r="U154" s="191"/>
      <x:c r="V154" s="191"/>
      <x:c r="W154" s="191"/>
      <x:c r="X154" s="191"/>
      <x:c r="Y154" s="191"/>
      <x:c r="Z154" s="191"/>
      <x:c r="AA154" s="191"/>
      <x:c r="AB154" s="191"/>
      <x:c r="AC154" s="191"/>
      <x:c r="AD154" s="191"/>
      <x:c r="AE154" s="191"/>
      <x:c r="AF154" s="191"/>
      <x:c r="AG154" s="191"/>
      <x:c r="AH154" s="191"/>
      <x:c r="AI154" s="191"/>
      <x:c r="AJ154" s="191"/>
      <x:c r="AK154" s="191"/>
    </x:row>
    <x:row r="155">
      <x:c r="A155" s="191"/>
      <x:c r="B155" s="191"/>
      <x:c r="C155" s="191"/>
      <x:c r="D155" s="191"/>
      <x:c r="E155" s="191"/>
      <x:c r="F155" s="191"/>
      <x:c r="G155" s="191"/>
      <x:c r="H155" s="191"/>
      <x:c r="I155" s="191"/>
      <x:c r="J155" s="191"/>
      <x:c r="K155" s="191"/>
      <x:c r="L155" s="191"/>
      <x:c r="M155" s="191"/>
      <x:c r="N155" s="191"/>
      <x:c r="O155" s="191"/>
      <x:c r="P155" s="191"/>
      <x:c r="Q155" s="191"/>
      <x:c r="R155" s="191"/>
      <x:c r="S155" s="191"/>
      <x:c r="T155" s="191"/>
      <x:c r="U155" s="191"/>
      <x:c r="V155" s="191"/>
      <x:c r="W155" s="191"/>
      <x:c r="X155" s="191"/>
      <x:c r="Y155" s="191"/>
      <x:c r="Z155" s="191"/>
      <x:c r="AA155" s="191"/>
      <x:c r="AB155" s="191"/>
      <x:c r="AC155" s="191"/>
      <x:c r="AD155" s="191"/>
      <x:c r="AE155" s="191"/>
      <x:c r="AF155" s="191"/>
      <x:c r="AG155" s="191"/>
      <x:c r="AH155" s="191"/>
      <x:c r="AI155" s="191"/>
      <x:c r="AJ155" s="191"/>
      <x:c r="AK155" s="191"/>
    </x:row>
    <x:row r="156">
      <x:c r="A156" s="191"/>
      <x:c r="B156" s="191"/>
      <x:c r="C156" s="191"/>
      <x:c r="D156" s="191"/>
      <x:c r="E156" s="191"/>
      <x:c r="F156" s="191"/>
      <x:c r="G156" s="191"/>
      <x:c r="H156" s="191"/>
      <x:c r="I156" s="191"/>
      <x:c r="J156" s="191"/>
      <x:c r="K156" s="191"/>
      <x:c r="L156" s="191"/>
      <x:c r="M156" s="191"/>
      <x:c r="N156" s="191"/>
      <x:c r="O156" s="191"/>
      <x:c r="P156" s="191"/>
      <x:c r="Q156" s="191"/>
      <x:c r="R156" s="191"/>
      <x:c r="S156" s="191"/>
      <x:c r="T156" s="191"/>
      <x:c r="U156" s="191"/>
      <x:c r="V156" s="191"/>
      <x:c r="W156" s="191"/>
      <x:c r="X156" s="191"/>
      <x:c r="Y156" s="191"/>
      <x:c r="Z156" s="191"/>
      <x:c r="AA156" s="191"/>
      <x:c r="AB156" s="191"/>
      <x:c r="AC156" s="191"/>
      <x:c r="AD156" s="191"/>
      <x:c r="AE156" s="191"/>
      <x:c r="AF156" s="191"/>
      <x:c r="AG156" s="191"/>
      <x:c r="AH156" s="191"/>
      <x:c r="AI156" s="191"/>
      <x:c r="AJ156" s="191"/>
      <x:c r="AK156" s="191"/>
    </x:row>
    <x:row r="157">
      <x:c r="A157" s="191"/>
      <x:c r="B157" s="191"/>
      <x:c r="C157" s="191"/>
      <x:c r="D157" s="191"/>
      <x:c r="E157" s="191"/>
      <x:c r="F157" s="191"/>
      <x:c r="G157" s="191"/>
      <x:c r="H157" s="191"/>
      <x:c r="I157" s="191"/>
      <x:c r="J157" s="191"/>
      <x:c r="K157" s="191"/>
      <x:c r="L157" s="191"/>
      <x:c r="M157" s="191"/>
      <x:c r="N157" s="191"/>
      <x:c r="O157" s="191"/>
      <x:c r="P157" s="191"/>
      <x:c r="Q157" s="191"/>
      <x:c r="R157" s="191"/>
      <x:c r="S157" s="191"/>
      <x:c r="T157" s="191"/>
      <x:c r="U157" s="191"/>
      <x:c r="V157" s="191"/>
      <x:c r="W157" s="191"/>
      <x:c r="X157" s="191"/>
      <x:c r="Y157" s="191"/>
      <x:c r="Z157" s="191"/>
      <x:c r="AA157" s="191"/>
      <x:c r="AB157" s="191"/>
      <x:c r="AC157" s="191"/>
      <x:c r="AD157" s="191"/>
      <x:c r="AE157" s="191"/>
      <x:c r="AF157" s="191"/>
      <x:c r="AG157" s="191"/>
      <x:c r="AH157" s="191"/>
      <x:c r="AI157" s="191"/>
      <x:c r="AJ157" s="191"/>
      <x:c r="AK157" s="191"/>
    </x:row>
    <x:row r="158">
      <x:c r="A158" s="191"/>
      <x:c r="B158" s="191"/>
      <x:c r="C158" s="191"/>
      <x:c r="D158" s="191"/>
      <x:c r="E158" s="191"/>
      <x:c r="F158" s="191"/>
      <x:c r="G158" s="191"/>
      <x:c r="H158" s="191"/>
      <x:c r="I158" s="191"/>
      <x:c r="J158" s="191"/>
      <x:c r="K158" s="191"/>
      <x:c r="L158" s="191"/>
      <x:c r="M158" s="191"/>
      <x:c r="N158" s="191"/>
      <x:c r="O158" s="191"/>
      <x:c r="P158" s="191"/>
      <x:c r="Q158" s="191"/>
      <x:c r="R158" s="191"/>
      <x:c r="S158" s="191"/>
      <x:c r="T158" s="191"/>
      <x:c r="U158" s="191"/>
      <x:c r="V158" s="191"/>
      <x:c r="W158" s="191"/>
      <x:c r="X158" s="191"/>
      <x:c r="Y158" s="191"/>
      <x:c r="Z158" s="191"/>
      <x:c r="AA158" s="191"/>
      <x:c r="AB158" s="191"/>
      <x:c r="AC158" s="191"/>
      <x:c r="AD158" s="191"/>
      <x:c r="AE158" s="191"/>
      <x:c r="AF158" s="191"/>
      <x:c r="AG158" s="191"/>
      <x:c r="AH158" s="191"/>
      <x:c r="AI158" s="191"/>
      <x:c r="AJ158" s="191"/>
      <x:c r="AK158" s="191"/>
    </x:row>
    <x:row r="159">
      <x:c r="A159" s="191"/>
      <x:c r="B159" s="191"/>
      <x:c r="C159" s="191"/>
      <x:c r="D159" s="191"/>
      <x:c r="E159" s="191"/>
      <x:c r="F159" s="191"/>
      <x:c r="G159" s="191"/>
      <x:c r="H159" s="191"/>
      <x:c r="I159" s="191"/>
      <x:c r="J159" s="191"/>
      <x:c r="K159" s="191"/>
      <x:c r="L159" s="191"/>
      <x:c r="M159" s="191"/>
      <x:c r="N159" s="191"/>
      <x:c r="O159" s="191"/>
      <x:c r="P159" s="191"/>
      <x:c r="Q159" s="191"/>
      <x:c r="R159" s="191"/>
      <x:c r="S159" s="191"/>
      <x:c r="T159" s="191"/>
      <x:c r="U159" s="191"/>
      <x:c r="V159" s="191"/>
      <x:c r="W159" s="191"/>
      <x:c r="X159" s="191"/>
      <x:c r="Y159" s="191"/>
      <x:c r="Z159" s="191"/>
      <x:c r="AA159" s="191"/>
      <x:c r="AB159" s="191"/>
      <x:c r="AC159" s="191"/>
      <x:c r="AD159" s="191"/>
      <x:c r="AE159" s="191"/>
      <x:c r="AF159" s="191"/>
      <x:c r="AG159" s="191"/>
      <x:c r="AH159" s="191"/>
      <x:c r="AI159" s="191"/>
      <x:c r="AJ159" s="191"/>
      <x:c r="AK159" s="191"/>
    </x:row>
    <x:row r="160">
      <x:c r="A160" s="191"/>
      <x:c r="B160" s="191"/>
      <x:c r="C160" s="191"/>
      <x:c r="D160" s="191"/>
      <x:c r="E160" s="191"/>
      <x:c r="F160" s="191"/>
      <x:c r="G160" s="191"/>
      <x:c r="H160" s="191"/>
      <x:c r="I160" s="191"/>
      <x:c r="J160" s="191"/>
      <x:c r="K160" s="191"/>
      <x:c r="L160" s="191"/>
      <x:c r="M160" s="191"/>
      <x:c r="N160" s="191"/>
      <x:c r="O160" s="191"/>
      <x:c r="P160" s="191"/>
      <x:c r="Q160" s="191"/>
      <x:c r="R160" s="191"/>
      <x:c r="S160" s="191"/>
      <x:c r="T160" s="191"/>
      <x:c r="U160" s="191"/>
      <x:c r="V160" s="191"/>
      <x:c r="W160" s="191"/>
      <x:c r="X160" s="191"/>
      <x:c r="Y160" s="191"/>
      <x:c r="Z160" s="191"/>
      <x:c r="AA160" s="191"/>
      <x:c r="AB160" s="191"/>
      <x:c r="AC160" s="191"/>
      <x:c r="AD160" s="191"/>
      <x:c r="AE160" s="191"/>
      <x:c r="AF160" s="191"/>
      <x:c r="AG160" s="191"/>
      <x:c r="AH160" s="191"/>
      <x:c r="AI160" s="191"/>
      <x:c r="AJ160" s="191"/>
      <x:c r="AK160" s="191"/>
    </x:row>
    <x:row r="161">
      <x:c r="A161" s="191"/>
      <x:c r="B161" s="191"/>
      <x:c r="C161" s="191"/>
      <x:c r="D161" s="191"/>
      <x:c r="E161" s="191"/>
      <x:c r="F161" s="191"/>
      <x:c r="G161" s="191"/>
      <x:c r="H161" s="191"/>
      <x:c r="I161" s="191"/>
      <x:c r="J161" s="191"/>
      <x:c r="K161" s="191"/>
      <x:c r="L161" s="191"/>
      <x:c r="M161" s="191"/>
      <x:c r="N161" s="191"/>
      <x:c r="O161" s="191"/>
      <x:c r="P161" s="191"/>
      <x:c r="Q161" s="191"/>
      <x:c r="R161" s="191"/>
      <x:c r="S161" s="191"/>
      <x:c r="T161" s="191"/>
      <x:c r="U161" s="191"/>
      <x:c r="V161" s="191"/>
      <x:c r="W161" s="191"/>
      <x:c r="X161" s="191"/>
      <x:c r="Y161" s="191"/>
      <x:c r="Z161" s="191"/>
      <x:c r="AA161" s="191"/>
      <x:c r="AB161" s="191"/>
      <x:c r="AC161" s="191"/>
      <x:c r="AD161" s="191"/>
      <x:c r="AE161" s="191"/>
      <x:c r="AF161" s="191"/>
      <x:c r="AG161" s="191"/>
      <x:c r="AH161" s="191"/>
      <x:c r="AI161" s="191"/>
      <x:c r="AJ161" s="191"/>
      <x:c r="AK161" s="191"/>
    </x:row>
    <x:row r="162">
      <x:c r="A162" s="191"/>
      <x:c r="B162" s="191"/>
      <x:c r="C162" s="191"/>
      <x:c r="D162" s="191"/>
      <x:c r="E162" s="191"/>
      <x:c r="F162" s="191"/>
      <x:c r="G162" s="191"/>
      <x:c r="H162" s="191"/>
      <x:c r="I162" s="191"/>
      <x:c r="J162" s="191"/>
      <x:c r="K162" s="191"/>
      <x:c r="L162" s="191"/>
      <x:c r="M162" s="191"/>
      <x:c r="N162" s="191"/>
      <x:c r="O162" s="191"/>
      <x:c r="P162" s="191"/>
      <x:c r="Q162" s="191"/>
      <x:c r="R162" s="191"/>
      <x:c r="S162" s="191"/>
      <x:c r="T162" s="191"/>
      <x:c r="U162" s="191"/>
      <x:c r="V162" s="191"/>
      <x:c r="W162" s="191"/>
      <x:c r="X162" s="191"/>
      <x:c r="Y162" s="191"/>
      <x:c r="Z162" s="191"/>
      <x:c r="AA162" s="191"/>
      <x:c r="AB162" s="191"/>
      <x:c r="AC162" s="191"/>
      <x:c r="AD162" s="191"/>
      <x:c r="AE162" s="191"/>
      <x:c r="AF162" s="191"/>
      <x:c r="AG162" s="191"/>
      <x:c r="AH162" s="191"/>
      <x:c r="AI162" s="191"/>
      <x:c r="AJ162" s="191"/>
      <x:c r="AK162" s="191"/>
    </x:row>
    <x:row r="163">
      <x:c r="A163" s="191"/>
      <x:c r="B163" s="191"/>
      <x:c r="C163" s="191"/>
      <x:c r="D163" s="191"/>
      <x:c r="E163" s="191"/>
      <x:c r="F163" s="191"/>
      <x:c r="G163" s="191"/>
      <x:c r="H163" s="191"/>
      <x:c r="I163" s="191"/>
      <x:c r="J163" s="191"/>
      <x:c r="K163" s="191"/>
      <x:c r="L163" s="191"/>
      <x:c r="M163" s="191"/>
      <x:c r="N163" s="191"/>
      <x:c r="O163" s="191"/>
      <x:c r="P163" s="191"/>
      <x:c r="Q163" s="191"/>
      <x:c r="R163" s="191"/>
      <x:c r="S163" s="191"/>
      <x:c r="T163" s="191"/>
      <x:c r="U163" s="191"/>
      <x:c r="V163" s="191"/>
      <x:c r="W163" s="191"/>
      <x:c r="X163" s="191"/>
      <x:c r="Y163" s="191"/>
      <x:c r="Z163" s="191"/>
      <x:c r="AA163" s="191"/>
      <x:c r="AB163" s="191"/>
      <x:c r="AC163" s="191"/>
      <x:c r="AD163" s="191"/>
      <x:c r="AE163" s="191"/>
      <x:c r="AF163" s="191"/>
      <x:c r="AG163" s="191"/>
      <x:c r="AH163" s="191"/>
      <x:c r="AI163" s="191"/>
      <x:c r="AJ163" s="191"/>
      <x:c r="AK163" s="191"/>
    </x:row>
    <x:row r="164">
      <x:c r="A164" s="191"/>
      <x:c r="B164" s="191"/>
      <x:c r="C164" s="191"/>
      <x:c r="D164" s="191"/>
      <x:c r="E164" s="191"/>
      <x:c r="F164" s="191"/>
      <x:c r="G164" s="191"/>
      <x:c r="H164" s="191"/>
      <x:c r="I164" s="191"/>
      <x:c r="J164" s="191"/>
      <x:c r="K164" s="191"/>
      <x:c r="L164" s="191"/>
      <x:c r="M164" s="191"/>
      <x:c r="N164" s="191"/>
      <x:c r="O164" s="191"/>
      <x:c r="P164" s="191"/>
      <x:c r="Q164" s="191"/>
      <x:c r="R164" s="191"/>
      <x:c r="S164" s="191"/>
      <x:c r="T164" s="191"/>
      <x:c r="U164" s="191"/>
      <x:c r="V164" s="191"/>
      <x:c r="W164" s="191"/>
      <x:c r="X164" s="191"/>
      <x:c r="Y164" s="191"/>
      <x:c r="Z164" s="191"/>
      <x:c r="AA164" s="191"/>
      <x:c r="AB164" s="191"/>
      <x:c r="AC164" s="191"/>
      <x:c r="AD164" s="191"/>
      <x:c r="AE164" s="191"/>
      <x:c r="AF164" s="191"/>
      <x:c r="AG164" s="191"/>
      <x:c r="AH164" s="191"/>
      <x:c r="AI164" s="191"/>
      <x:c r="AJ164" s="191"/>
      <x:c r="AK164" s="191"/>
    </x:row>
    <x:row r="165">
      <x:c r="A165" s="191"/>
      <x:c r="B165" s="191"/>
      <x:c r="C165" s="191"/>
      <x:c r="D165" s="191"/>
      <x:c r="E165" s="191"/>
      <x:c r="F165" s="191"/>
      <x:c r="G165" s="191"/>
      <x:c r="H165" s="191"/>
      <x:c r="I165" s="191"/>
      <x:c r="J165" s="191"/>
      <x:c r="K165" s="191"/>
      <x:c r="L165" s="191"/>
      <x:c r="M165" s="191"/>
      <x:c r="N165" s="191"/>
      <x:c r="O165" s="191"/>
      <x:c r="P165" s="191"/>
      <x:c r="Q165" s="191"/>
      <x:c r="R165" s="191"/>
      <x:c r="S165" s="191"/>
      <x:c r="T165" s="191"/>
      <x:c r="U165" s="191"/>
      <x:c r="V165" s="191"/>
      <x:c r="W165" s="191"/>
      <x:c r="X165" s="191"/>
      <x:c r="Y165" s="191"/>
      <x:c r="Z165" s="191"/>
      <x:c r="AA165" s="191"/>
      <x:c r="AB165" s="191"/>
      <x:c r="AC165" s="191"/>
      <x:c r="AD165" s="191"/>
      <x:c r="AE165" s="191"/>
      <x:c r="AF165" s="191"/>
      <x:c r="AG165" s="191"/>
      <x:c r="AH165" s="191"/>
      <x:c r="AI165" s="191"/>
      <x:c r="AJ165" s="191"/>
      <x:c r="AK165" s="191"/>
    </x:row>
    <x:row r="166">
      <x:c r="A166" s="191"/>
      <x:c r="B166" s="191"/>
      <x:c r="C166" s="191"/>
      <x:c r="D166" s="191"/>
      <x:c r="E166" s="191"/>
      <x:c r="F166" s="191"/>
      <x:c r="G166" s="191"/>
      <x:c r="H166" s="191"/>
      <x:c r="I166" s="191"/>
      <x:c r="J166" s="191"/>
      <x:c r="K166" s="191"/>
      <x:c r="L166" s="191"/>
      <x:c r="M166" s="191"/>
      <x:c r="N166" s="191"/>
      <x:c r="O166" s="191"/>
      <x:c r="P166" s="191"/>
      <x:c r="Q166" s="191"/>
      <x:c r="R166" s="191"/>
      <x:c r="S166" s="191"/>
      <x:c r="T166" s="191"/>
      <x:c r="U166" s="191"/>
      <x:c r="V166" s="191"/>
      <x:c r="W166" s="191"/>
      <x:c r="X166" s="191"/>
      <x:c r="Y166" s="191"/>
      <x:c r="Z166" s="191"/>
      <x:c r="AA166" s="191"/>
      <x:c r="AB166" s="191"/>
      <x:c r="AC166" s="191"/>
      <x:c r="AD166" s="191"/>
      <x:c r="AE166" s="191"/>
      <x:c r="AF166" s="191"/>
      <x:c r="AG166" s="191"/>
      <x:c r="AH166" s="191"/>
      <x:c r="AI166" s="191"/>
      <x:c r="AJ166" s="191"/>
      <x:c r="AK166" s="191"/>
    </x:row>
    <x:row r="167">
      <x:c r="A167" s="191"/>
      <x:c r="B167" s="191"/>
      <x:c r="C167" s="191"/>
      <x:c r="D167" s="191"/>
      <x:c r="E167" s="191"/>
      <x:c r="F167" s="191"/>
      <x:c r="G167" s="191"/>
      <x:c r="H167" s="191"/>
      <x:c r="I167" s="191"/>
      <x:c r="J167" s="191"/>
      <x:c r="K167" s="191"/>
      <x:c r="L167" s="191"/>
      <x:c r="M167" s="191"/>
      <x:c r="N167" s="191"/>
      <x:c r="O167" s="191"/>
      <x:c r="P167" s="191"/>
      <x:c r="Q167" s="191"/>
      <x:c r="R167" s="191"/>
      <x:c r="S167" s="191"/>
      <x:c r="T167" s="191"/>
      <x:c r="U167" s="191"/>
      <x:c r="V167" s="191"/>
      <x:c r="W167" s="191"/>
      <x:c r="X167" s="191"/>
      <x:c r="Y167" s="191"/>
      <x:c r="Z167" s="191"/>
      <x:c r="AA167" s="191"/>
      <x:c r="AB167" s="191"/>
      <x:c r="AC167" s="191"/>
      <x:c r="AD167" s="191"/>
      <x:c r="AE167" s="191"/>
      <x:c r="AF167" s="191"/>
      <x:c r="AG167" s="191"/>
      <x:c r="AH167" s="191"/>
      <x:c r="AI167" s="191"/>
      <x:c r="AJ167" s="191"/>
      <x:c r="AK167" s="191"/>
    </x:row>
    <x:row r="168">
      <x:c r="A168" s="191"/>
      <x:c r="B168" s="191"/>
      <x:c r="C168" s="191"/>
      <x:c r="D168" s="191"/>
      <x:c r="E168" s="191"/>
      <x:c r="F168" s="191"/>
      <x:c r="G168" s="191"/>
      <x:c r="H168" s="191"/>
      <x:c r="I168" s="191"/>
      <x:c r="J168" s="191"/>
      <x:c r="K168" s="191"/>
      <x:c r="L168" s="191"/>
      <x:c r="M168" s="191"/>
      <x:c r="N168" s="191"/>
      <x:c r="O168" s="191"/>
      <x:c r="P168" s="191"/>
      <x:c r="Q168" s="191"/>
      <x:c r="R168" s="191"/>
      <x:c r="S168" s="191"/>
      <x:c r="T168" s="191"/>
      <x:c r="U168" s="191"/>
      <x:c r="V168" s="191"/>
      <x:c r="W168" s="191"/>
      <x:c r="X168" s="191"/>
      <x:c r="Y168" s="191"/>
      <x:c r="Z168" s="191"/>
      <x:c r="AA168" s="191"/>
      <x:c r="AB168" s="191"/>
      <x:c r="AC168" s="191"/>
      <x:c r="AD168" s="191"/>
      <x:c r="AE168" s="191"/>
      <x:c r="AF168" s="191"/>
      <x:c r="AG168" s="191"/>
      <x:c r="AH168" s="191"/>
      <x:c r="AI168" s="191"/>
      <x:c r="AJ168" s="191"/>
      <x:c r="AK168" s="191"/>
    </x:row>
    <x:row r="169">
      <x:c r="A169" s="191"/>
      <x:c r="B169" s="191"/>
      <x:c r="C169" s="191"/>
      <x:c r="D169" s="191"/>
      <x:c r="E169" s="191"/>
      <x:c r="F169" s="191"/>
      <x:c r="G169" s="191"/>
      <x:c r="H169" s="191"/>
      <x:c r="I169" s="191"/>
      <x:c r="J169" s="191"/>
      <x:c r="K169" s="191"/>
      <x:c r="L169" s="191"/>
      <x:c r="M169" s="191"/>
      <x:c r="N169" s="191"/>
      <x:c r="O169" s="191"/>
      <x:c r="P169" s="191"/>
      <x:c r="Q169" s="191"/>
      <x:c r="R169" s="191"/>
      <x:c r="S169" s="191"/>
      <x:c r="T169" s="191"/>
      <x:c r="U169" s="191"/>
      <x:c r="V169" s="191"/>
      <x:c r="W169" s="191"/>
      <x:c r="X169" s="191"/>
      <x:c r="Y169" s="191"/>
      <x:c r="Z169" s="191"/>
      <x:c r="AA169" s="191"/>
      <x:c r="AB169" s="191"/>
      <x:c r="AC169" s="191"/>
      <x:c r="AD169" s="191"/>
      <x:c r="AE169" s="191"/>
      <x:c r="AF169" s="191"/>
      <x:c r="AG169" s="191"/>
      <x:c r="AH169" s="191"/>
      <x:c r="AI169" s="191"/>
      <x:c r="AJ169" s="191"/>
      <x:c r="AK169" s="191"/>
    </x:row>
    <x:row r="170">
      <x:c r="A170" s="191"/>
      <x:c r="B170" s="191"/>
      <x:c r="C170" s="191"/>
      <x:c r="D170" s="191"/>
      <x:c r="E170" s="191"/>
      <x:c r="F170" s="191"/>
      <x:c r="G170" s="191"/>
      <x:c r="H170" s="191"/>
      <x:c r="I170" s="191"/>
      <x:c r="J170" s="191"/>
      <x:c r="K170" s="191"/>
      <x:c r="L170" s="191"/>
      <x:c r="M170" s="191"/>
      <x:c r="N170" s="191"/>
      <x:c r="O170" s="191"/>
      <x:c r="P170" s="191"/>
      <x:c r="Q170" s="191"/>
      <x:c r="R170" s="191"/>
      <x:c r="S170" s="191"/>
      <x:c r="T170" s="191"/>
      <x:c r="U170" s="191"/>
      <x:c r="V170" s="191"/>
      <x:c r="W170" s="191"/>
      <x:c r="X170" s="191"/>
      <x:c r="Y170" s="191"/>
      <x:c r="Z170" s="191"/>
      <x:c r="AA170" s="191"/>
      <x:c r="AB170" s="191"/>
      <x:c r="AC170" s="191"/>
      <x:c r="AD170" s="191"/>
      <x:c r="AE170" s="191"/>
      <x:c r="AF170" s="191"/>
      <x:c r="AG170" s="191"/>
      <x:c r="AH170" s="191"/>
      <x:c r="AI170" s="191"/>
      <x:c r="AJ170" s="191"/>
      <x:c r="AK170" s="191"/>
    </x:row>
    <x:row r="171">
      <x:c r="A171" s="191"/>
      <x:c r="B171" s="191"/>
      <x:c r="C171" s="191"/>
      <x:c r="D171" s="191"/>
      <x:c r="E171" s="191"/>
      <x:c r="F171" s="191"/>
      <x:c r="G171" s="191"/>
      <x:c r="H171" s="191"/>
      <x:c r="I171" s="191"/>
      <x:c r="J171" s="191"/>
      <x:c r="K171" s="191"/>
      <x:c r="L171" s="191"/>
      <x:c r="M171" s="191"/>
      <x:c r="N171" s="191"/>
      <x:c r="O171" s="191"/>
      <x:c r="P171" s="191"/>
      <x:c r="Q171" s="191"/>
      <x:c r="R171" s="191"/>
      <x:c r="S171" s="191"/>
      <x:c r="T171" s="191"/>
      <x:c r="U171" s="191"/>
      <x:c r="V171" s="191"/>
      <x:c r="W171" s="191"/>
      <x:c r="X171" s="191"/>
      <x:c r="Y171" s="191"/>
      <x:c r="Z171" s="191"/>
      <x:c r="AA171" s="191"/>
      <x:c r="AB171" s="191"/>
      <x:c r="AC171" s="191"/>
      <x:c r="AD171" s="191"/>
      <x:c r="AE171" s="191"/>
      <x:c r="AF171" s="191"/>
      <x:c r="AG171" s="191"/>
      <x:c r="AH171" s="191"/>
      <x:c r="AI171" s="191"/>
      <x:c r="AJ171" s="191"/>
      <x:c r="AK171" s="191"/>
    </x:row>
    <x:row r="172">
      <x:c r="A172" s="191"/>
      <x:c r="B172" s="191"/>
      <x:c r="C172" s="191"/>
      <x:c r="D172" s="191"/>
      <x:c r="E172" s="191"/>
      <x:c r="F172" s="191"/>
      <x:c r="G172" s="191"/>
      <x:c r="H172" s="191"/>
      <x:c r="I172" s="191"/>
      <x:c r="J172" s="191"/>
      <x:c r="K172" s="191"/>
      <x:c r="L172" s="191"/>
      <x:c r="M172" s="191"/>
      <x:c r="N172" s="191"/>
      <x:c r="O172" s="191"/>
      <x:c r="P172" s="191"/>
      <x:c r="Q172" s="191"/>
      <x:c r="R172" s="191"/>
      <x:c r="S172" s="191"/>
      <x:c r="T172" s="191"/>
      <x:c r="U172" s="191"/>
      <x:c r="V172" s="191"/>
      <x:c r="W172" s="191"/>
      <x:c r="X172" s="191"/>
      <x:c r="Y172" s="191"/>
      <x:c r="Z172" s="191"/>
      <x:c r="AA172" s="191"/>
      <x:c r="AB172" s="191"/>
      <x:c r="AC172" s="191"/>
      <x:c r="AD172" s="191"/>
      <x:c r="AE172" s="191"/>
      <x:c r="AF172" s="191"/>
      <x:c r="AG172" s="191"/>
      <x:c r="AH172" s="191"/>
      <x:c r="AI172" s="191"/>
      <x:c r="AJ172" s="191"/>
      <x:c r="AK172" s="191"/>
    </x:row>
    <x:row r="173">
      <x:c r="A173" s="191"/>
      <x:c r="B173" s="191"/>
      <x:c r="C173" s="191"/>
      <x:c r="D173" s="191"/>
      <x:c r="E173" s="191"/>
      <x:c r="F173" s="191"/>
      <x:c r="G173" s="191"/>
      <x:c r="H173" s="191"/>
      <x:c r="I173" s="191"/>
      <x:c r="J173" s="191"/>
      <x:c r="K173" s="191"/>
      <x:c r="L173" s="191"/>
      <x:c r="M173" s="191"/>
      <x:c r="N173" s="191"/>
      <x:c r="O173" s="191"/>
      <x:c r="P173" s="191"/>
      <x:c r="Q173" s="191"/>
      <x:c r="R173" s="191"/>
      <x:c r="S173" s="191"/>
      <x:c r="T173" s="191"/>
      <x:c r="U173" s="191"/>
      <x:c r="V173" s="191"/>
      <x:c r="W173" s="191"/>
      <x:c r="X173" s="191"/>
      <x:c r="Y173" s="191"/>
      <x:c r="Z173" s="191"/>
      <x:c r="AA173" s="191"/>
      <x:c r="AB173" s="191"/>
      <x:c r="AC173" s="191"/>
      <x:c r="AD173" s="191"/>
      <x:c r="AE173" s="191"/>
      <x:c r="AF173" s="191"/>
      <x:c r="AG173" s="191"/>
      <x:c r="AH173" s="191"/>
      <x:c r="AI173" s="191"/>
      <x:c r="AJ173" s="191"/>
      <x:c r="AK173" s="191"/>
    </x:row>
    <x:row r="174">
      <x:c r="A174" s="191"/>
      <x:c r="B174" s="191"/>
      <x:c r="C174" s="191"/>
      <x:c r="D174" s="191"/>
      <x:c r="E174" s="191"/>
      <x:c r="F174" s="191"/>
      <x:c r="G174" s="191"/>
      <x:c r="H174" s="191"/>
      <x:c r="I174" s="191"/>
      <x:c r="J174" s="191"/>
      <x:c r="K174" s="191"/>
      <x:c r="L174" s="191"/>
      <x:c r="M174" s="191"/>
      <x:c r="N174" s="191"/>
      <x:c r="O174" s="191"/>
      <x:c r="P174" s="191"/>
      <x:c r="Q174" s="191"/>
      <x:c r="R174" s="191"/>
      <x:c r="S174" s="191"/>
      <x:c r="T174" s="191"/>
      <x:c r="U174" s="191"/>
      <x:c r="V174" s="191"/>
      <x:c r="W174" s="191"/>
      <x:c r="X174" s="191"/>
      <x:c r="Y174" s="191"/>
      <x:c r="Z174" s="191"/>
      <x:c r="AA174" s="191"/>
      <x:c r="AB174" s="191"/>
      <x:c r="AC174" s="191"/>
      <x:c r="AD174" s="191"/>
      <x:c r="AE174" s="191"/>
      <x:c r="AF174" s="191"/>
      <x:c r="AG174" s="191"/>
      <x:c r="AH174" s="191"/>
      <x:c r="AI174" s="191"/>
      <x:c r="AJ174" s="191"/>
      <x:c r="AK174" s="191"/>
    </x:row>
    <x:row r="175">
      <x:c r="A175" s="191"/>
      <x:c r="B175" s="191"/>
      <x:c r="C175" s="191"/>
      <x:c r="D175" s="191"/>
      <x:c r="E175" s="191"/>
      <x:c r="F175" s="191"/>
      <x:c r="G175" s="191"/>
      <x:c r="H175" s="191"/>
      <x:c r="I175" s="191"/>
      <x:c r="J175" s="191"/>
      <x:c r="K175" s="191"/>
      <x:c r="L175" s="191"/>
      <x:c r="M175" s="191"/>
      <x:c r="N175" s="191"/>
      <x:c r="O175" s="191"/>
      <x:c r="P175" s="191"/>
      <x:c r="Q175" s="191"/>
      <x:c r="R175" s="191"/>
      <x:c r="S175" s="191"/>
      <x:c r="T175" s="191"/>
      <x:c r="U175" s="191"/>
      <x:c r="V175" s="191"/>
      <x:c r="W175" s="191"/>
      <x:c r="X175" s="191"/>
      <x:c r="Y175" s="191"/>
      <x:c r="Z175" s="191"/>
      <x:c r="AA175" s="191"/>
      <x:c r="AB175" s="191"/>
      <x:c r="AC175" s="191"/>
      <x:c r="AD175" s="191"/>
      <x:c r="AE175" s="191"/>
      <x:c r="AF175" s="191"/>
      <x:c r="AG175" s="191"/>
      <x:c r="AH175" s="191"/>
      <x:c r="AI175" s="191"/>
      <x:c r="AJ175" s="191"/>
      <x:c r="AK175" s="191"/>
    </x:row>
    <x:row r="176">
      <x:c r="A176" s="191"/>
      <x:c r="B176" s="191"/>
      <x:c r="C176" s="191"/>
      <x:c r="D176" s="191"/>
      <x:c r="E176" s="191"/>
      <x:c r="F176" s="191"/>
      <x:c r="G176" s="191"/>
      <x:c r="H176" s="191"/>
      <x:c r="I176" s="191"/>
      <x:c r="J176" s="191"/>
      <x:c r="K176" s="191"/>
      <x:c r="L176" s="191"/>
      <x:c r="M176" s="191"/>
      <x:c r="N176" s="191"/>
      <x:c r="O176" s="191"/>
      <x:c r="P176" s="191"/>
      <x:c r="Q176" s="191"/>
      <x:c r="R176" s="191"/>
      <x:c r="S176" s="191"/>
      <x:c r="T176" s="191"/>
      <x:c r="U176" s="191"/>
      <x:c r="V176" s="191"/>
      <x:c r="W176" s="191"/>
      <x:c r="X176" s="191"/>
      <x:c r="Y176" s="191"/>
      <x:c r="Z176" s="191"/>
      <x:c r="AA176" s="191"/>
      <x:c r="AB176" s="191"/>
      <x:c r="AC176" s="191"/>
      <x:c r="AD176" s="191"/>
      <x:c r="AE176" s="191"/>
      <x:c r="AF176" s="191"/>
      <x:c r="AG176" s="191"/>
      <x:c r="AH176" s="191"/>
      <x:c r="AI176" s="191"/>
      <x:c r="AJ176" s="191"/>
      <x:c r="AK176" s="191"/>
    </x:row>
    <x:row r="177">
      <x:c r="A177" s="191"/>
      <x:c r="B177" s="191"/>
      <x:c r="C177" s="191"/>
      <x:c r="D177" s="191"/>
      <x:c r="E177" s="191"/>
      <x:c r="F177" s="191"/>
      <x:c r="G177" s="191"/>
      <x:c r="H177" s="191"/>
      <x:c r="I177" s="191"/>
      <x:c r="J177" s="191"/>
      <x:c r="K177" s="191"/>
      <x:c r="L177" s="191"/>
      <x:c r="M177" s="191"/>
      <x:c r="N177" s="191"/>
      <x:c r="O177" s="191"/>
      <x:c r="P177" s="191"/>
      <x:c r="Q177" s="191"/>
      <x:c r="R177" s="191"/>
      <x:c r="S177" s="191"/>
      <x:c r="T177" s="191"/>
      <x:c r="U177" s="191"/>
      <x:c r="V177" s="191"/>
      <x:c r="W177" s="191"/>
      <x:c r="X177" s="191"/>
      <x:c r="Y177" s="191"/>
      <x:c r="Z177" s="191"/>
      <x:c r="AA177" s="191"/>
      <x:c r="AB177" s="191"/>
      <x:c r="AC177" s="191"/>
      <x:c r="AD177" s="191"/>
      <x:c r="AE177" s="191"/>
      <x:c r="AF177" s="191"/>
      <x:c r="AG177" s="191"/>
      <x:c r="AH177" s="191"/>
      <x:c r="AI177" s="191"/>
      <x:c r="AJ177" s="191"/>
      <x:c r="AK177" s="191"/>
    </x:row>
    <x:row r="178">
      <x:c r="A178" s="191"/>
      <x:c r="B178" s="191"/>
      <x:c r="C178" s="191"/>
      <x:c r="D178" s="191"/>
      <x:c r="E178" s="191"/>
      <x:c r="F178" s="191"/>
      <x:c r="G178" s="191"/>
      <x:c r="H178" s="191"/>
      <x:c r="I178" s="191"/>
      <x:c r="J178" s="191"/>
      <x:c r="K178" s="191"/>
      <x:c r="L178" s="191"/>
      <x:c r="M178" s="191"/>
      <x:c r="N178" s="191"/>
      <x:c r="O178" s="191"/>
      <x:c r="P178" s="191"/>
      <x:c r="Q178" s="191"/>
      <x:c r="R178" s="191"/>
      <x:c r="S178" s="191"/>
      <x:c r="T178" s="191"/>
      <x:c r="U178" s="191"/>
      <x:c r="V178" s="191"/>
      <x:c r="W178" s="191"/>
      <x:c r="X178" s="191"/>
      <x:c r="Y178" s="191"/>
      <x:c r="Z178" s="191"/>
      <x:c r="AA178" s="191"/>
      <x:c r="AB178" s="191"/>
      <x:c r="AC178" s="191"/>
      <x:c r="AD178" s="191"/>
      <x:c r="AE178" s="191"/>
      <x:c r="AF178" s="191"/>
      <x:c r="AG178" s="191"/>
      <x:c r="AH178" s="191"/>
      <x:c r="AI178" s="191"/>
      <x:c r="AJ178" s="191"/>
      <x:c r="AK178" s="191"/>
    </x:row>
    <x:row r="179">
      <x:c r="A179" s="191"/>
      <x:c r="B179" s="191"/>
      <x:c r="C179" s="191"/>
      <x:c r="D179" s="191"/>
      <x:c r="E179" s="191"/>
      <x:c r="F179" s="191"/>
      <x:c r="G179" s="191"/>
      <x:c r="H179" s="191"/>
      <x:c r="I179" s="191"/>
      <x:c r="J179" s="191"/>
      <x:c r="K179" s="191"/>
      <x:c r="L179" s="191"/>
      <x:c r="M179" s="191"/>
      <x:c r="N179" s="191"/>
      <x:c r="O179" s="191"/>
      <x:c r="P179" s="191"/>
      <x:c r="Q179" s="191"/>
      <x:c r="R179" s="191"/>
      <x:c r="S179" s="191"/>
      <x:c r="T179" s="191"/>
      <x:c r="U179" s="191"/>
      <x:c r="V179" s="191"/>
      <x:c r="W179" s="191"/>
      <x:c r="X179" s="191"/>
      <x:c r="Y179" s="191"/>
      <x:c r="Z179" s="191"/>
      <x:c r="AA179" s="191"/>
      <x:c r="AB179" s="191"/>
      <x:c r="AC179" s="191"/>
      <x:c r="AD179" s="191"/>
      <x:c r="AE179" s="191"/>
      <x:c r="AF179" s="191"/>
      <x:c r="AG179" s="191"/>
      <x:c r="AH179" s="191"/>
      <x:c r="AI179" s="191"/>
      <x:c r="AJ179" s="191"/>
      <x:c r="AK179" s="191"/>
    </x:row>
    <x:row r="180">
      <x:c r="A180" s="191"/>
      <x:c r="B180" s="191"/>
      <x:c r="C180" s="191"/>
      <x:c r="D180" s="191"/>
      <x:c r="E180" s="191"/>
      <x:c r="F180" s="191"/>
      <x:c r="G180" s="191"/>
      <x:c r="H180" s="191"/>
      <x:c r="I180" s="191"/>
      <x:c r="J180" s="191"/>
      <x:c r="K180" s="191"/>
      <x:c r="L180" s="191"/>
      <x:c r="M180" s="191"/>
      <x:c r="N180" s="191"/>
      <x:c r="O180" s="191"/>
      <x:c r="P180" s="191"/>
      <x:c r="Q180" s="191"/>
      <x:c r="R180" s="191"/>
      <x:c r="S180" s="191"/>
      <x:c r="T180" s="191"/>
      <x:c r="U180" s="191"/>
      <x:c r="V180" s="191"/>
      <x:c r="W180" s="191"/>
      <x:c r="X180" s="191"/>
      <x:c r="Y180" s="191"/>
      <x:c r="Z180" s="191"/>
      <x:c r="AA180" s="191"/>
      <x:c r="AB180" s="191"/>
      <x:c r="AC180" s="191"/>
      <x:c r="AD180" s="191"/>
      <x:c r="AE180" s="191"/>
      <x:c r="AF180" s="191"/>
      <x:c r="AG180" s="191"/>
      <x:c r="AH180" s="191"/>
      <x:c r="AI180" s="191"/>
      <x:c r="AJ180" s="191"/>
      <x:c r="AK180" s="191"/>
    </x:row>
    <x:row r="181">
      <x:c r="A181" s="191"/>
      <x:c r="B181" s="191"/>
      <x:c r="C181" s="191"/>
      <x:c r="D181" s="191"/>
      <x:c r="E181" s="191"/>
      <x:c r="F181" s="191"/>
      <x:c r="G181" s="191"/>
      <x:c r="H181" s="191"/>
      <x:c r="I181" s="191"/>
      <x:c r="J181" s="191"/>
      <x:c r="K181" s="191"/>
      <x:c r="L181" s="191"/>
      <x:c r="M181" s="191"/>
      <x:c r="N181" s="191"/>
      <x:c r="O181" s="191"/>
      <x:c r="P181" s="191"/>
      <x:c r="Q181" s="191"/>
      <x:c r="R181" s="191"/>
      <x:c r="S181" s="191"/>
      <x:c r="T181" s="191"/>
      <x:c r="U181" s="191"/>
      <x:c r="V181" s="191"/>
      <x:c r="W181" s="191"/>
      <x:c r="X181" s="191"/>
      <x:c r="Y181" s="191"/>
      <x:c r="Z181" s="191"/>
      <x:c r="AA181" s="191"/>
      <x:c r="AB181" s="191"/>
      <x:c r="AC181" s="191"/>
      <x:c r="AD181" s="191"/>
      <x:c r="AE181" s="191"/>
      <x:c r="AF181" s="191"/>
      <x:c r="AG181" s="191"/>
      <x:c r="AH181" s="191"/>
      <x:c r="AI181" s="191"/>
      <x:c r="AJ181" s="191"/>
      <x:c r="AK181" s="191"/>
    </x:row>
    <x:row r="182">
      <x:c r="A182" s="191"/>
      <x:c r="B182" s="191"/>
      <x:c r="C182" s="191"/>
      <x:c r="D182" s="191"/>
      <x:c r="E182" s="191"/>
      <x:c r="F182" s="191"/>
      <x:c r="G182" s="191"/>
      <x:c r="H182" s="191"/>
      <x:c r="I182" s="191"/>
      <x:c r="J182" s="191"/>
      <x:c r="K182" s="191"/>
      <x:c r="L182" s="191"/>
      <x:c r="M182" s="191"/>
      <x:c r="N182" s="191"/>
      <x:c r="O182" s="191"/>
      <x:c r="P182" s="191"/>
      <x:c r="Q182" s="191"/>
      <x:c r="R182" s="191"/>
      <x:c r="S182" s="191"/>
      <x:c r="T182" s="191"/>
      <x:c r="U182" s="191"/>
      <x:c r="V182" s="191"/>
      <x:c r="W182" s="191"/>
      <x:c r="X182" s="191"/>
      <x:c r="Y182" s="191"/>
      <x:c r="Z182" s="191"/>
      <x:c r="AA182" s="191"/>
      <x:c r="AB182" s="191"/>
      <x:c r="AC182" s="191"/>
      <x:c r="AD182" s="191"/>
      <x:c r="AE182" s="191"/>
      <x:c r="AF182" s="191"/>
      <x:c r="AG182" s="191"/>
      <x:c r="AH182" s="191"/>
      <x:c r="AI182" s="191"/>
      <x:c r="AJ182" s="191"/>
      <x:c r="AK182" s="191"/>
    </x:row>
    <x:row r="183">
      <x:c r="A183" s="191"/>
      <x:c r="B183" s="191"/>
      <x:c r="C183" s="191"/>
      <x:c r="D183" s="191"/>
      <x:c r="E183" s="191"/>
      <x:c r="F183" s="191"/>
      <x:c r="G183" s="191"/>
      <x:c r="H183" s="191"/>
      <x:c r="I183" s="191"/>
      <x:c r="J183" s="191"/>
      <x:c r="K183" s="191"/>
      <x:c r="L183" s="191"/>
      <x:c r="M183" s="191"/>
      <x:c r="N183" s="191"/>
      <x:c r="O183" s="191"/>
      <x:c r="P183" s="191"/>
      <x:c r="Q183" s="191"/>
      <x:c r="R183" s="191"/>
      <x:c r="S183" s="191"/>
      <x:c r="T183" s="191"/>
      <x:c r="U183" s="191"/>
      <x:c r="V183" s="191"/>
      <x:c r="W183" s="191"/>
      <x:c r="X183" s="191"/>
      <x:c r="Y183" s="191"/>
      <x:c r="Z183" s="191"/>
      <x:c r="AA183" s="191"/>
      <x:c r="AB183" s="191"/>
      <x:c r="AC183" s="191"/>
      <x:c r="AD183" s="191"/>
      <x:c r="AE183" s="191"/>
      <x:c r="AF183" s="191"/>
      <x:c r="AG183" s="191"/>
      <x:c r="AH183" s="191"/>
      <x:c r="AI183" s="191"/>
      <x:c r="AJ183" s="191"/>
      <x:c r="AK183" s="191"/>
    </x:row>
    <x:row r="184">
      <x:c r="A184" s="191"/>
      <x:c r="B184" s="191"/>
      <x:c r="C184" s="191"/>
      <x:c r="D184" s="191"/>
      <x:c r="E184" s="191"/>
      <x:c r="F184" s="191"/>
      <x:c r="G184" s="191"/>
      <x:c r="H184" s="191"/>
      <x:c r="I184" s="191"/>
      <x:c r="J184" s="191"/>
      <x:c r="K184" s="191"/>
      <x:c r="L184" s="191"/>
      <x:c r="M184" s="191"/>
      <x:c r="N184" s="191"/>
      <x:c r="O184" s="191"/>
      <x:c r="P184" s="191"/>
      <x:c r="Q184" s="191"/>
      <x:c r="R184" s="191"/>
      <x:c r="S184" s="191"/>
      <x:c r="T184" s="191"/>
      <x:c r="U184" s="191"/>
      <x:c r="V184" s="191"/>
      <x:c r="W184" s="191"/>
      <x:c r="X184" s="191"/>
      <x:c r="Y184" s="191"/>
      <x:c r="Z184" s="191"/>
      <x:c r="AA184" s="191"/>
      <x:c r="AB184" s="191"/>
      <x:c r="AC184" s="191"/>
      <x:c r="AD184" s="191"/>
      <x:c r="AE184" s="191"/>
      <x:c r="AF184" s="191"/>
      <x:c r="AG184" s="191"/>
      <x:c r="AH184" s="191"/>
      <x:c r="AI184" s="191"/>
      <x:c r="AJ184" s="191"/>
      <x:c r="AK184" s="191"/>
    </x:row>
    <x:row r="185">
      <x:c r="A185" s="191"/>
      <x:c r="B185" s="191"/>
      <x:c r="C185" s="191"/>
      <x:c r="D185" s="191"/>
      <x:c r="E185" s="191"/>
      <x:c r="F185" s="191"/>
      <x:c r="G185" s="191"/>
      <x:c r="H185" s="191"/>
      <x:c r="I185" s="191"/>
      <x:c r="J185" s="191"/>
      <x:c r="K185" s="191"/>
      <x:c r="L185" s="191"/>
      <x:c r="M185" s="191"/>
      <x:c r="N185" s="191"/>
      <x:c r="O185" s="191"/>
      <x:c r="P185" s="191"/>
      <x:c r="Q185" s="191"/>
      <x:c r="R185" s="191"/>
      <x:c r="S185" s="191"/>
      <x:c r="T185" s="191"/>
      <x:c r="U185" s="191"/>
      <x:c r="V185" s="191"/>
      <x:c r="W185" s="191"/>
      <x:c r="X185" s="191"/>
      <x:c r="Y185" s="191"/>
      <x:c r="Z185" s="191"/>
      <x:c r="AA185" s="191"/>
      <x:c r="AB185" s="191"/>
      <x:c r="AC185" s="191"/>
      <x:c r="AD185" s="191"/>
      <x:c r="AE185" s="191"/>
      <x:c r="AF185" s="191"/>
      <x:c r="AG185" s="191"/>
      <x:c r="AH185" s="191"/>
      <x:c r="AI185" s="191"/>
      <x:c r="AJ185" s="191"/>
      <x:c r="AK185" s="191"/>
    </x:row>
    <x:row r="186">
      <x:c r="A186" s="191"/>
      <x:c r="B186" s="191"/>
      <x:c r="C186" s="191"/>
      <x:c r="D186" s="191"/>
      <x:c r="E186" s="191"/>
      <x:c r="F186" s="191"/>
      <x:c r="G186" s="191"/>
      <x:c r="H186" s="191"/>
      <x:c r="I186" s="191"/>
      <x:c r="J186" s="191"/>
      <x:c r="K186" s="191"/>
      <x:c r="L186" s="191"/>
      <x:c r="M186" s="191"/>
      <x:c r="N186" s="191"/>
      <x:c r="O186" s="191"/>
      <x:c r="P186" s="191"/>
      <x:c r="Q186" s="191"/>
      <x:c r="R186" s="191"/>
      <x:c r="S186" s="191"/>
      <x:c r="T186" s="191"/>
      <x:c r="U186" s="191"/>
      <x:c r="V186" s="191"/>
      <x:c r="W186" s="191"/>
      <x:c r="X186" s="191"/>
      <x:c r="Y186" s="191"/>
      <x:c r="Z186" s="191"/>
      <x:c r="AA186" s="191"/>
      <x:c r="AB186" s="191"/>
      <x:c r="AC186" s="191"/>
      <x:c r="AD186" s="191"/>
      <x:c r="AE186" s="191"/>
      <x:c r="AF186" s="191"/>
      <x:c r="AG186" s="191"/>
      <x:c r="AH186" s="191"/>
      <x:c r="AI186" s="191"/>
      <x:c r="AJ186" s="191"/>
      <x:c r="AK186" s="191"/>
    </x:row>
    <x:row r="187">
      <x:c r="A187" s="191"/>
      <x:c r="B187" s="191"/>
      <x:c r="C187" s="191"/>
      <x:c r="D187" s="191"/>
      <x:c r="E187" s="191"/>
      <x:c r="F187" s="191"/>
      <x:c r="G187" s="191"/>
      <x:c r="H187" s="191"/>
      <x:c r="I187" s="191"/>
      <x:c r="J187" s="191"/>
      <x:c r="K187" s="191"/>
      <x:c r="L187" s="191"/>
      <x:c r="M187" s="191"/>
      <x:c r="N187" s="191"/>
      <x:c r="O187" s="191"/>
      <x:c r="P187" s="191"/>
      <x:c r="Q187" s="191"/>
      <x:c r="R187" s="191"/>
      <x:c r="S187" s="191"/>
      <x:c r="T187" s="191"/>
      <x:c r="U187" s="191"/>
      <x:c r="V187" s="191"/>
      <x:c r="W187" s="191"/>
      <x:c r="X187" s="191"/>
      <x:c r="Y187" s="191"/>
      <x:c r="Z187" s="191"/>
      <x:c r="AA187" s="191"/>
      <x:c r="AB187" s="191"/>
      <x:c r="AC187" s="191"/>
      <x:c r="AD187" s="191"/>
      <x:c r="AE187" s="191"/>
      <x:c r="AF187" s="191"/>
      <x:c r="AG187" s="191"/>
      <x:c r="AH187" s="191"/>
      <x:c r="AI187" s="191"/>
      <x:c r="AJ187" s="191"/>
      <x:c r="AK187" s="191"/>
    </x:row>
    <x:row r="188">
      <x:c r="A188" s="191"/>
      <x:c r="B188" s="191"/>
      <x:c r="C188" s="191"/>
      <x:c r="D188" s="191"/>
      <x:c r="E188" s="191"/>
      <x:c r="F188" s="191"/>
      <x:c r="G188" s="191"/>
      <x:c r="H188" s="191"/>
      <x:c r="I188" s="191"/>
      <x:c r="J188" s="191"/>
      <x:c r="K188" s="191"/>
      <x:c r="L188" s="191"/>
      <x:c r="M188" s="191"/>
      <x:c r="N188" s="191"/>
      <x:c r="O188" s="191"/>
      <x:c r="P188" s="191"/>
      <x:c r="Q188" s="191"/>
      <x:c r="R188" s="191"/>
      <x:c r="S188" s="191"/>
      <x:c r="T188" s="191"/>
      <x:c r="U188" s="191"/>
      <x:c r="V188" s="191"/>
      <x:c r="W188" s="191"/>
      <x:c r="X188" s="191"/>
      <x:c r="Y188" s="191"/>
      <x:c r="Z188" s="191"/>
      <x:c r="AA188" s="191"/>
      <x:c r="AB188" s="191"/>
      <x:c r="AC188" s="191"/>
      <x:c r="AD188" s="191"/>
      <x:c r="AE188" s="191"/>
      <x:c r="AF188" s="191"/>
      <x:c r="AG188" s="191"/>
      <x:c r="AH188" s="191"/>
      <x:c r="AI188" s="191"/>
      <x:c r="AJ188" s="191"/>
      <x:c r="AK188" s="191"/>
    </x:row>
    <x:row r="189">
      <x:c r="A189" s="191"/>
      <x:c r="B189" s="191"/>
      <x:c r="C189" s="191"/>
      <x:c r="D189" s="191"/>
      <x:c r="E189" s="191"/>
      <x:c r="F189" s="191"/>
      <x:c r="G189" s="191"/>
      <x:c r="H189" s="191"/>
      <x:c r="I189" s="191"/>
      <x:c r="J189" s="191"/>
      <x:c r="K189" s="191"/>
      <x:c r="L189" s="191"/>
      <x:c r="M189" s="191"/>
      <x:c r="N189" s="191"/>
      <x:c r="O189" s="191"/>
      <x:c r="P189" s="191"/>
      <x:c r="Q189" s="191"/>
      <x:c r="R189" s="191"/>
      <x:c r="S189" s="191"/>
      <x:c r="T189" s="191"/>
      <x:c r="U189" s="191"/>
      <x:c r="V189" s="191"/>
      <x:c r="W189" s="191"/>
      <x:c r="X189" s="191"/>
      <x:c r="Y189" s="191"/>
      <x:c r="Z189" s="191"/>
      <x:c r="AA189" s="191"/>
      <x:c r="AB189" s="191"/>
      <x:c r="AC189" s="191"/>
      <x:c r="AD189" s="191"/>
      <x:c r="AE189" s="191"/>
      <x:c r="AF189" s="191"/>
      <x:c r="AG189" s="191"/>
      <x:c r="AH189" s="191"/>
      <x:c r="AI189" s="191"/>
      <x:c r="AJ189" s="191"/>
      <x:c r="AK189" s="191"/>
    </x:row>
    <x:row r="190">
      <x:c r="A190" s="191"/>
      <x:c r="B190" s="191"/>
      <x:c r="C190" s="191"/>
      <x:c r="D190" s="191"/>
      <x:c r="E190" s="191"/>
      <x:c r="F190" s="191"/>
      <x:c r="G190" s="191"/>
      <x:c r="H190" s="191"/>
      <x:c r="I190" s="191"/>
      <x:c r="J190" s="191"/>
      <x:c r="K190" s="191"/>
      <x:c r="L190" s="191"/>
      <x:c r="M190" s="191"/>
      <x:c r="N190" s="191"/>
      <x:c r="O190" s="191"/>
      <x:c r="P190" s="191"/>
      <x:c r="Q190" s="191"/>
      <x:c r="R190" s="191"/>
      <x:c r="S190" s="191"/>
      <x:c r="T190" s="191"/>
      <x:c r="U190" s="191"/>
      <x:c r="V190" s="191"/>
      <x:c r="W190" s="191"/>
      <x:c r="X190" s="191"/>
      <x:c r="Y190" s="191"/>
      <x:c r="Z190" s="191"/>
      <x:c r="AA190" s="191"/>
      <x:c r="AB190" s="191"/>
      <x:c r="AC190" s="191"/>
      <x:c r="AD190" s="191"/>
      <x:c r="AE190" s="191"/>
      <x:c r="AF190" s="191"/>
      <x:c r="AG190" s="191"/>
      <x:c r="AH190" s="191"/>
      <x:c r="AI190" s="191"/>
      <x:c r="AJ190" s="191"/>
      <x:c r="AK190" s="191"/>
    </x:row>
    <x:row r="191">
      <x:c r="A191" s="191"/>
      <x:c r="B191" s="191"/>
      <x:c r="C191" s="191"/>
      <x:c r="D191" s="191"/>
      <x:c r="E191" s="191"/>
      <x:c r="F191" s="191"/>
      <x:c r="G191" s="191"/>
      <x:c r="H191" s="191"/>
      <x:c r="I191" s="191"/>
      <x:c r="J191" s="191"/>
      <x:c r="K191" s="191"/>
      <x:c r="L191" s="191"/>
      <x:c r="M191" s="191"/>
      <x:c r="N191" s="191"/>
      <x:c r="O191" s="191"/>
      <x:c r="P191" s="191"/>
      <x:c r="Q191" s="191"/>
      <x:c r="R191" s="191"/>
      <x:c r="S191" s="191"/>
      <x:c r="T191" s="191"/>
      <x:c r="U191" s="191"/>
      <x:c r="V191" s="191"/>
      <x:c r="W191" s="191"/>
      <x:c r="X191" s="191"/>
      <x:c r="Y191" s="191"/>
      <x:c r="Z191" s="191"/>
      <x:c r="AA191" s="191"/>
      <x:c r="AB191" s="191"/>
      <x:c r="AC191" s="191"/>
      <x:c r="AD191" s="191"/>
      <x:c r="AE191" s="191"/>
      <x:c r="AF191" s="191"/>
      <x:c r="AG191" s="191"/>
      <x:c r="AH191" s="191"/>
      <x:c r="AI191" s="191"/>
      <x:c r="AJ191" s="191"/>
      <x:c r="AK191" s="191"/>
    </x:row>
    <x:row r="192">
      <x:c r="A192" s="191"/>
      <x:c r="B192" s="191"/>
      <x:c r="C192" s="191"/>
      <x:c r="D192" s="191"/>
      <x:c r="E192" s="191"/>
      <x:c r="F192" s="191"/>
      <x:c r="G192" s="191"/>
      <x:c r="H192" s="191"/>
      <x:c r="I192" s="191"/>
      <x:c r="J192" s="191"/>
      <x:c r="K192" s="191"/>
      <x:c r="L192" s="191"/>
      <x:c r="M192" s="191"/>
      <x:c r="N192" s="191"/>
      <x:c r="O192" s="191"/>
      <x:c r="P192" s="191"/>
      <x:c r="Q192" s="191"/>
      <x:c r="R192" s="191"/>
      <x:c r="S192" s="191"/>
      <x:c r="T192" s="191"/>
      <x:c r="U192" s="191"/>
      <x:c r="V192" s="191"/>
      <x:c r="W192" s="191"/>
      <x:c r="X192" s="191"/>
      <x:c r="Y192" s="191"/>
      <x:c r="Z192" s="191"/>
      <x:c r="AA192" s="191"/>
      <x:c r="AB192" s="191"/>
      <x:c r="AC192" s="191"/>
      <x:c r="AD192" s="191"/>
      <x:c r="AE192" s="191"/>
      <x:c r="AF192" s="191"/>
      <x:c r="AG192" s="191"/>
      <x:c r="AH192" s="191"/>
      <x:c r="AI192" s="191"/>
      <x:c r="AJ192" s="191"/>
      <x:c r="AK192" s="191"/>
    </x:row>
    <x:row r="193">
      <x:c r="A193" s="191"/>
      <x:c r="B193" s="191"/>
      <x:c r="C193" s="191"/>
      <x:c r="D193" s="191"/>
      <x:c r="E193" s="191"/>
      <x:c r="F193" s="191"/>
      <x:c r="G193" s="191"/>
      <x:c r="H193" s="191"/>
      <x:c r="I193" s="191"/>
      <x:c r="J193" s="191"/>
      <x:c r="K193" s="191"/>
      <x:c r="L193" s="191"/>
      <x:c r="M193" s="191"/>
      <x:c r="N193" s="191"/>
      <x:c r="O193" s="191"/>
      <x:c r="P193" s="191"/>
      <x:c r="Q193" s="191"/>
      <x:c r="R193" s="191"/>
      <x:c r="S193" s="191"/>
      <x:c r="T193" s="191"/>
      <x:c r="U193" s="191"/>
      <x:c r="V193" s="191"/>
      <x:c r="W193" s="191"/>
      <x:c r="X193" s="191"/>
      <x:c r="Y193" s="191"/>
      <x:c r="Z193" s="191"/>
      <x:c r="AA193" s="191"/>
      <x:c r="AB193" s="191"/>
      <x:c r="AC193" s="191"/>
      <x:c r="AD193" s="191"/>
      <x:c r="AE193" s="191"/>
      <x:c r="AF193" s="191"/>
      <x:c r="AG193" s="191"/>
      <x:c r="AH193" s="191"/>
      <x:c r="AI193" s="191"/>
      <x:c r="AJ193" s="191"/>
      <x:c r="AK193" s="191"/>
    </x:row>
    <x:row r="194">
      <x:c r="A194" s="191"/>
      <x:c r="B194" s="191"/>
      <x:c r="C194" s="191"/>
      <x:c r="D194" s="191"/>
      <x:c r="E194" s="191"/>
      <x:c r="F194" s="191"/>
      <x:c r="G194" s="191"/>
      <x:c r="H194" s="191"/>
      <x:c r="I194" s="191"/>
      <x:c r="J194" s="191"/>
      <x:c r="K194" s="191"/>
      <x:c r="L194" s="191"/>
      <x:c r="M194" s="191"/>
      <x:c r="N194" s="191"/>
      <x:c r="O194" s="191"/>
      <x:c r="P194" s="191"/>
      <x:c r="Q194" s="191"/>
      <x:c r="R194" s="191"/>
      <x:c r="S194" s="191"/>
      <x:c r="T194" s="191"/>
      <x:c r="U194" s="191"/>
      <x:c r="V194" s="191"/>
      <x:c r="W194" s="191"/>
      <x:c r="X194" s="191"/>
      <x:c r="Y194" s="191"/>
      <x:c r="Z194" s="191"/>
      <x:c r="AA194" s="191"/>
      <x:c r="AB194" s="191"/>
      <x:c r="AC194" s="191"/>
      <x:c r="AD194" s="191"/>
      <x:c r="AE194" s="191"/>
      <x:c r="AF194" s="191"/>
      <x:c r="AG194" s="191"/>
      <x:c r="AH194" s="191"/>
      <x:c r="AI194" s="191"/>
      <x:c r="AJ194" s="191"/>
      <x:c r="AK194" s="191"/>
    </x:row>
    <x:row r="195">
      <x:c r="A195" s="191"/>
      <x:c r="B195" s="191"/>
      <x:c r="C195" s="191"/>
      <x:c r="D195" s="191"/>
      <x:c r="E195" s="191"/>
      <x:c r="F195" s="191"/>
      <x:c r="G195" s="191"/>
      <x:c r="H195" s="191"/>
      <x:c r="I195" s="191"/>
      <x:c r="J195" s="191"/>
      <x:c r="K195" s="191"/>
      <x:c r="L195" s="191"/>
      <x:c r="M195" s="191"/>
      <x:c r="N195" s="191"/>
      <x:c r="O195" s="191"/>
      <x:c r="P195" s="191"/>
      <x:c r="Q195" s="191"/>
      <x:c r="R195" s="191"/>
      <x:c r="S195" s="191"/>
      <x:c r="T195" s="191"/>
      <x:c r="U195" s="191"/>
      <x:c r="V195" s="191"/>
      <x:c r="W195" s="191"/>
      <x:c r="X195" s="191"/>
      <x:c r="Y195" s="191"/>
      <x:c r="Z195" s="191"/>
      <x:c r="AA195" s="191"/>
      <x:c r="AB195" s="191"/>
      <x:c r="AC195" s="191"/>
      <x:c r="AD195" s="191"/>
      <x:c r="AE195" s="191"/>
      <x:c r="AF195" s="191"/>
      <x:c r="AG195" s="191"/>
      <x:c r="AH195" s="191"/>
      <x:c r="AI195" s="191"/>
      <x:c r="AJ195" s="191"/>
      <x:c r="AK195" s="191"/>
    </x:row>
    <x:row r="196">
      <x:c r="A196" s="191"/>
      <x:c r="B196" s="191"/>
      <x:c r="C196" s="191"/>
      <x:c r="D196" s="191"/>
      <x:c r="E196" s="191"/>
      <x:c r="F196" s="191"/>
      <x:c r="G196" s="191"/>
      <x:c r="H196" s="191"/>
      <x:c r="I196" s="191"/>
      <x:c r="J196" s="191"/>
      <x:c r="K196" s="191"/>
      <x:c r="L196" s="191"/>
      <x:c r="M196" s="191"/>
      <x:c r="N196" s="191"/>
      <x:c r="O196" s="191"/>
      <x:c r="P196" s="191"/>
      <x:c r="Q196" s="191"/>
      <x:c r="R196" s="191"/>
      <x:c r="S196" s="191"/>
      <x:c r="T196" s="191"/>
      <x:c r="U196" s="191"/>
      <x:c r="V196" s="191"/>
      <x:c r="W196" s="191"/>
      <x:c r="X196" s="191"/>
      <x:c r="Y196" s="191"/>
      <x:c r="Z196" s="191"/>
      <x:c r="AA196" s="191"/>
      <x:c r="AB196" s="191"/>
      <x:c r="AC196" s="191"/>
      <x:c r="AD196" s="191"/>
      <x:c r="AE196" s="191"/>
      <x:c r="AF196" s="191"/>
      <x:c r="AG196" s="191"/>
      <x:c r="AH196" s="191"/>
      <x:c r="AI196" s="191"/>
      <x:c r="AJ196" s="191"/>
      <x:c r="AK196" s="191"/>
    </x:row>
    <x:row r="197">
      <x:c r="A197" s="191"/>
      <x:c r="B197" s="191"/>
      <x:c r="C197" s="191"/>
      <x:c r="D197" s="191"/>
      <x:c r="E197" s="191"/>
      <x:c r="F197" s="191"/>
      <x:c r="G197" s="191"/>
      <x:c r="H197" s="191"/>
      <x:c r="I197" s="191"/>
      <x:c r="J197" s="191"/>
      <x:c r="K197" s="191"/>
      <x:c r="L197" s="191"/>
      <x:c r="M197" s="191"/>
      <x:c r="N197" s="191"/>
      <x:c r="O197" s="191"/>
      <x:c r="P197" s="191"/>
      <x:c r="Q197" s="191"/>
      <x:c r="R197" s="191"/>
      <x:c r="S197" s="191"/>
      <x:c r="T197" s="191"/>
      <x:c r="U197" s="191"/>
      <x:c r="V197" s="191"/>
      <x:c r="W197" s="191"/>
      <x:c r="X197" s="191"/>
      <x:c r="Y197" s="191"/>
      <x:c r="Z197" s="191"/>
      <x:c r="AA197" s="191"/>
      <x:c r="AB197" s="191"/>
      <x:c r="AC197" s="191"/>
      <x:c r="AD197" s="191"/>
      <x:c r="AE197" s="191"/>
      <x:c r="AF197" s="191"/>
      <x:c r="AG197" s="191"/>
      <x:c r="AH197" s="191"/>
      <x:c r="AI197" s="191"/>
      <x:c r="AJ197" s="191"/>
      <x:c r="AK197" s="191"/>
    </x:row>
    <x:row r="198">
      <x:c r="A198" s="191"/>
      <x:c r="B198" s="191"/>
      <x:c r="C198" s="191"/>
      <x:c r="D198" s="191"/>
      <x:c r="E198" s="191"/>
      <x:c r="F198" s="191"/>
      <x:c r="G198" s="191"/>
      <x:c r="H198" s="191"/>
      <x:c r="I198" s="191"/>
      <x:c r="J198" s="191"/>
      <x:c r="K198" s="191"/>
      <x:c r="L198" s="191"/>
      <x:c r="M198" s="191"/>
      <x:c r="N198" s="191"/>
      <x:c r="O198" s="191"/>
      <x:c r="P198" s="191"/>
      <x:c r="Q198" s="191"/>
      <x:c r="R198" s="191"/>
      <x:c r="S198" s="191"/>
      <x:c r="T198" s="191"/>
      <x:c r="U198" s="191"/>
      <x:c r="V198" s="191"/>
      <x:c r="W198" s="191"/>
      <x:c r="X198" s="191"/>
      <x:c r="Y198" s="191"/>
      <x:c r="Z198" s="191"/>
      <x:c r="AA198" s="191"/>
      <x:c r="AB198" s="191"/>
      <x:c r="AC198" s="191"/>
      <x:c r="AD198" s="191"/>
      <x:c r="AE198" s="191"/>
      <x:c r="AF198" s="191"/>
      <x:c r="AG198" s="191"/>
      <x:c r="AH198" s="191"/>
      <x:c r="AI198" s="191"/>
      <x:c r="AJ198" s="191"/>
      <x:c r="AK198" s="191"/>
    </x:row>
    <x:row r="199">
      <x:c r="A199" s="191"/>
      <x:c r="B199" s="191"/>
      <x:c r="C199" s="191"/>
      <x:c r="D199" s="191"/>
      <x:c r="E199" s="191"/>
      <x:c r="F199" s="191"/>
      <x:c r="G199" s="191"/>
      <x:c r="H199" s="191"/>
      <x:c r="I199" s="191"/>
      <x:c r="J199" s="191"/>
      <x:c r="K199" s="191"/>
      <x:c r="L199" s="191"/>
      <x:c r="M199" s="191"/>
      <x:c r="N199" s="191"/>
      <x:c r="O199" s="191"/>
      <x:c r="P199" s="191"/>
      <x:c r="Q199" s="191"/>
      <x:c r="R199" s="191"/>
      <x:c r="S199" s="191"/>
      <x:c r="T199" s="191"/>
      <x:c r="U199" s="191"/>
      <x:c r="V199" s="191"/>
      <x:c r="W199" s="191"/>
      <x:c r="X199" s="191"/>
      <x:c r="Y199" s="191"/>
      <x:c r="Z199" s="191"/>
      <x:c r="AA199" s="191"/>
      <x:c r="AB199" s="191"/>
      <x:c r="AC199" s="191"/>
      <x:c r="AD199" s="191"/>
      <x:c r="AE199" s="191"/>
      <x:c r="AF199" s="191"/>
      <x:c r="AG199" s="191"/>
      <x:c r="AH199" s="191"/>
      <x:c r="AI199" s="191"/>
      <x:c r="AJ199" s="191"/>
      <x:c r="AK199" s="191"/>
    </x:row>
    <x:row r="200">
      <x:c r="A200" s="191"/>
      <x:c r="B200" s="191"/>
      <x:c r="C200" s="191"/>
      <x:c r="D200" s="191"/>
      <x:c r="E200" s="191"/>
      <x:c r="F200" s="191"/>
      <x:c r="G200" s="191"/>
      <x:c r="H200" s="191"/>
      <x:c r="I200" s="191"/>
      <x:c r="J200" s="191"/>
      <x:c r="K200" s="191"/>
      <x:c r="L200" s="191"/>
      <x:c r="M200" s="191"/>
      <x:c r="N200" s="191"/>
      <x:c r="O200" s="191"/>
      <x:c r="P200" s="191"/>
      <x:c r="Q200" s="191"/>
      <x:c r="R200" s="191"/>
      <x:c r="S200" s="191"/>
      <x:c r="T200" s="191"/>
      <x:c r="U200" s="191"/>
      <x:c r="V200" s="191"/>
      <x:c r="W200" s="191"/>
      <x:c r="X200" s="191"/>
      <x:c r="Y200" s="191"/>
      <x:c r="Z200" s="191"/>
      <x:c r="AA200" s="191"/>
      <x:c r="AB200" s="191"/>
      <x:c r="AC200" s="191"/>
      <x:c r="AD200" s="191"/>
      <x:c r="AE200" s="191"/>
      <x:c r="AF200" s="191"/>
      <x:c r="AG200" s="191"/>
      <x:c r="AH200" s="191"/>
      <x:c r="AI200" s="191"/>
      <x:c r="AJ200" s="191"/>
      <x:c r="AK200" s="191"/>
    </x:row>
    <x:row r="201">
      <x:c r="A201" s="191"/>
      <x:c r="B201" s="191"/>
      <x:c r="C201" s="191"/>
      <x:c r="D201" s="191"/>
      <x:c r="E201" s="191"/>
      <x:c r="F201" s="191"/>
      <x:c r="G201" s="191"/>
      <x:c r="H201" s="191"/>
      <x:c r="I201" s="191"/>
      <x:c r="J201" s="191"/>
      <x:c r="K201" s="191"/>
      <x:c r="L201" s="191"/>
      <x:c r="M201" s="191"/>
      <x:c r="N201" s="191"/>
      <x:c r="O201" s="191"/>
      <x:c r="P201" s="191"/>
      <x:c r="Q201" s="191"/>
      <x:c r="R201" s="191"/>
      <x:c r="S201" s="191"/>
      <x:c r="T201" s="191"/>
      <x:c r="U201" s="191"/>
      <x:c r="V201" s="191"/>
      <x:c r="W201" s="191"/>
      <x:c r="X201" s="191"/>
      <x:c r="Y201" s="191"/>
      <x:c r="Z201" s="191"/>
      <x:c r="AA201" s="191"/>
      <x:c r="AB201" s="191"/>
      <x:c r="AC201" s="191"/>
      <x:c r="AD201" s="191"/>
      <x:c r="AE201" s="191"/>
      <x:c r="AF201" s="191"/>
      <x:c r="AG201" s="191"/>
      <x:c r="AH201" s="191"/>
      <x:c r="AI201" s="191"/>
      <x:c r="AJ201" s="191"/>
      <x:c r="AK201" s="191"/>
    </x:row>
    <x:row r="202">
      <x:c r="A202" s="191"/>
      <x:c r="B202" s="191"/>
      <x:c r="C202" s="191"/>
      <x:c r="D202" s="191"/>
      <x:c r="E202" s="191"/>
      <x:c r="F202" s="191"/>
      <x:c r="G202" s="191"/>
      <x:c r="H202" s="191"/>
      <x:c r="I202" s="191"/>
      <x:c r="J202" s="191"/>
      <x:c r="K202" s="191"/>
      <x:c r="L202" s="191"/>
      <x:c r="M202" s="191"/>
      <x:c r="N202" s="191"/>
      <x:c r="O202" s="191"/>
      <x:c r="P202" s="191"/>
      <x:c r="Q202" s="191"/>
      <x:c r="R202" s="191"/>
      <x:c r="S202" s="191"/>
      <x:c r="T202" s="191"/>
      <x:c r="U202" s="191"/>
      <x:c r="V202" s="191"/>
      <x:c r="W202" s="191"/>
      <x:c r="X202" s="191"/>
      <x:c r="Y202" s="191"/>
      <x:c r="Z202" s="191"/>
      <x:c r="AA202" s="191"/>
      <x:c r="AB202" s="191"/>
      <x:c r="AC202" s="191"/>
      <x:c r="AD202" s="191"/>
      <x:c r="AE202" s="191"/>
      <x:c r="AF202" s="191"/>
      <x:c r="AG202" s="191"/>
      <x:c r="AH202" s="191"/>
      <x:c r="AI202" s="191"/>
      <x:c r="AJ202" s="191"/>
      <x:c r="AK202" s="191"/>
    </x:row>
    <x:row r="203">
      <x:c r="A203" s="191"/>
      <x:c r="B203" s="191"/>
      <x:c r="C203" s="191"/>
      <x:c r="D203" s="191"/>
      <x:c r="E203" s="191"/>
      <x:c r="F203" s="191"/>
      <x:c r="G203" s="191"/>
      <x:c r="H203" s="191"/>
      <x:c r="I203" s="191"/>
      <x:c r="J203" s="191"/>
      <x:c r="K203" s="191"/>
      <x:c r="L203" s="191"/>
      <x:c r="M203" s="191"/>
      <x:c r="N203" s="191"/>
      <x:c r="O203" s="191"/>
      <x:c r="P203" s="191"/>
      <x:c r="Q203" s="191"/>
      <x:c r="R203" s="191"/>
      <x:c r="S203" s="191"/>
      <x:c r="T203" s="191"/>
      <x:c r="U203" s="191"/>
      <x:c r="V203" s="191"/>
      <x:c r="W203" s="191"/>
      <x:c r="X203" s="191"/>
      <x:c r="Y203" s="191"/>
      <x:c r="Z203" s="191"/>
      <x:c r="AA203" s="191"/>
      <x:c r="AB203" s="191"/>
      <x:c r="AC203" s="191"/>
      <x:c r="AD203" s="191"/>
      <x:c r="AE203" s="191"/>
      <x:c r="AF203" s="191"/>
      <x:c r="AG203" s="191"/>
      <x:c r="AH203" s="191"/>
      <x:c r="AI203" s="191"/>
      <x:c r="AJ203" s="191"/>
      <x:c r="AK203" s="191"/>
    </x:row>
    <x:row r="204">
      <x:c r="A204" s="191"/>
      <x:c r="B204" s="191"/>
      <x:c r="C204" s="191"/>
      <x:c r="D204" s="191"/>
      <x:c r="E204" s="191"/>
      <x:c r="F204" s="191"/>
      <x:c r="G204" s="191"/>
      <x:c r="H204" s="191"/>
      <x:c r="I204" s="191"/>
      <x:c r="J204" s="191"/>
      <x:c r="K204" s="191"/>
      <x:c r="L204" s="191"/>
      <x:c r="M204" s="191"/>
      <x:c r="N204" s="191"/>
      <x:c r="O204" s="191"/>
      <x:c r="P204" s="191"/>
      <x:c r="Q204" s="191"/>
      <x:c r="R204" s="191"/>
      <x:c r="S204" s="191"/>
      <x:c r="T204" s="191"/>
      <x:c r="U204" s="191"/>
      <x:c r="V204" s="191"/>
      <x:c r="W204" s="191"/>
      <x:c r="X204" s="191"/>
      <x:c r="Y204" s="191"/>
      <x:c r="Z204" s="191"/>
      <x:c r="AA204" s="191"/>
      <x:c r="AB204" s="191"/>
      <x:c r="AC204" s="191"/>
      <x:c r="AD204" s="191"/>
      <x:c r="AE204" s="191"/>
      <x:c r="AF204" s="191"/>
      <x:c r="AG204" s="191"/>
      <x:c r="AH204" s="191"/>
      <x:c r="AI204" s="191"/>
      <x:c r="AJ204" s="191"/>
      <x:c r="AK204" s="191"/>
    </x:row>
    <x:row r="205">
      <x:c r="A205" s="191"/>
      <x:c r="B205" s="191"/>
      <x:c r="C205" s="191"/>
      <x:c r="D205" s="191"/>
      <x:c r="E205" s="191"/>
      <x:c r="F205" s="191"/>
      <x:c r="G205" s="191"/>
      <x:c r="H205" s="191"/>
      <x:c r="I205" s="191"/>
      <x:c r="J205" s="191"/>
      <x:c r="K205" s="191"/>
      <x:c r="L205" s="191"/>
      <x:c r="M205" s="191"/>
      <x:c r="N205" s="191"/>
      <x:c r="O205" s="191"/>
      <x:c r="P205" s="191"/>
      <x:c r="Q205" s="191"/>
      <x:c r="R205" s="191"/>
      <x:c r="S205" s="191"/>
      <x:c r="T205" s="191"/>
      <x:c r="U205" s="191"/>
      <x:c r="V205" s="191"/>
      <x:c r="W205" s="191"/>
      <x:c r="X205" s="191"/>
      <x:c r="Y205" s="191"/>
      <x:c r="Z205" s="191"/>
      <x:c r="AA205" s="191"/>
      <x:c r="AB205" s="191"/>
      <x:c r="AC205" s="191"/>
      <x:c r="AD205" s="191"/>
      <x:c r="AE205" s="191"/>
      <x:c r="AF205" s="191"/>
      <x:c r="AG205" s="191"/>
      <x:c r="AH205" s="191"/>
      <x:c r="AI205" s="191"/>
      <x:c r="AJ205" s="191"/>
      <x:c r="AK205" s="191"/>
    </x:row>
    <x:row r="206">
      <x:c r="A206" s="191"/>
      <x:c r="B206" s="191"/>
      <x:c r="C206" s="191"/>
      <x:c r="D206" s="191"/>
      <x:c r="E206" s="191"/>
      <x:c r="F206" s="191"/>
      <x:c r="G206" s="191"/>
      <x:c r="H206" s="191"/>
      <x:c r="I206" s="191"/>
      <x:c r="J206" s="191"/>
      <x:c r="K206" s="191"/>
      <x:c r="L206" s="191"/>
      <x:c r="M206" s="191"/>
      <x:c r="N206" s="191"/>
      <x:c r="O206" s="191"/>
      <x:c r="P206" s="191"/>
      <x:c r="Q206" s="191"/>
      <x:c r="R206" s="191"/>
      <x:c r="S206" s="191"/>
      <x:c r="T206" s="191"/>
      <x:c r="U206" s="191"/>
      <x:c r="V206" s="191"/>
      <x:c r="W206" s="191"/>
      <x:c r="X206" s="191"/>
      <x:c r="Y206" s="191"/>
      <x:c r="Z206" s="191"/>
      <x:c r="AA206" s="191"/>
      <x:c r="AB206" s="191"/>
      <x:c r="AC206" s="191"/>
      <x:c r="AD206" s="191"/>
      <x:c r="AE206" s="191"/>
      <x:c r="AF206" s="191"/>
      <x:c r="AG206" s="191"/>
      <x:c r="AH206" s="191"/>
      <x:c r="AI206" s="191"/>
      <x:c r="AJ206" s="191"/>
      <x:c r="AK206" s="191"/>
    </x:row>
    <x:row r="207">
      <x:c r="A207" s="191"/>
      <x:c r="B207" s="191"/>
      <x:c r="C207" s="191"/>
      <x:c r="D207" s="191"/>
      <x:c r="E207" s="191"/>
      <x:c r="F207" s="191"/>
      <x:c r="G207" s="191"/>
      <x:c r="H207" s="191"/>
      <x:c r="I207" s="191"/>
      <x:c r="J207" s="191"/>
      <x:c r="K207" s="191"/>
      <x:c r="L207" s="191"/>
      <x:c r="M207" s="191"/>
      <x:c r="N207" s="191"/>
      <x:c r="O207" s="191"/>
      <x:c r="P207" s="191"/>
      <x:c r="Q207" s="191"/>
      <x:c r="R207" s="191"/>
      <x:c r="S207" s="191"/>
      <x:c r="T207" s="191"/>
      <x:c r="U207" s="191"/>
      <x:c r="V207" s="191"/>
      <x:c r="W207" s="191"/>
      <x:c r="X207" s="191"/>
      <x:c r="Y207" s="191"/>
      <x:c r="Z207" s="191"/>
      <x:c r="AA207" s="191"/>
      <x:c r="AB207" s="191"/>
      <x:c r="AC207" s="191"/>
      <x:c r="AD207" s="191"/>
      <x:c r="AE207" s="191"/>
      <x:c r="AF207" s="191"/>
      <x:c r="AG207" s="191"/>
      <x:c r="AH207" s="191"/>
      <x:c r="AI207" s="191"/>
      <x:c r="AJ207" s="191"/>
      <x:c r="AK207" s="191"/>
    </x:row>
    <x:row r="208">
      <x:c r="A208" s="191"/>
      <x:c r="B208" s="191"/>
      <x:c r="C208" s="191"/>
      <x:c r="D208" s="191"/>
      <x:c r="E208" s="191"/>
      <x:c r="F208" s="191"/>
      <x:c r="G208" s="191"/>
      <x:c r="H208" s="191"/>
      <x:c r="I208" s="191"/>
      <x:c r="J208" s="191"/>
      <x:c r="K208" s="191"/>
      <x:c r="L208" s="191"/>
      <x:c r="M208" s="191"/>
      <x:c r="N208" s="191"/>
      <x:c r="O208" s="191"/>
      <x:c r="P208" s="191"/>
      <x:c r="Q208" s="191"/>
      <x:c r="R208" s="191"/>
      <x:c r="S208" s="191"/>
      <x:c r="T208" s="191"/>
      <x:c r="U208" s="191"/>
      <x:c r="V208" s="191"/>
      <x:c r="W208" s="191"/>
      <x:c r="X208" s="191"/>
      <x:c r="Y208" s="191"/>
      <x:c r="Z208" s="191"/>
      <x:c r="AA208" s="191"/>
      <x:c r="AB208" s="191"/>
      <x:c r="AC208" s="191"/>
      <x:c r="AD208" s="191"/>
      <x:c r="AE208" s="191"/>
      <x:c r="AF208" s="191"/>
      <x:c r="AG208" s="191"/>
      <x:c r="AH208" s="191"/>
      <x:c r="AI208" s="191"/>
      <x:c r="AJ208" s="191"/>
      <x:c r="AK208" s="191"/>
    </x:row>
    <x:row r="209">
      <x:c r="A209" s="191"/>
      <x:c r="B209" s="191"/>
      <x:c r="C209" s="191"/>
      <x:c r="D209" s="191"/>
      <x:c r="E209" s="191"/>
      <x:c r="F209" s="191"/>
      <x:c r="G209" s="191"/>
      <x:c r="H209" s="191"/>
      <x:c r="I209" s="191"/>
      <x:c r="J209" s="191"/>
      <x:c r="K209" s="191"/>
      <x:c r="L209" s="191"/>
      <x:c r="M209" s="191"/>
      <x:c r="N209" s="191"/>
      <x:c r="O209" s="191"/>
      <x:c r="P209" s="191"/>
      <x:c r="Q209" s="191"/>
      <x:c r="R209" s="191"/>
      <x:c r="S209" s="191"/>
      <x:c r="T209" s="191"/>
      <x:c r="U209" s="191"/>
      <x:c r="V209" s="191"/>
      <x:c r="W209" s="191"/>
      <x:c r="X209" s="191"/>
      <x:c r="Y209" s="191"/>
      <x:c r="Z209" s="191"/>
      <x:c r="AA209" s="191"/>
      <x:c r="AB209" s="191"/>
      <x:c r="AC209" s="191"/>
      <x:c r="AD209" s="191"/>
      <x:c r="AE209" s="191"/>
      <x:c r="AF209" s="191"/>
      <x:c r="AG209" s="191"/>
      <x:c r="AH209" s="191"/>
      <x:c r="AI209" s="191"/>
      <x:c r="AJ209" s="191"/>
      <x:c r="AK209" s="191"/>
    </x:row>
    <x:row r="210">
      <x:c r="A210" s="191"/>
      <x:c r="B210" s="191"/>
      <x:c r="C210" s="191"/>
      <x:c r="D210" s="191"/>
      <x:c r="E210" s="191"/>
      <x:c r="F210" s="191"/>
      <x:c r="G210" s="191"/>
      <x:c r="H210" s="191"/>
      <x:c r="I210" s="191"/>
      <x:c r="J210" s="191"/>
      <x:c r="K210" s="191"/>
      <x:c r="L210" s="191"/>
      <x:c r="M210" s="191"/>
      <x:c r="N210" s="191"/>
      <x:c r="O210" s="191"/>
      <x:c r="P210" s="191"/>
      <x:c r="Q210" s="191"/>
      <x:c r="R210" s="191"/>
      <x:c r="S210" s="191"/>
      <x:c r="T210" s="191"/>
      <x:c r="U210" s="191"/>
      <x:c r="V210" s="191"/>
      <x:c r="W210" s="191"/>
      <x:c r="X210" s="191"/>
      <x:c r="Y210" s="191"/>
      <x:c r="Z210" s="191"/>
      <x:c r="AA210" s="191"/>
      <x:c r="AB210" s="191"/>
      <x:c r="AC210" s="191"/>
      <x:c r="AD210" s="191"/>
      <x:c r="AE210" s="191"/>
      <x:c r="AF210" s="191"/>
      <x:c r="AG210" s="191"/>
      <x:c r="AH210" s="191"/>
      <x:c r="AI210" s="191"/>
      <x:c r="AJ210" s="191"/>
      <x:c r="AK210" s="191"/>
    </x:row>
    <x:row r="211">
      <x:c r="A211" s="191"/>
      <x:c r="B211" s="191"/>
      <x:c r="C211" s="191"/>
      <x:c r="D211" s="191"/>
      <x:c r="E211" s="191"/>
      <x:c r="F211" s="191"/>
      <x:c r="G211" s="191"/>
      <x:c r="H211" s="191"/>
      <x:c r="I211" s="191"/>
      <x:c r="J211" s="191"/>
      <x:c r="K211" s="191"/>
      <x:c r="L211" s="191"/>
      <x:c r="M211" s="191"/>
      <x:c r="N211" s="191"/>
      <x:c r="O211" s="191"/>
      <x:c r="P211" s="191"/>
      <x:c r="Q211" s="191"/>
      <x:c r="R211" s="191"/>
      <x:c r="S211" s="191"/>
      <x:c r="T211" s="191"/>
      <x:c r="U211" s="191"/>
      <x:c r="V211" s="191"/>
      <x:c r="W211" s="191"/>
      <x:c r="X211" s="191"/>
      <x:c r="Y211" s="191"/>
      <x:c r="Z211" s="191"/>
      <x:c r="AA211" s="191"/>
      <x:c r="AB211" s="191"/>
      <x:c r="AC211" s="191"/>
      <x:c r="AD211" s="191"/>
      <x:c r="AE211" s="191"/>
      <x:c r="AF211" s="191"/>
      <x:c r="AG211" s="191"/>
      <x:c r="AH211" s="191"/>
      <x:c r="AI211" s="191"/>
      <x:c r="AJ211" s="191"/>
      <x:c r="AK211" s="191"/>
    </x:row>
    <x:row r="212">
      <x:c r="A212" s="191"/>
      <x:c r="B212" s="191"/>
      <x:c r="C212" s="191"/>
      <x:c r="D212" s="191"/>
      <x:c r="E212" s="191"/>
      <x:c r="F212" s="191"/>
      <x:c r="G212" s="191"/>
      <x:c r="H212" s="191"/>
      <x:c r="I212" s="191"/>
      <x:c r="J212" s="191"/>
      <x:c r="K212" s="191"/>
      <x:c r="L212" s="191"/>
      <x:c r="M212" s="191"/>
      <x:c r="N212" s="191"/>
      <x:c r="O212" s="191"/>
      <x:c r="P212" s="191"/>
      <x:c r="Q212" s="191"/>
      <x:c r="R212" s="191"/>
      <x:c r="S212" s="191"/>
      <x:c r="T212" s="191"/>
      <x:c r="U212" s="191"/>
      <x:c r="V212" s="191"/>
      <x:c r="W212" s="191"/>
      <x:c r="X212" s="191"/>
      <x:c r="Y212" s="191"/>
      <x:c r="Z212" s="191"/>
      <x:c r="AA212" s="191"/>
      <x:c r="AB212" s="191"/>
      <x:c r="AC212" s="191"/>
      <x:c r="AD212" s="191"/>
      <x:c r="AE212" s="191"/>
      <x:c r="AF212" s="191"/>
      <x:c r="AG212" s="191"/>
      <x:c r="AH212" s="191"/>
      <x:c r="AI212" s="191"/>
      <x:c r="AJ212" s="191"/>
      <x:c r="AK212" s="191"/>
    </x:row>
    <x:row r="213">
      <x:c r="A213" s="191"/>
      <x:c r="B213" s="191"/>
      <x:c r="C213" s="191"/>
      <x:c r="D213" s="191"/>
      <x:c r="E213" s="191"/>
      <x:c r="F213" s="191"/>
      <x:c r="G213" s="191"/>
      <x:c r="H213" s="191"/>
      <x:c r="I213" s="191"/>
      <x:c r="J213" s="191"/>
      <x:c r="K213" s="191"/>
      <x:c r="L213" s="191"/>
      <x:c r="M213" s="191"/>
      <x:c r="N213" s="191"/>
      <x:c r="O213" s="191"/>
      <x:c r="P213" s="191"/>
      <x:c r="Q213" s="191"/>
      <x:c r="R213" s="191"/>
      <x:c r="S213" s="191"/>
      <x:c r="T213" s="191"/>
      <x:c r="U213" s="191"/>
      <x:c r="V213" s="191"/>
      <x:c r="W213" s="191"/>
      <x:c r="X213" s="191"/>
      <x:c r="Y213" s="191"/>
      <x:c r="Z213" s="191"/>
      <x:c r="AA213" s="191"/>
      <x:c r="AB213" s="191"/>
      <x:c r="AC213" s="191"/>
      <x:c r="AD213" s="191"/>
      <x:c r="AE213" s="191"/>
      <x:c r="AF213" s="191"/>
      <x:c r="AG213" s="191"/>
      <x:c r="AH213" s="191"/>
      <x:c r="AI213" s="191"/>
      <x:c r="AJ213" s="191"/>
      <x:c r="AK213" s="191"/>
    </x:row>
    <x:row r="214">
      <x:c r="A214" s="191"/>
      <x:c r="B214" s="191"/>
      <x:c r="C214" s="191"/>
      <x:c r="D214" s="191"/>
      <x:c r="E214" s="191"/>
      <x:c r="F214" s="191"/>
      <x:c r="G214" s="191"/>
      <x:c r="H214" s="191"/>
      <x:c r="I214" s="191"/>
      <x:c r="J214" s="191"/>
      <x:c r="K214" s="191"/>
      <x:c r="L214" s="191"/>
      <x:c r="M214" s="191"/>
      <x:c r="N214" s="191"/>
      <x:c r="O214" s="191"/>
      <x:c r="P214" s="191"/>
      <x:c r="Q214" s="191"/>
      <x:c r="R214" s="191"/>
      <x:c r="S214" s="191"/>
      <x:c r="T214" s="191"/>
      <x:c r="U214" s="191"/>
      <x:c r="V214" s="191"/>
      <x:c r="W214" s="191"/>
      <x:c r="X214" s="191"/>
      <x:c r="Y214" s="191"/>
      <x:c r="Z214" s="191"/>
      <x:c r="AA214" s="191"/>
      <x:c r="AB214" s="191"/>
      <x:c r="AC214" s="191"/>
      <x:c r="AD214" s="191"/>
      <x:c r="AE214" s="191"/>
      <x:c r="AF214" s="191"/>
      <x:c r="AG214" s="191"/>
      <x:c r="AH214" s="191"/>
      <x:c r="AI214" s="191"/>
      <x:c r="AJ214" s="191"/>
      <x:c r="AK214" s="191"/>
    </x:row>
    <x:row r="215">
      <x:c r="A215" s="191"/>
      <x:c r="B215" s="191"/>
      <x:c r="C215" s="191"/>
      <x:c r="D215" s="191"/>
      <x:c r="E215" s="191"/>
      <x:c r="F215" s="191"/>
      <x:c r="G215" s="191"/>
      <x:c r="H215" s="191"/>
      <x:c r="I215" s="191"/>
      <x:c r="J215" s="191"/>
      <x:c r="K215" s="191"/>
      <x:c r="L215" s="191"/>
      <x:c r="M215" s="191"/>
      <x:c r="N215" s="191"/>
      <x:c r="O215" s="191"/>
      <x:c r="P215" s="191"/>
      <x:c r="Q215" s="191"/>
      <x:c r="R215" s="191"/>
      <x:c r="S215" s="191"/>
      <x:c r="T215" s="191"/>
      <x:c r="U215" s="191"/>
      <x:c r="V215" s="191"/>
      <x:c r="W215" s="191"/>
      <x:c r="X215" s="191"/>
      <x:c r="Y215" s="191"/>
      <x:c r="Z215" s="191"/>
      <x:c r="AA215" s="191"/>
      <x:c r="AB215" s="191"/>
      <x:c r="AC215" s="191"/>
      <x:c r="AD215" s="191"/>
      <x:c r="AE215" s="191"/>
      <x:c r="AF215" s="191"/>
      <x:c r="AG215" s="191"/>
      <x:c r="AH215" s="191"/>
      <x:c r="AI215" s="191"/>
      <x:c r="AJ215" s="191"/>
      <x:c r="AK215" s="191"/>
    </x:row>
    <x:row r="216">
      <x:c r="A216" s="191"/>
      <x:c r="B216" s="191"/>
      <x:c r="C216" s="191"/>
      <x:c r="D216" s="191"/>
      <x:c r="E216" s="191"/>
      <x:c r="F216" s="191"/>
      <x:c r="G216" s="191"/>
      <x:c r="H216" s="191"/>
      <x:c r="I216" s="191"/>
      <x:c r="J216" s="191"/>
      <x:c r="K216" s="191"/>
      <x:c r="L216" s="191"/>
      <x:c r="M216" s="191"/>
      <x:c r="N216" s="191"/>
      <x:c r="O216" s="191"/>
      <x:c r="P216" s="191"/>
      <x:c r="Q216" s="191"/>
      <x:c r="R216" s="191"/>
      <x:c r="S216" s="191"/>
      <x:c r="T216" s="191"/>
      <x:c r="U216" s="191"/>
      <x:c r="V216" s="191"/>
      <x:c r="W216" s="191"/>
      <x:c r="X216" s="191"/>
      <x:c r="Y216" s="191"/>
      <x:c r="Z216" s="191"/>
      <x:c r="AA216" s="191"/>
      <x:c r="AB216" s="191"/>
      <x:c r="AC216" s="191"/>
      <x:c r="AD216" s="191"/>
      <x:c r="AE216" s="191"/>
      <x:c r="AF216" s="191"/>
      <x:c r="AG216" s="191"/>
      <x:c r="AH216" s="191"/>
      <x:c r="AI216" s="191"/>
      <x:c r="AJ216" s="191"/>
      <x:c r="AK216" s="191"/>
    </x:row>
    <x:row r="217">
      <x:c r="A217" s="191"/>
      <x:c r="B217" s="191"/>
      <x:c r="C217" s="191"/>
      <x:c r="D217" s="191"/>
      <x:c r="E217" s="191"/>
      <x:c r="F217" s="191"/>
      <x:c r="G217" s="191"/>
      <x:c r="H217" s="191"/>
      <x:c r="I217" s="191"/>
      <x:c r="J217" s="191"/>
      <x:c r="K217" s="191"/>
      <x:c r="L217" s="191"/>
      <x:c r="M217" s="191"/>
      <x:c r="N217" s="191"/>
      <x:c r="O217" s="191"/>
      <x:c r="P217" s="191"/>
      <x:c r="Q217" s="191"/>
      <x:c r="R217" s="191"/>
      <x:c r="S217" s="191"/>
      <x:c r="T217" s="191"/>
      <x:c r="U217" s="191"/>
      <x:c r="V217" s="191"/>
      <x:c r="W217" s="191"/>
      <x:c r="X217" s="191"/>
      <x:c r="Y217" s="191"/>
      <x:c r="Z217" s="191"/>
      <x:c r="AA217" s="191"/>
      <x:c r="AB217" s="191"/>
      <x:c r="AC217" s="191"/>
      <x:c r="AD217" s="191"/>
      <x:c r="AE217" s="191"/>
      <x:c r="AF217" s="191"/>
      <x:c r="AG217" s="191"/>
      <x:c r="AH217" s="191"/>
      <x:c r="AI217" s="191"/>
      <x:c r="AJ217" s="191"/>
      <x:c r="AK217" s="191"/>
    </x:row>
    <x:row r="218">
      <x:c r="A218" s="191"/>
      <x:c r="B218" s="191"/>
      <x:c r="C218" s="191"/>
      <x:c r="D218" s="191"/>
      <x:c r="E218" s="191"/>
      <x:c r="F218" s="191"/>
      <x:c r="G218" s="191"/>
      <x:c r="H218" s="191"/>
      <x:c r="I218" s="191"/>
      <x:c r="J218" s="191"/>
      <x:c r="K218" s="191"/>
      <x:c r="L218" s="191"/>
      <x:c r="M218" s="191"/>
      <x:c r="N218" s="191"/>
      <x:c r="O218" s="191"/>
      <x:c r="P218" s="191"/>
      <x:c r="Q218" s="191"/>
      <x:c r="R218" s="191"/>
      <x:c r="S218" s="191"/>
      <x:c r="T218" s="191"/>
      <x:c r="U218" s="191"/>
      <x:c r="V218" s="191"/>
      <x:c r="W218" s="191"/>
      <x:c r="X218" s="191"/>
      <x:c r="Y218" s="191"/>
      <x:c r="Z218" s="191"/>
      <x:c r="AA218" s="191"/>
      <x:c r="AB218" s="191"/>
      <x:c r="AC218" s="191"/>
      <x:c r="AD218" s="191"/>
      <x:c r="AE218" s="191"/>
      <x:c r="AF218" s="191"/>
      <x:c r="AG218" s="191"/>
      <x:c r="AH218" s="191"/>
      <x:c r="AI218" s="191"/>
      <x:c r="AJ218" s="191"/>
      <x:c r="AK218" s="191"/>
    </x:row>
    <x:row r="219">
      <x:c r="A219" s="191"/>
      <x:c r="B219" s="191"/>
      <x:c r="C219" s="191"/>
      <x:c r="D219" s="191"/>
      <x:c r="E219" s="191"/>
      <x:c r="F219" s="191"/>
      <x:c r="G219" s="191"/>
      <x:c r="H219" s="191"/>
      <x:c r="I219" s="191"/>
      <x:c r="J219" s="191"/>
      <x:c r="K219" s="191"/>
      <x:c r="L219" s="191"/>
      <x:c r="M219" s="191"/>
      <x:c r="N219" s="191"/>
      <x:c r="O219" s="191"/>
      <x:c r="P219" s="191"/>
      <x:c r="Q219" s="191"/>
      <x:c r="R219" s="191"/>
      <x:c r="S219" s="191"/>
      <x:c r="T219" s="191"/>
      <x:c r="U219" s="191"/>
      <x:c r="V219" s="191"/>
      <x:c r="W219" s="191"/>
      <x:c r="X219" s="191"/>
      <x:c r="Y219" s="191"/>
      <x:c r="Z219" s="191"/>
      <x:c r="AA219" s="191"/>
      <x:c r="AB219" s="191"/>
      <x:c r="AC219" s="191"/>
      <x:c r="AD219" s="191"/>
      <x:c r="AE219" s="191"/>
      <x:c r="AF219" s="191"/>
      <x:c r="AG219" s="191"/>
      <x:c r="AH219" s="191"/>
      <x:c r="AI219" s="191"/>
      <x:c r="AJ219" s="191"/>
      <x:c r="AK219" s="191"/>
    </x:row>
    <x:row r="220">
      <x:c r="A220" s="191"/>
      <x:c r="B220" s="191"/>
      <x:c r="C220" s="191"/>
      <x:c r="D220" s="191"/>
      <x:c r="E220" s="191"/>
      <x:c r="F220" s="191"/>
      <x:c r="G220" s="191"/>
      <x:c r="H220" s="191"/>
      <x:c r="I220" s="191"/>
      <x:c r="J220" s="191"/>
      <x:c r="K220" s="191"/>
      <x:c r="L220" s="191"/>
      <x:c r="M220" s="191"/>
      <x:c r="N220" s="191"/>
      <x:c r="O220" s="191"/>
      <x:c r="P220" s="191"/>
      <x:c r="Q220" s="191"/>
      <x:c r="R220" s="191"/>
      <x:c r="S220" s="191"/>
      <x:c r="T220" s="191"/>
      <x:c r="U220" s="191"/>
      <x:c r="V220" s="191"/>
      <x:c r="W220" s="191"/>
      <x:c r="X220" s="191"/>
      <x:c r="Y220" s="191"/>
      <x:c r="Z220" s="191"/>
      <x:c r="AA220" s="191"/>
      <x:c r="AB220" s="191"/>
      <x:c r="AC220" s="191"/>
      <x:c r="AD220" s="191"/>
      <x:c r="AE220" s="191"/>
      <x:c r="AF220" s="191"/>
      <x:c r="AG220" s="191"/>
      <x:c r="AH220" s="191"/>
      <x:c r="AI220" s="191"/>
      <x:c r="AJ220" s="191"/>
      <x:c r="AK220" s="191"/>
    </x:row>
    <x:row r="221">
      <x:c r="A221" s="191"/>
      <x:c r="B221" s="191"/>
      <x:c r="C221" s="191"/>
      <x:c r="D221" s="191"/>
      <x:c r="E221" s="191"/>
      <x:c r="F221" s="191"/>
      <x:c r="G221" s="191"/>
      <x:c r="H221" s="191"/>
      <x:c r="I221" s="191"/>
      <x:c r="J221" s="191"/>
      <x:c r="K221" s="191"/>
      <x:c r="L221" s="191"/>
      <x:c r="M221" s="191"/>
      <x:c r="N221" s="191"/>
      <x:c r="O221" s="191"/>
      <x:c r="P221" s="191"/>
      <x:c r="Q221" s="191"/>
      <x:c r="R221" s="191"/>
      <x:c r="S221" s="191"/>
      <x:c r="T221" s="191"/>
      <x:c r="U221" s="191"/>
      <x:c r="V221" s="191"/>
      <x:c r="W221" s="191"/>
      <x:c r="X221" s="191"/>
      <x:c r="Y221" s="191"/>
      <x:c r="Z221" s="191"/>
      <x:c r="AA221" s="191"/>
      <x:c r="AB221" s="191"/>
      <x:c r="AC221" s="191"/>
      <x:c r="AD221" s="191"/>
      <x:c r="AE221" s="191"/>
      <x:c r="AF221" s="191"/>
      <x:c r="AG221" s="191"/>
      <x:c r="AH221" s="191"/>
      <x:c r="AI221" s="191"/>
      <x:c r="AJ221" s="191"/>
      <x:c r="AK221" s="191"/>
    </x:row>
    <x:row r="222">
      <x:c r="A222" s="191"/>
      <x:c r="B222" s="191"/>
      <x:c r="C222" s="191"/>
      <x:c r="D222" s="191"/>
      <x:c r="E222" s="191"/>
      <x:c r="F222" s="191"/>
      <x:c r="G222" s="191"/>
      <x:c r="H222" s="191"/>
      <x:c r="I222" s="191"/>
      <x:c r="J222" s="191"/>
      <x:c r="K222" s="191"/>
      <x:c r="L222" s="191"/>
      <x:c r="M222" s="191"/>
      <x:c r="N222" s="191"/>
      <x:c r="O222" s="191"/>
      <x:c r="P222" s="191"/>
      <x:c r="Q222" s="191"/>
      <x:c r="R222" s="191"/>
      <x:c r="S222" s="191"/>
      <x:c r="T222" s="191"/>
      <x:c r="U222" s="191"/>
      <x:c r="V222" s="191"/>
      <x:c r="W222" s="191"/>
      <x:c r="X222" s="191"/>
      <x:c r="Y222" s="191"/>
      <x:c r="Z222" s="191"/>
      <x:c r="AA222" s="191"/>
      <x:c r="AB222" s="191"/>
      <x:c r="AC222" s="191"/>
      <x:c r="AD222" s="191"/>
      <x:c r="AE222" s="191"/>
      <x:c r="AF222" s="191"/>
      <x:c r="AG222" s="191"/>
      <x:c r="AH222" s="191"/>
      <x:c r="AI222" s="191"/>
      <x:c r="AJ222" s="191"/>
      <x:c r="AK222" s="191"/>
    </x:row>
    <x:row r="223">
      <x:c r="A223" s="191"/>
      <x:c r="B223" s="191"/>
      <x:c r="C223" s="191"/>
      <x:c r="D223" s="191"/>
      <x:c r="E223" s="191"/>
      <x:c r="F223" s="191"/>
      <x:c r="G223" s="191"/>
      <x:c r="H223" s="191"/>
      <x:c r="I223" s="191"/>
      <x:c r="J223" s="191"/>
      <x:c r="K223" s="191"/>
      <x:c r="L223" s="191"/>
      <x:c r="M223" s="191"/>
      <x:c r="N223" s="191"/>
      <x:c r="O223" s="191"/>
      <x:c r="P223" s="191"/>
      <x:c r="Q223" s="191"/>
      <x:c r="R223" s="191"/>
      <x:c r="S223" s="191"/>
      <x:c r="T223" s="191"/>
      <x:c r="U223" s="191"/>
      <x:c r="V223" s="191"/>
      <x:c r="W223" s="191"/>
      <x:c r="X223" s="191"/>
      <x:c r="Y223" s="191"/>
      <x:c r="Z223" s="191"/>
      <x:c r="AA223" s="191"/>
      <x:c r="AB223" s="191"/>
      <x:c r="AC223" s="191"/>
      <x:c r="AD223" s="191"/>
      <x:c r="AE223" s="191"/>
      <x:c r="AF223" s="191"/>
      <x:c r="AG223" s="191"/>
      <x:c r="AH223" s="191"/>
      <x:c r="AI223" s="191"/>
      <x:c r="AJ223" s="191"/>
      <x:c r="AK223" s="191"/>
    </x:row>
    <x:row r="224">
      <x:c r="A224" s="191"/>
      <x:c r="B224" s="191"/>
      <x:c r="C224" s="191"/>
      <x:c r="D224" s="191"/>
      <x:c r="E224" s="191"/>
      <x:c r="F224" s="191"/>
      <x:c r="G224" s="191"/>
      <x:c r="H224" s="191"/>
      <x:c r="I224" s="191"/>
      <x:c r="J224" s="191"/>
      <x:c r="K224" s="191"/>
      <x:c r="L224" s="191"/>
      <x:c r="M224" s="191"/>
      <x:c r="N224" s="191"/>
      <x:c r="O224" s="191"/>
      <x:c r="P224" s="191"/>
      <x:c r="Q224" s="191"/>
      <x:c r="R224" s="191"/>
      <x:c r="S224" s="191"/>
      <x:c r="T224" s="191"/>
      <x:c r="U224" s="191"/>
      <x:c r="V224" s="191"/>
      <x:c r="W224" s="191"/>
      <x:c r="X224" s="191"/>
      <x:c r="Y224" s="191"/>
      <x:c r="Z224" s="191"/>
      <x:c r="AA224" s="191"/>
      <x:c r="AB224" s="191"/>
      <x:c r="AC224" s="191"/>
      <x:c r="AD224" s="191"/>
      <x:c r="AE224" s="191"/>
      <x:c r="AF224" s="191"/>
      <x:c r="AG224" s="191"/>
      <x:c r="AH224" s="191"/>
      <x:c r="AI224" s="191"/>
      <x:c r="AJ224" s="191"/>
      <x:c r="AK224" s="191"/>
    </x:row>
    <x:row r="225">
      <x:c r="A225" s="191"/>
      <x:c r="B225" s="191"/>
      <x:c r="C225" s="191"/>
      <x:c r="D225" s="191"/>
      <x:c r="E225" s="191"/>
      <x:c r="F225" s="191"/>
      <x:c r="G225" s="191"/>
      <x:c r="H225" s="191"/>
      <x:c r="I225" s="191"/>
      <x:c r="J225" s="191"/>
      <x:c r="K225" s="191"/>
      <x:c r="L225" s="191"/>
      <x:c r="M225" s="191"/>
      <x:c r="N225" s="191"/>
      <x:c r="O225" s="191"/>
      <x:c r="P225" s="191"/>
      <x:c r="Q225" s="191"/>
      <x:c r="R225" s="191"/>
      <x:c r="S225" s="191"/>
      <x:c r="T225" s="191"/>
      <x:c r="U225" s="191"/>
      <x:c r="V225" s="191"/>
      <x:c r="W225" s="191"/>
      <x:c r="X225" s="191"/>
      <x:c r="Y225" s="191"/>
      <x:c r="Z225" s="191"/>
      <x:c r="AA225" s="191"/>
      <x:c r="AB225" s="191"/>
      <x:c r="AC225" s="191"/>
      <x:c r="AD225" s="191"/>
      <x:c r="AE225" s="191"/>
      <x:c r="AF225" s="191"/>
      <x:c r="AG225" s="191"/>
      <x:c r="AH225" s="191"/>
      <x:c r="AI225" s="191"/>
      <x:c r="AJ225" s="191"/>
      <x:c r="AK225" s="191"/>
    </x:row>
    <x:row r="226">
      <x:c r="A226" s="191"/>
      <x:c r="B226" s="191"/>
      <x:c r="C226" s="191"/>
      <x:c r="D226" s="191"/>
      <x:c r="E226" s="191"/>
      <x:c r="F226" s="191"/>
      <x:c r="G226" s="191"/>
      <x:c r="H226" s="191"/>
      <x:c r="I226" s="191"/>
      <x:c r="J226" s="191"/>
      <x:c r="K226" s="191"/>
      <x:c r="L226" s="191"/>
      <x:c r="M226" s="191"/>
      <x:c r="N226" s="191"/>
      <x:c r="O226" s="191"/>
      <x:c r="P226" s="191"/>
      <x:c r="Q226" s="191"/>
      <x:c r="R226" s="191"/>
      <x:c r="S226" s="191"/>
      <x:c r="T226" s="191"/>
      <x:c r="U226" s="191"/>
      <x:c r="V226" s="191"/>
      <x:c r="W226" s="191"/>
      <x:c r="X226" s="191"/>
      <x:c r="Y226" s="191"/>
      <x:c r="Z226" s="191"/>
      <x:c r="AA226" s="191"/>
      <x:c r="AB226" s="191"/>
      <x:c r="AC226" s="191"/>
      <x:c r="AD226" s="191"/>
      <x:c r="AE226" s="191"/>
      <x:c r="AF226" s="191"/>
      <x:c r="AG226" s="191"/>
      <x:c r="AH226" s="191"/>
      <x:c r="AI226" s="191"/>
      <x:c r="AJ226" s="191"/>
      <x:c r="AK226" s="191"/>
    </x:row>
    <x:row r="227">
      <x:c r="A227" s="191"/>
      <x:c r="B227" s="191"/>
      <x:c r="C227" s="191"/>
      <x:c r="D227" s="191"/>
      <x:c r="E227" s="191"/>
      <x:c r="F227" s="191"/>
      <x:c r="G227" s="191"/>
      <x:c r="H227" s="191"/>
      <x:c r="I227" s="191"/>
      <x:c r="J227" s="191"/>
      <x:c r="K227" s="191"/>
      <x:c r="L227" s="191"/>
      <x:c r="M227" s="191"/>
      <x:c r="N227" s="191"/>
      <x:c r="O227" s="191"/>
      <x:c r="P227" s="191"/>
      <x:c r="Q227" s="191"/>
      <x:c r="R227" s="191"/>
      <x:c r="S227" s="191"/>
      <x:c r="T227" s="191"/>
      <x:c r="U227" s="191"/>
      <x:c r="V227" s="191"/>
      <x:c r="W227" s="191"/>
      <x:c r="X227" s="191"/>
      <x:c r="Y227" s="191"/>
      <x:c r="Z227" s="191"/>
      <x:c r="AA227" s="191"/>
      <x:c r="AB227" s="191"/>
      <x:c r="AC227" s="191"/>
      <x:c r="AD227" s="191"/>
      <x:c r="AE227" s="191"/>
      <x:c r="AF227" s="191"/>
      <x:c r="AG227" s="191"/>
      <x:c r="AH227" s="191"/>
      <x:c r="AI227" s="191"/>
      <x:c r="AJ227" s="191"/>
      <x:c r="AK227" s="191"/>
    </x:row>
    <x:row r="228">
      <x:c r="A228" s="191"/>
      <x:c r="B228" s="191"/>
      <x:c r="C228" s="191"/>
      <x:c r="D228" s="191"/>
      <x:c r="E228" s="191"/>
      <x:c r="F228" s="191"/>
      <x:c r="G228" s="191"/>
      <x:c r="H228" s="191"/>
      <x:c r="I228" s="191"/>
      <x:c r="J228" s="191"/>
      <x:c r="K228" s="191"/>
      <x:c r="L228" s="191"/>
      <x:c r="M228" s="191"/>
      <x:c r="N228" s="191"/>
      <x:c r="O228" s="191"/>
      <x:c r="P228" s="191"/>
      <x:c r="Q228" s="191"/>
      <x:c r="R228" s="191"/>
      <x:c r="S228" s="191"/>
      <x:c r="T228" s="191"/>
      <x:c r="U228" s="191"/>
      <x:c r="V228" s="191"/>
      <x:c r="W228" s="191"/>
      <x:c r="X228" s="191"/>
      <x:c r="Y228" s="191"/>
      <x:c r="Z228" s="191"/>
      <x:c r="AA228" s="191"/>
      <x:c r="AB228" s="191"/>
      <x:c r="AC228" s="191"/>
      <x:c r="AD228" s="191"/>
      <x:c r="AE228" s="191"/>
      <x:c r="AF228" s="191"/>
      <x:c r="AG228" s="191"/>
      <x:c r="AH228" s="191"/>
      <x:c r="AI228" s="191"/>
      <x:c r="AJ228" s="191"/>
      <x:c r="AK228" s="191"/>
    </x:row>
    <x:row r="229">
      <x:c r="A229" s="191"/>
      <x:c r="B229" s="191"/>
      <x:c r="C229" s="191"/>
      <x:c r="D229" s="191"/>
      <x:c r="E229" s="191"/>
      <x:c r="F229" s="191"/>
      <x:c r="G229" s="191"/>
      <x:c r="H229" s="191"/>
      <x:c r="I229" s="191"/>
      <x:c r="J229" s="191"/>
      <x:c r="K229" s="191"/>
      <x:c r="L229" s="191"/>
      <x:c r="M229" s="191"/>
      <x:c r="N229" s="191"/>
      <x:c r="O229" s="191"/>
      <x:c r="P229" s="191"/>
      <x:c r="Q229" s="191"/>
      <x:c r="R229" s="191"/>
      <x:c r="S229" s="191"/>
      <x:c r="T229" s="191"/>
      <x:c r="U229" s="191"/>
      <x:c r="V229" s="191"/>
      <x:c r="W229" s="191"/>
      <x:c r="X229" s="191"/>
      <x:c r="Y229" s="191"/>
      <x:c r="Z229" s="191"/>
      <x:c r="AA229" s="191"/>
      <x:c r="AB229" s="191"/>
      <x:c r="AC229" s="191"/>
      <x:c r="AD229" s="191"/>
      <x:c r="AE229" s="191"/>
      <x:c r="AF229" s="191"/>
      <x:c r="AG229" s="191"/>
      <x:c r="AH229" s="191"/>
      <x:c r="AI229" s="191"/>
      <x:c r="AJ229" s="191"/>
      <x:c r="AK229" s="191"/>
    </x:row>
    <x:row r="230">
      <x:c r="A230" s="191"/>
      <x:c r="B230" s="191"/>
      <x:c r="C230" s="191"/>
      <x:c r="D230" s="191"/>
      <x:c r="E230" s="191"/>
      <x:c r="F230" s="191"/>
      <x:c r="G230" s="191"/>
      <x:c r="H230" s="191"/>
      <x:c r="I230" s="191"/>
      <x:c r="J230" s="191"/>
      <x:c r="K230" s="191"/>
      <x:c r="L230" s="191"/>
      <x:c r="M230" s="191"/>
      <x:c r="N230" s="191"/>
      <x:c r="O230" s="191"/>
      <x:c r="P230" s="191"/>
      <x:c r="Q230" s="191"/>
      <x:c r="R230" s="191"/>
      <x:c r="S230" s="191"/>
      <x:c r="T230" s="191"/>
      <x:c r="U230" s="191"/>
      <x:c r="V230" s="191"/>
      <x:c r="W230" s="191"/>
      <x:c r="X230" s="191"/>
      <x:c r="Y230" s="191"/>
      <x:c r="Z230" s="191"/>
      <x:c r="AA230" s="191"/>
      <x:c r="AB230" s="191"/>
      <x:c r="AC230" s="191"/>
      <x:c r="AD230" s="191"/>
      <x:c r="AE230" s="191"/>
      <x:c r="AF230" s="191"/>
      <x:c r="AG230" s="191"/>
      <x:c r="AH230" s="191"/>
      <x:c r="AI230" s="191"/>
      <x:c r="AJ230" s="191"/>
      <x:c r="AK230" s="191"/>
    </x:row>
    <x:row r="231">
      <x:c r="A231" s="191"/>
      <x:c r="B231" s="191"/>
      <x:c r="C231" s="191"/>
      <x:c r="D231" s="191"/>
      <x:c r="E231" s="191"/>
      <x:c r="F231" s="191"/>
      <x:c r="G231" s="191"/>
      <x:c r="H231" s="191"/>
      <x:c r="I231" s="191"/>
      <x:c r="J231" s="191"/>
      <x:c r="K231" s="191"/>
      <x:c r="L231" s="191"/>
      <x:c r="M231" s="191"/>
      <x:c r="N231" s="191"/>
      <x:c r="O231" s="191"/>
      <x:c r="P231" s="191"/>
      <x:c r="Q231" s="191"/>
      <x:c r="R231" s="191"/>
      <x:c r="S231" s="191"/>
      <x:c r="T231" s="191"/>
      <x:c r="U231" s="191"/>
      <x:c r="V231" s="191"/>
      <x:c r="W231" s="191"/>
      <x:c r="X231" s="191"/>
      <x:c r="Y231" s="191"/>
      <x:c r="Z231" s="191"/>
      <x:c r="AA231" s="191"/>
      <x:c r="AB231" s="191"/>
      <x:c r="AC231" s="191"/>
      <x:c r="AD231" s="191"/>
      <x:c r="AE231" s="191"/>
      <x:c r="AF231" s="191"/>
      <x:c r="AG231" s="191"/>
      <x:c r="AH231" s="191"/>
      <x:c r="AI231" s="191"/>
      <x:c r="AJ231" s="191"/>
      <x:c r="AK231" s="191"/>
    </x:row>
    <x:row r="232">
      <x:c r="A232" s="191"/>
      <x:c r="B232" s="191"/>
      <x:c r="C232" s="191"/>
      <x:c r="D232" s="191"/>
      <x:c r="E232" s="191"/>
      <x:c r="F232" s="191"/>
      <x:c r="G232" s="191"/>
      <x:c r="H232" s="191"/>
      <x:c r="I232" s="191"/>
      <x:c r="J232" s="191"/>
      <x:c r="K232" s="191"/>
      <x:c r="L232" s="191"/>
      <x:c r="M232" s="191"/>
      <x:c r="N232" s="191"/>
      <x:c r="O232" s="191"/>
      <x:c r="P232" s="191"/>
      <x:c r="Q232" s="191"/>
      <x:c r="R232" s="191"/>
      <x:c r="S232" s="191"/>
      <x:c r="T232" s="191"/>
      <x:c r="U232" s="191"/>
      <x:c r="V232" s="191"/>
      <x:c r="W232" s="191"/>
      <x:c r="X232" s="191"/>
      <x:c r="Y232" s="191"/>
      <x:c r="Z232" s="191"/>
      <x:c r="AA232" s="191"/>
      <x:c r="AB232" s="191"/>
      <x:c r="AC232" s="191"/>
      <x:c r="AD232" s="191"/>
      <x:c r="AE232" s="191"/>
      <x:c r="AF232" s="191"/>
      <x:c r="AG232" s="191"/>
      <x:c r="AH232" s="191"/>
      <x:c r="AI232" s="191"/>
      <x:c r="AJ232" s="191"/>
      <x:c r="AK232" s="191"/>
    </x:row>
    <x:row r="233">
      <x:c r="A233" s="191"/>
      <x:c r="B233" s="191"/>
      <x:c r="C233" s="191"/>
      <x:c r="D233" s="191"/>
      <x:c r="E233" s="191"/>
      <x:c r="F233" s="191"/>
      <x:c r="G233" s="191"/>
      <x:c r="H233" s="191"/>
      <x:c r="I233" s="191"/>
      <x:c r="J233" s="191"/>
      <x:c r="K233" s="191"/>
      <x:c r="L233" s="191"/>
      <x:c r="M233" s="191"/>
      <x:c r="N233" s="191"/>
      <x:c r="O233" s="191"/>
      <x:c r="P233" s="191"/>
      <x:c r="Q233" s="191"/>
      <x:c r="R233" s="191"/>
      <x:c r="S233" s="191"/>
      <x:c r="T233" s="191"/>
      <x:c r="U233" s="191"/>
      <x:c r="V233" s="191"/>
      <x:c r="W233" s="191"/>
      <x:c r="X233" s="191"/>
      <x:c r="Y233" s="191"/>
      <x:c r="Z233" s="191"/>
      <x:c r="AA233" s="191"/>
      <x:c r="AB233" s="191"/>
      <x:c r="AC233" s="191"/>
      <x:c r="AD233" s="191"/>
      <x:c r="AE233" s="191"/>
      <x:c r="AF233" s="191"/>
      <x:c r="AG233" s="191"/>
      <x:c r="AH233" s="191"/>
      <x:c r="AI233" s="191"/>
      <x:c r="AJ233" s="191"/>
      <x:c r="AK233" s="191"/>
    </x:row>
    <x:row r="234">
      <x:c r="A234" s="191"/>
      <x:c r="B234" s="191"/>
      <x:c r="C234" s="191"/>
      <x:c r="D234" s="191"/>
      <x:c r="E234" s="191"/>
      <x:c r="F234" s="191"/>
      <x:c r="G234" s="191"/>
      <x:c r="H234" s="191"/>
      <x:c r="I234" s="191"/>
      <x:c r="J234" s="191"/>
      <x:c r="K234" s="191"/>
      <x:c r="L234" s="191"/>
      <x:c r="M234" s="191"/>
      <x:c r="N234" s="191"/>
      <x:c r="O234" s="191"/>
      <x:c r="P234" s="191"/>
      <x:c r="Q234" s="191"/>
      <x:c r="R234" s="191"/>
      <x:c r="S234" s="191"/>
      <x:c r="T234" s="191"/>
      <x:c r="U234" s="191"/>
      <x:c r="V234" s="191"/>
      <x:c r="W234" s="191"/>
      <x:c r="X234" s="191"/>
      <x:c r="Y234" s="191"/>
      <x:c r="Z234" s="191"/>
      <x:c r="AA234" s="191"/>
      <x:c r="AB234" s="191"/>
      <x:c r="AC234" s="191"/>
      <x:c r="AD234" s="191"/>
      <x:c r="AE234" s="191"/>
      <x:c r="AF234" s="191"/>
      <x:c r="AG234" s="191"/>
      <x:c r="AH234" s="191"/>
      <x:c r="AI234" s="191"/>
      <x:c r="AJ234" s="191"/>
      <x:c r="AK234" s="191"/>
    </x:row>
    <x:row r="235">
      <x:c r="A235" s="191"/>
      <x:c r="B235" s="191"/>
      <x:c r="C235" s="191"/>
      <x:c r="D235" s="191"/>
      <x:c r="E235" s="191"/>
      <x:c r="F235" s="191"/>
      <x:c r="G235" s="191"/>
      <x:c r="H235" s="191"/>
      <x:c r="I235" s="191"/>
      <x:c r="J235" s="191"/>
      <x:c r="K235" s="191"/>
      <x:c r="L235" s="191"/>
      <x:c r="M235" s="191"/>
      <x:c r="N235" s="191"/>
      <x:c r="O235" s="191"/>
      <x:c r="P235" s="191"/>
      <x:c r="Q235" s="191"/>
      <x:c r="R235" s="191"/>
      <x:c r="S235" s="191"/>
      <x:c r="T235" s="191"/>
      <x:c r="U235" s="191"/>
      <x:c r="V235" s="191"/>
      <x:c r="W235" s="191"/>
      <x:c r="X235" s="191"/>
      <x:c r="Y235" s="191"/>
      <x:c r="Z235" s="191"/>
      <x:c r="AA235" s="191"/>
      <x:c r="AB235" s="191"/>
      <x:c r="AC235" s="191"/>
      <x:c r="AD235" s="191"/>
      <x:c r="AE235" s="191"/>
      <x:c r="AF235" s="191"/>
      <x:c r="AG235" s="191"/>
      <x:c r="AH235" s="191"/>
      <x:c r="AI235" s="191"/>
      <x:c r="AJ235" s="191"/>
      <x:c r="AK235" s="191"/>
    </x:row>
    <x:row r="236">
      <x:c r="A236" s="191"/>
      <x:c r="B236" s="191"/>
      <x:c r="C236" s="191"/>
      <x:c r="D236" s="191"/>
      <x:c r="E236" s="191"/>
      <x:c r="F236" s="191"/>
      <x:c r="G236" s="191"/>
      <x:c r="H236" s="191"/>
      <x:c r="I236" s="191"/>
      <x:c r="J236" s="191"/>
      <x:c r="K236" s="191"/>
      <x:c r="L236" s="191"/>
      <x:c r="M236" s="191"/>
      <x:c r="N236" s="191"/>
      <x:c r="O236" s="191"/>
      <x:c r="P236" s="191"/>
      <x:c r="Q236" s="191"/>
      <x:c r="R236" s="191"/>
      <x:c r="S236" s="191"/>
      <x:c r="T236" s="191"/>
      <x:c r="U236" s="191"/>
      <x:c r="V236" s="191"/>
      <x:c r="W236" s="191"/>
      <x:c r="X236" s="191"/>
      <x:c r="Y236" s="191"/>
      <x:c r="Z236" s="191"/>
      <x:c r="AA236" s="191"/>
      <x:c r="AB236" s="191"/>
      <x:c r="AC236" s="191"/>
      <x:c r="AD236" s="191"/>
      <x:c r="AE236" s="191"/>
      <x:c r="AF236" s="191"/>
      <x:c r="AG236" s="191"/>
      <x:c r="AH236" s="191"/>
      <x:c r="AI236" s="191"/>
      <x:c r="AJ236" s="191"/>
      <x:c r="AK236" s="191"/>
    </x:row>
    <x:row r="237">
      <x:c r="A237" s="191"/>
      <x:c r="B237" s="191"/>
      <x:c r="C237" s="191"/>
      <x:c r="D237" s="191"/>
      <x:c r="E237" s="191"/>
      <x:c r="F237" s="191"/>
      <x:c r="G237" s="191"/>
      <x:c r="H237" s="191"/>
      <x:c r="I237" s="191"/>
      <x:c r="J237" s="191"/>
      <x:c r="K237" s="191"/>
      <x:c r="L237" s="191"/>
      <x:c r="M237" s="191"/>
      <x:c r="N237" s="191"/>
      <x:c r="O237" s="191"/>
      <x:c r="P237" s="191"/>
      <x:c r="Q237" s="191"/>
      <x:c r="R237" s="191"/>
      <x:c r="S237" s="191"/>
      <x:c r="T237" s="191"/>
      <x:c r="U237" s="191"/>
      <x:c r="V237" s="191"/>
      <x:c r="W237" s="191"/>
      <x:c r="X237" s="191"/>
      <x:c r="Y237" s="191"/>
      <x:c r="Z237" s="191"/>
      <x:c r="AA237" s="191"/>
      <x:c r="AB237" s="191"/>
      <x:c r="AC237" s="191"/>
      <x:c r="AD237" s="191"/>
      <x:c r="AE237" s="191"/>
      <x:c r="AF237" s="191"/>
      <x:c r="AG237" s="191"/>
      <x:c r="AH237" s="191"/>
      <x:c r="AI237" s="191"/>
      <x:c r="AJ237" s="191"/>
      <x:c r="AK237" s="191"/>
    </x:row>
    <x:row r="238">
      <x:c r="A238" s="191"/>
      <x:c r="B238" s="191"/>
      <x:c r="C238" s="191"/>
      <x:c r="D238" s="191"/>
      <x:c r="E238" s="191"/>
      <x:c r="F238" s="191"/>
      <x:c r="G238" s="191"/>
      <x:c r="H238" s="191"/>
      <x:c r="I238" s="191"/>
      <x:c r="J238" s="191"/>
      <x:c r="K238" s="191"/>
      <x:c r="L238" s="191"/>
      <x:c r="M238" s="191"/>
      <x:c r="N238" s="191"/>
      <x:c r="O238" s="191"/>
      <x:c r="P238" s="191"/>
      <x:c r="Q238" s="191"/>
      <x:c r="R238" s="191"/>
      <x:c r="S238" s="191"/>
      <x:c r="T238" s="191"/>
      <x:c r="U238" s="191"/>
      <x:c r="V238" s="191"/>
      <x:c r="W238" s="191"/>
      <x:c r="X238" s="191"/>
      <x:c r="Y238" s="191"/>
      <x:c r="Z238" s="191"/>
      <x:c r="AA238" s="191"/>
      <x:c r="AB238" s="191"/>
      <x:c r="AC238" s="191"/>
      <x:c r="AD238" s="191"/>
      <x:c r="AE238" s="191"/>
      <x:c r="AF238" s="191"/>
      <x:c r="AG238" s="191"/>
      <x:c r="AH238" s="191"/>
      <x:c r="AI238" s="191"/>
      <x:c r="AJ238" s="191"/>
      <x:c r="AK238" s="191"/>
    </x:row>
    <x:row r="239">
      <x:c r="A239" s="191"/>
      <x:c r="B239" s="191"/>
      <x:c r="C239" s="191"/>
      <x:c r="D239" s="191"/>
      <x:c r="E239" s="191"/>
      <x:c r="F239" s="191"/>
      <x:c r="G239" s="191"/>
      <x:c r="H239" s="191"/>
      <x:c r="I239" s="191"/>
      <x:c r="J239" s="191"/>
      <x:c r="K239" s="191"/>
      <x:c r="L239" s="191"/>
      <x:c r="M239" s="191"/>
      <x:c r="N239" s="191"/>
      <x:c r="O239" s="191"/>
      <x:c r="P239" s="191"/>
      <x:c r="Q239" s="191"/>
      <x:c r="R239" s="191"/>
      <x:c r="S239" s="191"/>
      <x:c r="T239" s="191"/>
      <x:c r="U239" s="191"/>
      <x:c r="V239" s="191"/>
      <x:c r="W239" s="191"/>
      <x:c r="X239" s="191"/>
      <x:c r="Y239" s="191"/>
      <x:c r="Z239" s="191"/>
      <x:c r="AA239" s="191"/>
      <x:c r="AB239" s="191"/>
      <x:c r="AC239" s="191"/>
      <x:c r="AD239" s="191"/>
      <x:c r="AE239" s="191"/>
      <x:c r="AF239" s="191"/>
      <x:c r="AG239" s="191"/>
      <x:c r="AH239" s="191"/>
      <x:c r="AI239" s="191"/>
      <x:c r="AJ239" s="191"/>
      <x:c r="AK239" s="191"/>
    </x:row>
    <x:row r="240">
      <x:c r="A240" s="191"/>
      <x:c r="B240" s="191"/>
      <x:c r="C240" s="191"/>
      <x:c r="D240" s="191"/>
      <x:c r="E240" s="191"/>
      <x:c r="F240" s="191"/>
      <x:c r="G240" s="191"/>
      <x:c r="H240" s="191"/>
      <x:c r="I240" s="191"/>
      <x:c r="J240" s="191"/>
      <x:c r="K240" s="191"/>
      <x:c r="L240" s="191"/>
      <x:c r="M240" s="191"/>
      <x:c r="N240" s="191"/>
      <x:c r="O240" s="191"/>
      <x:c r="P240" s="191"/>
      <x:c r="Q240" s="191"/>
      <x:c r="R240" s="191"/>
      <x:c r="S240" s="191"/>
      <x:c r="T240" s="191"/>
      <x:c r="U240" s="191"/>
      <x:c r="V240" s="191"/>
      <x:c r="W240" s="191"/>
      <x:c r="X240" s="191"/>
      <x:c r="Y240" s="191"/>
      <x:c r="Z240" s="191"/>
      <x:c r="AA240" s="191"/>
      <x:c r="AB240" s="191"/>
      <x:c r="AC240" s="191"/>
      <x:c r="AD240" s="191"/>
      <x:c r="AE240" s="191"/>
      <x:c r="AF240" s="191"/>
      <x:c r="AG240" s="191"/>
      <x:c r="AH240" s="191"/>
      <x:c r="AI240" s="191"/>
      <x:c r="AJ240" s="191"/>
      <x:c r="AK240" s="191"/>
    </x:row>
    <x:row r="241">
      <x:c r="A241" s="191"/>
      <x:c r="B241" s="191"/>
      <x:c r="C241" s="191"/>
      <x:c r="D241" s="191"/>
      <x:c r="E241" s="191"/>
      <x:c r="F241" s="191"/>
      <x:c r="G241" s="191"/>
      <x:c r="H241" s="191"/>
      <x:c r="I241" s="191"/>
      <x:c r="J241" s="191"/>
      <x:c r="K241" s="191"/>
      <x:c r="L241" s="191"/>
      <x:c r="M241" s="191"/>
      <x:c r="N241" s="191"/>
      <x:c r="O241" s="191"/>
      <x:c r="P241" s="191"/>
      <x:c r="Q241" s="191"/>
      <x:c r="R241" s="191"/>
      <x:c r="S241" s="191"/>
      <x:c r="T241" s="191"/>
      <x:c r="U241" s="191"/>
      <x:c r="V241" s="191"/>
      <x:c r="W241" s="191"/>
      <x:c r="X241" s="191"/>
      <x:c r="Y241" s="191"/>
      <x:c r="Z241" s="191"/>
      <x:c r="AA241" s="191"/>
      <x:c r="AB241" s="191"/>
      <x:c r="AC241" s="191"/>
      <x:c r="AD241" s="191"/>
      <x:c r="AE241" s="191"/>
      <x:c r="AF241" s="191"/>
      <x:c r="AG241" s="191"/>
      <x:c r="AH241" s="191"/>
      <x:c r="AI241" s="191"/>
      <x:c r="AJ241" s="191"/>
      <x:c r="AK241" s="191"/>
    </x:row>
    <x:row r="242">
      <x:c r="A242" s="191"/>
      <x:c r="B242" s="191"/>
      <x:c r="C242" s="191"/>
      <x:c r="D242" s="191"/>
      <x:c r="E242" s="191"/>
      <x:c r="F242" s="191"/>
      <x:c r="G242" s="191"/>
      <x:c r="H242" s="191"/>
      <x:c r="I242" s="191"/>
      <x:c r="J242" s="191"/>
      <x:c r="K242" s="191"/>
      <x:c r="L242" s="191"/>
      <x:c r="M242" s="191"/>
      <x:c r="N242" s="191"/>
      <x:c r="O242" s="191"/>
      <x:c r="P242" s="191"/>
      <x:c r="Q242" s="191"/>
      <x:c r="R242" s="191"/>
      <x:c r="S242" s="191"/>
      <x:c r="T242" s="191"/>
      <x:c r="U242" s="191"/>
      <x:c r="V242" s="191"/>
      <x:c r="W242" s="191"/>
      <x:c r="X242" s="191"/>
      <x:c r="Y242" s="191"/>
      <x:c r="Z242" s="191"/>
      <x:c r="AA242" s="191"/>
      <x:c r="AB242" s="191"/>
      <x:c r="AC242" s="191"/>
      <x:c r="AD242" s="191"/>
      <x:c r="AE242" s="191"/>
      <x:c r="AF242" s="191"/>
      <x:c r="AG242" s="191"/>
      <x:c r="AH242" s="191"/>
      <x:c r="AI242" s="191"/>
      <x:c r="AJ242" s="191"/>
      <x:c r="AK242" s="191"/>
    </x:row>
    <x:row r="243">
      <x:c r="A243" s="191"/>
      <x:c r="B243" s="191"/>
      <x:c r="C243" s="191"/>
      <x:c r="D243" s="191"/>
      <x:c r="E243" s="191"/>
      <x:c r="F243" s="191"/>
      <x:c r="G243" s="191"/>
      <x:c r="H243" s="191"/>
      <x:c r="I243" s="191"/>
      <x:c r="J243" s="191"/>
      <x:c r="K243" s="191"/>
      <x:c r="L243" s="191"/>
      <x:c r="M243" s="191"/>
      <x:c r="N243" s="191"/>
      <x:c r="O243" s="191"/>
      <x:c r="P243" s="191"/>
      <x:c r="Q243" s="191"/>
      <x:c r="R243" s="191"/>
      <x:c r="S243" s="191"/>
      <x:c r="T243" s="191"/>
      <x:c r="U243" s="191"/>
      <x:c r="V243" s="191"/>
      <x:c r="W243" s="191"/>
      <x:c r="X243" s="191"/>
      <x:c r="Y243" s="191"/>
      <x:c r="Z243" s="191"/>
      <x:c r="AA243" s="191"/>
      <x:c r="AB243" s="191"/>
      <x:c r="AC243" s="191"/>
      <x:c r="AD243" s="191"/>
      <x:c r="AE243" s="191"/>
      <x:c r="AF243" s="191"/>
      <x:c r="AG243" s="191"/>
      <x:c r="AH243" s="191"/>
      <x:c r="AI243" s="191"/>
      <x:c r="AJ243" s="191"/>
      <x:c r="AK243" s="191"/>
    </x:row>
    <x:row r="244">
      <x:c r="A244" s="191"/>
      <x:c r="B244" s="191"/>
      <x:c r="C244" s="191"/>
      <x:c r="D244" s="191"/>
      <x:c r="E244" s="191"/>
      <x:c r="F244" s="191"/>
      <x:c r="G244" s="191"/>
      <x:c r="H244" s="191"/>
      <x:c r="I244" s="191"/>
      <x:c r="J244" s="191"/>
      <x:c r="K244" s="191"/>
      <x:c r="L244" s="191"/>
      <x:c r="M244" s="191"/>
      <x:c r="N244" s="191"/>
      <x:c r="O244" s="191"/>
      <x:c r="P244" s="191"/>
      <x:c r="Q244" s="191"/>
      <x:c r="R244" s="191"/>
      <x:c r="S244" s="191"/>
      <x:c r="T244" s="191"/>
      <x:c r="U244" s="191"/>
      <x:c r="V244" s="191"/>
      <x:c r="W244" s="191"/>
      <x:c r="X244" s="191"/>
      <x:c r="Y244" s="191"/>
      <x:c r="Z244" s="191"/>
      <x:c r="AA244" s="191"/>
      <x:c r="AB244" s="191"/>
      <x:c r="AC244" s="191"/>
      <x:c r="AD244" s="191"/>
      <x:c r="AE244" s="191"/>
      <x:c r="AF244" s="191"/>
      <x:c r="AG244" s="191"/>
      <x:c r="AH244" s="191"/>
      <x:c r="AI244" s="191"/>
      <x:c r="AJ244" s="191"/>
      <x:c r="AK244" s="191"/>
    </x:row>
    <x:row r="245">
      <x:c r="A245" s="191"/>
      <x:c r="B245" s="191"/>
      <x:c r="C245" s="191"/>
      <x:c r="D245" s="191"/>
      <x:c r="E245" s="191"/>
      <x:c r="F245" s="191"/>
      <x:c r="G245" s="191"/>
      <x:c r="H245" s="191"/>
      <x:c r="I245" s="191"/>
      <x:c r="J245" s="191"/>
      <x:c r="K245" s="191"/>
      <x:c r="L245" s="191"/>
      <x:c r="M245" s="191"/>
      <x:c r="N245" s="191"/>
      <x:c r="O245" s="191"/>
      <x:c r="P245" s="191"/>
      <x:c r="Q245" s="191"/>
      <x:c r="R245" s="191"/>
      <x:c r="S245" s="191"/>
      <x:c r="T245" s="191"/>
      <x:c r="U245" s="191"/>
      <x:c r="V245" s="191"/>
      <x:c r="W245" s="191"/>
      <x:c r="X245" s="191"/>
      <x:c r="Y245" s="191"/>
      <x:c r="Z245" s="191"/>
      <x:c r="AA245" s="191"/>
      <x:c r="AB245" s="191"/>
      <x:c r="AC245" s="191"/>
      <x:c r="AD245" s="191"/>
      <x:c r="AE245" s="191"/>
      <x:c r="AF245" s="191"/>
      <x:c r="AG245" s="191"/>
      <x:c r="AH245" s="191"/>
      <x:c r="AI245" s="191"/>
      <x:c r="AJ245" s="191"/>
      <x:c r="AK245" s="191"/>
    </x:row>
    <x:row r="246">
      <x:c r="A246" s="191"/>
      <x:c r="B246" s="191"/>
      <x:c r="C246" s="191"/>
      <x:c r="D246" s="191"/>
      <x:c r="E246" s="191"/>
      <x:c r="F246" s="191"/>
      <x:c r="G246" s="191"/>
      <x:c r="H246" s="191"/>
      <x:c r="I246" s="191"/>
      <x:c r="J246" s="191"/>
      <x:c r="K246" s="191"/>
      <x:c r="L246" s="191"/>
      <x:c r="M246" s="191"/>
      <x:c r="N246" s="191"/>
      <x:c r="O246" s="191"/>
      <x:c r="P246" s="191"/>
      <x:c r="Q246" s="191"/>
      <x:c r="R246" s="191"/>
      <x:c r="S246" s="191"/>
      <x:c r="T246" s="191"/>
      <x:c r="U246" s="191"/>
      <x:c r="V246" s="191"/>
      <x:c r="W246" s="191"/>
      <x:c r="X246" s="191"/>
      <x:c r="Y246" s="191"/>
      <x:c r="Z246" s="191"/>
      <x:c r="AA246" s="191"/>
      <x:c r="AB246" s="191"/>
      <x:c r="AC246" s="191"/>
      <x:c r="AD246" s="191"/>
      <x:c r="AE246" s="191"/>
      <x:c r="AF246" s="191"/>
      <x:c r="AG246" s="191"/>
      <x:c r="AH246" s="191"/>
      <x:c r="AI246" s="191"/>
      <x:c r="AJ246" s="191"/>
      <x:c r="AK246" s="191"/>
    </x:row>
    <x:row r="247">
      <x:c r="A247" s="191"/>
      <x:c r="B247" s="191"/>
      <x:c r="C247" s="191"/>
      <x:c r="D247" s="191"/>
      <x:c r="E247" s="191"/>
      <x:c r="F247" s="191"/>
      <x:c r="G247" s="191"/>
      <x:c r="H247" s="191"/>
      <x:c r="I247" s="191"/>
      <x:c r="J247" s="191"/>
      <x:c r="K247" s="191"/>
      <x:c r="L247" s="191"/>
      <x:c r="M247" s="191"/>
      <x:c r="N247" s="191"/>
      <x:c r="O247" s="191"/>
      <x:c r="P247" s="191"/>
      <x:c r="Q247" s="191"/>
      <x:c r="R247" s="191"/>
      <x:c r="S247" s="191"/>
      <x:c r="T247" s="191"/>
      <x:c r="U247" s="191"/>
      <x:c r="V247" s="191"/>
      <x:c r="W247" s="191"/>
      <x:c r="X247" s="191"/>
      <x:c r="Y247" s="191"/>
      <x:c r="Z247" s="191"/>
      <x:c r="AA247" s="191"/>
      <x:c r="AB247" s="191"/>
      <x:c r="AC247" s="191"/>
      <x:c r="AD247" s="191"/>
      <x:c r="AE247" s="191"/>
      <x:c r="AF247" s="191"/>
      <x:c r="AG247" s="191"/>
      <x:c r="AH247" s="191"/>
      <x:c r="AI247" s="191"/>
      <x:c r="AJ247" s="191"/>
      <x:c r="AK247" s="191"/>
    </x:row>
    <x:row r="248">
      <x:c r="A248" s="191"/>
      <x:c r="B248" s="191"/>
      <x:c r="C248" s="191"/>
      <x:c r="D248" s="191"/>
      <x:c r="E248" s="191"/>
      <x:c r="F248" s="191"/>
      <x:c r="G248" s="191"/>
      <x:c r="H248" s="191"/>
      <x:c r="I248" s="191"/>
      <x:c r="J248" s="191"/>
      <x:c r="K248" s="191"/>
      <x:c r="L248" s="191"/>
      <x:c r="M248" s="191"/>
      <x:c r="N248" s="191"/>
      <x:c r="O248" s="191"/>
      <x:c r="P248" s="191"/>
      <x:c r="Q248" s="191"/>
      <x:c r="R248" s="191"/>
      <x:c r="S248" s="191"/>
      <x:c r="T248" s="191"/>
      <x:c r="U248" s="191"/>
      <x:c r="V248" s="191"/>
      <x:c r="W248" s="191"/>
      <x:c r="X248" s="191"/>
      <x:c r="Y248" s="191"/>
      <x:c r="Z248" s="191"/>
      <x:c r="AA248" s="191"/>
      <x:c r="AB248" s="191"/>
      <x:c r="AC248" s="191"/>
      <x:c r="AD248" s="191"/>
      <x:c r="AE248" s="191"/>
      <x:c r="AF248" s="191"/>
      <x:c r="AG248" s="191"/>
      <x:c r="AH248" s="191"/>
      <x:c r="AI248" s="191"/>
      <x:c r="AJ248" s="191"/>
      <x:c r="AK248" s="191"/>
    </x:row>
    <x:row r="249">
      <x:c r="A249" s="191"/>
      <x:c r="B249" s="191"/>
      <x:c r="C249" s="191"/>
      <x:c r="D249" s="191"/>
      <x:c r="E249" s="191"/>
      <x:c r="F249" s="191"/>
      <x:c r="G249" s="191"/>
      <x:c r="H249" s="191"/>
      <x:c r="I249" s="191"/>
      <x:c r="J249" s="191"/>
      <x:c r="K249" s="191"/>
      <x:c r="L249" s="191"/>
      <x:c r="M249" s="191"/>
      <x:c r="N249" s="191"/>
      <x:c r="O249" s="191"/>
      <x:c r="P249" s="191"/>
      <x:c r="Q249" s="191"/>
      <x:c r="R249" s="191"/>
      <x:c r="S249" s="191"/>
      <x:c r="T249" s="191"/>
      <x:c r="U249" s="191"/>
      <x:c r="V249" s="191"/>
      <x:c r="W249" s="191"/>
      <x:c r="X249" s="191"/>
      <x:c r="Y249" s="191"/>
      <x:c r="Z249" s="191"/>
      <x:c r="AA249" s="191"/>
      <x:c r="AB249" s="191"/>
      <x:c r="AC249" s="191"/>
      <x:c r="AD249" s="191"/>
      <x:c r="AE249" s="191"/>
      <x:c r="AF249" s="191"/>
      <x:c r="AG249" s="191"/>
      <x:c r="AH249" s="191"/>
      <x:c r="AI249" s="191"/>
      <x:c r="AJ249" s="191"/>
      <x:c r="AK249" s="191"/>
    </x:row>
    <x:row r="250">
      <x:c r="A250" s="191"/>
      <x:c r="B250" s="191"/>
      <x:c r="C250" s="191"/>
      <x:c r="D250" s="191"/>
      <x:c r="E250" s="191"/>
      <x:c r="F250" s="191"/>
      <x:c r="G250" s="191"/>
      <x:c r="H250" s="191"/>
      <x:c r="I250" s="191"/>
      <x:c r="J250" s="191"/>
      <x:c r="K250" s="191"/>
      <x:c r="L250" s="191"/>
      <x:c r="M250" s="191"/>
      <x:c r="N250" s="191"/>
      <x:c r="O250" s="191"/>
      <x:c r="P250" s="191"/>
      <x:c r="Q250" s="191"/>
      <x:c r="R250" s="191"/>
      <x:c r="S250" s="191"/>
      <x:c r="T250" s="191"/>
      <x:c r="U250" s="191"/>
      <x:c r="V250" s="191"/>
      <x:c r="W250" s="191"/>
      <x:c r="X250" s="191"/>
      <x:c r="Y250" s="191"/>
      <x:c r="Z250" s="191"/>
      <x:c r="AA250" s="191"/>
      <x:c r="AB250" s="191"/>
      <x:c r="AC250" s="191"/>
      <x:c r="AD250" s="191"/>
      <x:c r="AE250" s="191"/>
      <x:c r="AF250" s="191"/>
      <x:c r="AG250" s="191"/>
      <x:c r="AH250" s="191"/>
      <x:c r="AI250" s="191"/>
      <x:c r="AJ250" s="191"/>
      <x:c r="AK250" s="191"/>
    </x:row>
    <x:row r="251">
      <x:c r="A251" s="191"/>
      <x:c r="B251" s="191"/>
      <x:c r="C251" s="191"/>
      <x:c r="D251" s="191"/>
      <x:c r="E251" s="191"/>
      <x:c r="F251" s="191"/>
      <x:c r="G251" s="191"/>
      <x:c r="H251" s="191"/>
      <x:c r="I251" s="191"/>
      <x:c r="J251" s="191"/>
      <x:c r="K251" s="191"/>
      <x:c r="L251" s="191"/>
      <x:c r="M251" s="191"/>
      <x:c r="N251" s="191"/>
      <x:c r="O251" s="191"/>
      <x:c r="P251" s="191"/>
      <x:c r="Q251" s="191"/>
      <x:c r="R251" s="191"/>
      <x:c r="S251" s="191"/>
      <x:c r="T251" s="191"/>
      <x:c r="U251" s="191"/>
      <x:c r="V251" s="191"/>
      <x:c r="W251" s="191"/>
      <x:c r="X251" s="191"/>
      <x:c r="Y251" s="191"/>
      <x:c r="Z251" s="191"/>
      <x:c r="AA251" s="191"/>
      <x:c r="AB251" s="191"/>
      <x:c r="AC251" s="191"/>
      <x:c r="AD251" s="191"/>
      <x:c r="AE251" s="191"/>
      <x:c r="AF251" s="191"/>
      <x:c r="AG251" s="191"/>
      <x:c r="AH251" s="191"/>
      <x:c r="AI251" s="191"/>
      <x:c r="AJ251" s="191"/>
      <x:c r="AK251" s="191"/>
    </x:row>
    <x:row r="252">
      <x:c r="A252" s="191"/>
      <x:c r="B252" s="191"/>
      <x:c r="C252" s="191"/>
      <x:c r="D252" s="191"/>
      <x:c r="E252" s="191"/>
      <x:c r="F252" s="191"/>
      <x:c r="G252" s="191"/>
      <x:c r="H252" s="191"/>
      <x:c r="I252" s="191"/>
      <x:c r="J252" s="191"/>
      <x:c r="K252" s="191"/>
      <x:c r="L252" s="191"/>
      <x:c r="M252" s="191"/>
      <x:c r="N252" s="191"/>
      <x:c r="O252" s="191"/>
      <x:c r="P252" s="191"/>
      <x:c r="Q252" s="191"/>
      <x:c r="R252" s="191"/>
      <x:c r="S252" s="191"/>
      <x:c r="T252" s="191"/>
      <x:c r="U252" s="191"/>
      <x:c r="V252" s="191"/>
      <x:c r="W252" s="191"/>
      <x:c r="X252" s="191"/>
      <x:c r="Y252" s="191"/>
      <x:c r="Z252" s="191"/>
      <x:c r="AA252" s="191"/>
      <x:c r="AB252" s="191"/>
      <x:c r="AC252" s="191"/>
      <x:c r="AD252" s="191"/>
      <x:c r="AE252" s="191"/>
      <x:c r="AF252" s="191"/>
      <x:c r="AG252" s="191"/>
      <x:c r="AH252" s="191"/>
      <x:c r="AI252" s="191"/>
      <x:c r="AJ252" s="191"/>
      <x:c r="AK252" s="191"/>
    </x:row>
    <x:row r="253">
      <x:c r="A253" s="191"/>
      <x:c r="B253" s="191"/>
      <x:c r="C253" s="191"/>
      <x:c r="D253" s="191"/>
      <x:c r="E253" s="191"/>
      <x:c r="F253" s="191"/>
      <x:c r="G253" s="191"/>
      <x:c r="H253" s="191"/>
      <x:c r="I253" s="191"/>
      <x:c r="J253" s="191"/>
      <x:c r="K253" s="191"/>
      <x:c r="L253" s="191"/>
      <x:c r="M253" s="191"/>
      <x:c r="N253" s="191"/>
      <x:c r="O253" s="191"/>
      <x:c r="P253" s="191"/>
      <x:c r="Q253" s="191"/>
      <x:c r="R253" s="191"/>
      <x:c r="S253" s="191"/>
      <x:c r="T253" s="191"/>
      <x:c r="U253" s="191"/>
      <x:c r="V253" s="191"/>
      <x:c r="W253" s="191"/>
      <x:c r="X253" s="191"/>
      <x:c r="Y253" s="191"/>
      <x:c r="Z253" s="191"/>
      <x:c r="AA253" s="191"/>
      <x:c r="AB253" s="191"/>
      <x:c r="AC253" s="191"/>
      <x:c r="AD253" s="191"/>
      <x:c r="AE253" s="191"/>
      <x:c r="AF253" s="191"/>
      <x:c r="AG253" s="191"/>
      <x:c r="AH253" s="191"/>
      <x:c r="AI253" s="191"/>
      <x:c r="AJ253" s="191"/>
      <x:c r="AK253" s="191"/>
    </x:row>
    <x:row r="254">
      <x:c r="A254" s="191"/>
      <x:c r="B254" s="191"/>
      <x:c r="C254" s="191"/>
      <x:c r="D254" s="191"/>
      <x:c r="E254" s="191"/>
      <x:c r="F254" s="191"/>
      <x:c r="G254" s="191"/>
      <x:c r="H254" s="191"/>
      <x:c r="I254" s="191"/>
      <x:c r="J254" s="191"/>
      <x:c r="K254" s="191"/>
      <x:c r="L254" s="191"/>
      <x:c r="M254" s="191"/>
      <x:c r="N254" s="191"/>
      <x:c r="O254" s="191"/>
      <x:c r="P254" s="191"/>
      <x:c r="Q254" s="191"/>
      <x:c r="R254" s="191"/>
      <x:c r="S254" s="191"/>
      <x:c r="T254" s="191"/>
      <x:c r="U254" s="191"/>
      <x:c r="V254" s="191"/>
      <x:c r="W254" s="191"/>
      <x:c r="X254" s="191"/>
      <x:c r="Y254" s="191"/>
      <x:c r="Z254" s="191"/>
      <x:c r="AA254" s="191"/>
      <x:c r="AB254" s="191"/>
      <x:c r="AC254" s="191"/>
      <x:c r="AD254" s="191"/>
      <x:c r="AE254" s="191"/>
      <x:c r="AF254" s="191"/>
      <x:c r="AG254" s="191"/>
      <x:c r="AH254" s="191"/>
      <x:c r="AI254" s="191"/>
      <x:c r="AJ254" s="191"/>
      <x:c r="AK254" s="191"/>
    </x:row>
    <x:row r="255">
      <x:c r="A255" s="191"/>
      <x:c r="B255" s="191"/>
      <x:c r="C255" s="191"/>
      <x:c r="D255" s="191"/>
      <x:c r="E255" s="191"/>
      <x:c r="F255" s="191"/>
      <x:c r="G255" s="191"/>
      <x:c r="H255" s="191"/>
      <x:c r="I255" s="191"/>
      <x:c r="J255" s="191"/>
      <x:c r="K255" s="191"/>
      <x:c r="L255" s="191"/>
      <x:c r="M255" s="191"/>
      <x:c r="N255" s="191"/>
      <x:c r="O255" s="191"/>
      <x:c r="P255" s="191"/>
      <x:c r="Q255" s="191"/>
      <x:c r="R255" s="191"/>
      <x:c r="S255" s="191"/>
      <x:c r="T255" s="191"/>
      <x:c r="U255" s="191"/>
      <x:c r="V255" s="191"/>
      <x:c r="W255" s="191"/>
      <x:c r="X255" s="191"/>
      <x:c r="Y255" s="191"/>
      <x:c r="Z255" s="191"/>
      <x:c r="AA255" s="191"/>
      <x:c r="AB255" s="191"/>
      <x:c r="AC255" s="191"/>
      <x:c r="AD255" s="191"/>
      <x:c r="AE255" s="191"/>
      <x:c r="AF255" s="191"/>
      <x:c r="AG255" s="191"/>
      <x:c r="AH255" s="191"/>
      <x:c r="AI255" s="191"/>
      <x:c r="AJ255" s="191"/>
      <x:c r="AK255" s="191"/>
    </x:row>
    <x:row r="256">
      <x:c r="A256" s="191"/>
      <x:c r="B256" s="191"/>
      <x:c r="C256" s="191"/>
      <x:c r="D256" s="191"/>
      <x:c r="E256" s="191"/>
      <x:c r="F256" s="191"/>
      <x:c r="G256" s="191"/>
      <x:c r="H256" s="191"/>
      <x:c r="I256" s="191"/>
      <x:c r="J256" s="191"/>
      <x:c r="K256" s="191"/>
      <x:c r="L256" s="191"/>
      <x:c r="M256" s="191"/>
      <x:c r="N256" s="191"/>
      <x:c r="O256" s="191"/>
      <x:c r="P256" s="191"/>
      <x:c r="Q256" s="191"/>
      <x:c r="R256" s="191"/>
      <x:c r="S256" s="191"/>
      <x:c r="T256" s="191"/>
      <x:c r="U256" s="191"/>
      <x:c r="V256" s="191"/>
      <x:c r="W256" s="191"/>
      <x:c r="X256" s="191"/>
      <x:c r="Y256" s="191"/>
      <x:c r="Z256" s="191"/>
      <x:c r="AA256" s="191"/>
      <x:c r="AB256" s="191"/>
      <x:c r="AC256" s="191"/>
      <x:c r="AD256" s="191"/>
      <x:c r="AE256" s="191"/>
      <x:c r="AF256" s="191"/>
      <x:c r="AG256" s="191"/>
      <x:c r="AH256" s="191"/>
      <x:c r="AI256" s="191"/>
      <x:c r="AJ256" s="191"/>
      <x:c r="AK256" s="191"/>
    </x:row>
    <x:row r="257">
      <x:c r="A257" s="191"/>
      <x:c r="B257" s="191"/>
      <x:c r="C257" s="191"/>
      <x:c r="D257" s="191"/>
      <x:c r="E257" s="191"/>
      <x:c r="F257" s="191"/>
      <x:c r="G257" s="191"/>
      <x:c r="H257" s="191"/>
      <x:c r="I257" s="191"/>
      <x:c r="J257" s="191"/>
      <x:c r="K257" s="191"/>
      <x:c r="L257" s="191"/>
      <x:c r="M257" s="191"/>
      <x:c r="N257" s="191"/>
      <x:c r="O257" s="191"/>
      <x:c r="P257" s="191"/>
      <x:c r="Q257" s="191"/>
      <x:c r="R257" s="191"/>
      <x:c r="S257" s="191"/>
      <x:c r="T257" s="191"/>
      <x:c r="U257" s="191"/>
      <x:c r="V257" s="191"/>
      <x:c r="W257" s="191"/>
      <x:c r="X257" s="191"/>
      <x:c r="Y257" s="191"/>
      <x:c r="Z257" s="191"/>
      <x:c r="AA257" s="191"/>
      <x:c r="AB257" s="191"/>
      <x:c r="AC257" s="191"/>
      <x:c r="AD257" s="191"/>
      <x:c r="AE257" s="191"/>
      <x:c r="AF257" s="191"/>
      <x:c r="AG257" s="191"/>
      <x:c r="AH257" s="191"/>
      <x:c r="AI257" s="191"/>
      <x:c r="AJ257" s="191"/>
      <x:c r="AK257" s="191"/>
    </x:row>
    <x:row r="258">
      <x:c r="A258" s="191"/>
      <x:c r="B258" s="191"/>
      <x:c r="C258" s="191"/>
      <x:c r="D258" s="191"/>
      <x:c r="E258" s="191"/>
      <x:c r="F258" s="191"/>
      <x:c r="G258" s="191"/>
      <x:c r="H258" s="191"/>
      <x:c r="I258" s="191"/>
      <x:c r="J258" s="191"/>
      <x:c r="K258" s="191"/>
      <x:c r="L258" s="191"/>
      <x:c r="M258" s="191"/>
      <x:c r="N258" s="191"/>
      <x:c r="O258" s="191"/>
      <x:c r="P258" s="191"/>
      <x:c r="Q258" s="191"/>
      <x:c r="R258" s="191"/>
      <x:c r="S258" s="191"/>
      <x:c r="T258" s="191"/>
      <x:c r="U258" s="191"/>
      <x:c r="V258" s="191"/>
      <x:c r="W258" s="191"/>
      <x:c r="X258" s="191"/>
      <x:c r="Y258" s="191"/>
      <x:c r="Z258" s="191"/>
      <x:c r="AA258" s="191"/>
      <x:c r="AB258" s="191"/>
      <x:c r="AC258" s="191"/>
      <x:c r="AD258" s="191"/>
      <x:c r="AE258" s="191"/>
      <x:c r="AF258" s="191"/>
      <x:c r="AG258" s="191"/>
      <x:c r="AH258" s="191"/>
      <x:c r="AI258" s="191"/>
      <x:c r="AJ258" s="191"/>
      <x:c r="AK258" s="191"/>
    </x:row>
    <x:row r="259">
      <x:c r="A259" s="191"/>
      <x:c r="B259" s="191"/>
      <x:c r="C259" s="191"/>
      <x:c r="D259" s="191"/>
      <x:c r="E259" s="191"/>
      <x:c r="F259" s="191"/>
      <x:c r="G259" s="191"/>
      <x:c r="H259" s="191"/>
      <x:c r="I259" s="191"/>
      <x:c r="J259" s="191"/>
      <x:c r="K259" s="191"/>
      <x:c r="L259" s="191"/>
      <x:c r="M259" s="191"/>
      <x:c r="N259" s="191"/>
      <x:c r="O259" s="191"/>
      <x:c r="P259" s="191"/>
      <x:c r="Q259" s="191"/>
      <x:c r="R259" s="191"/>
      <x:c r="S259" s="191"/>
      <x:c r="T259" s="191"/>
      <x:c r="U259" s="191"/>
      <x:c r="V259" s="191"/>
      <x:c r="W259" s="191"/>
      <x:c r="X259" s="191"/>
      <x:c r="Y259" s="191"/>
      <x:c r="Z259" s="191"/>
      <x:c r="AA259" s="191"/>
      <x:c r="AB259" s="191"/>
      <x:c r="AC259" s="191"/>
      <x:c r="AD259" s="191"/>
      <x:c r="AE259" s="191"/>
      <x:c r="AF259" s="191"/>
      <x:c r="AG259" s="191"/>
      <x:c r="AH259" s="191"/>
      <x:c r="AI259" s="191"/>
      <x:c r="AJ259" s="191"/>
      <x:c r="AK259" s="191"/>
    </x:row>
    <x:row r="260">
      <x:c r="A260" s="191"/>
      <x:c r="B260" s="191"/>
      <x:c r="C260" s="191"/>
      <x:c r="D260" s="191"/>
      <x:c r="E260" s="191"/>
      <x:c r="F260" s="191"/>
      <x:c r="G260" s="191"/>
      <x:c r="H260" s="191"/>
      <x:c r="I260" s="191"/>
      <x:c r="J260" s="191"/>
      <x:c r="K260" s="191"/>
      <x:c r="L260" s="191"/>
      <x:c r="M260" s="191"/>
      <x:c r="N260" s="191"/>
      <x:c r="O260" s="191"/>
      <x:c r="P260" s="191"/>
      <x:c r="Q260" s="191"/>
      <x:c r="R260" s="191"/>
      <x:c r="S260" s="191"/>
      <x:c r="T260" s="191"/>
      <x:c r="U260" s="191"/>
      <x:c r="V260" s="191"/>
      <x:c r="W260" s="191"/>
      <x:c r="X260" s="191"/>
      <x:c r="Y260" s="191"/>
      <x:c r="Z260" s="191"/>
      <x:c r="AA260" s="191"/>
      <x:c r="AB260" s="191"/>
      <x:c r="AC260" s="191"/>
      <x:c r="AD260" s="191"/>
      <x:c r="AE260" s="191"/>
      <x:c r="AF260" s="191"/>
      <x:c r="AG260" s="191"/>
      <x:c r="AH260" s="191"/>
      <x:c r="AI260" s="191"/>
      <x:c r="AJ260" s="191"/>
      <x:c r="AK260" s="191"/>
    </x:row>
    <x:row r="261">
      <x:c r="A261" s="191"/>
      <x:c r="B261" s="191"/>
      <x:c r="C261" s="191"/>
      <x:c r="D261" s="191"/>
      <x:c r="E261" s="191"/>
      <x:c r="F261" s="191"/>
      <x:c r="G261" s="191"/>
      <x:c r="H261" s="191"/>
      <x:c r="I261" s="191"/>
      <x:c r="J261" s="191"/>
      <x:c r="K261" s="191"/>
      <x:c r="L261" s="191"/>
      <x:c r="M261" s="191"/>
      <x:c r="N261" s="191"/>
      <x:c r="O261" s="191"/>
      <x:c r="P261" s="191"/>
      <x:c r="Q261" s="191"/>
      <x:c r="R261" s="191"/>
      <x:c r="S261" s="191"/>
      <x:c r="T261" s="191"/>
      <x:c r="U261" s="191"/>
      <x:c r="V261" s="191"/>
      <x:c r="W261" s="191"/>
      <x:c r="X261" s="191"/>
      <x:c r="Y261" s="191"/>
      <x:c r="Z261" s="191"/>
      <x:c r="AA261" s="191"/>
      <x:c r="AB261" s="191"/>
      <x:c r="AC261" s="191"/>
      <x:c r="AD261" s="191"/>
      <x:c r="AE261" s="191"/>
      <x:c r="AF261" s="191"/>
      <x:c r="AG261" s="191"/>
      <x:c r="AH261" s="191"/>
      <x:c r="AI261" s="191"/>
      <x:c r="AJ261" s="191"/>
      <x:c r="AK261" s="191"/>
    </x:row>
    <x:row r="262">
      <x:c r="A262" s="191"/>
      <x:c r="B262" s="191"/>
      <x:c r="C262" s="191"/>
      <x:c r="D262" s="191"/>
      <x:c r="E262" s="191"/>
      <x:c r="F262" s="191"/>
      <x:c r="G262" s="191"/>
      <x:c r="H262" s="191"/>
      <x:c r="I262" s="191"/>
      <x:c r="J262" s="191"/>
      <x:c r="K262" s="191"/>
      <x:c r="L262" s="191"/>
      <x:c r="M262" s="191"/>
      <x:c r="N262" s="191"/>
      <x:c r="O262" s="191"/>
      <x:c r="P262" s="191"/>
      <x:c r="Q262" s="191"/>
      <x:c r="R262" s="191"/>
      <x:c r="S262" s="191"/>
      <x:c r="T262" s="191"/>
      <x:c r="U262" s="191"/>
      <x:c r="V262" s="191"/>
      <x:c r="W262" s="191"/>
      <x:c r="X262" s="191"/>
      <x:c r="Y262" s="191"/>
      <x:c r="Z262" s="191"/>
      <x:c r="AA262" s="191"/>
      <x:c r="AB262" s="191"/>
      <x:c r="AC262" s="191"/>
      <x:c r="AD262" s="191"/>
      <x:c r="AE262" s="191"/>
      <x:c r="AF262" s="191"/>
      <x:c r="AG262" s="191"/>
      <x:c r="AH262" s="191"/>
      <x:c r="AI262" s="191"/>
      <x:c r="AJ262" s="191"/>
      <x:c r="AK262" s="191"/>
    </x:row>
    <x:row r="263">
      <x:c r="A263" s="191"/>
      <x:c r="B263" s="191"/>
      <x:c r="C263" s="191"/>
      <x:c r="D263" s="191"/>
      <x:c r="E263" s="191"/>
      <x:c r="F263" s="191"/>
      <x:c r="G263" s="191"/>
      <x:c r="H263" s="191"/>
      <x:c r="I263" s="191"/>
      <x:c r="J263" s="191"/>
      <x:c r="K263" s="191"/>
      <x:c r="L263" s="191"/>
      <x:c r="M263" s="191"/>
      <x:c r="N263" s="191"/>
      <x:c r="O263" s="191"/>
      <x:c r="P263" s="191"/>
      <x:c r="Q263" s="191"/>
      <x:c r="R263" s="191"/>
      <x:c r="S263" s="191"/>
      <x:c r="T263" s="191"/>
      <x:c r="U263" s="191"/>
      <x:c r="V263" s="191"/>
      <x:c r="W263" s="191"/>
      <x:c r="X263" s="191"/>
      <x:c r="Y263" s="191"/>
      <x:c r="Z263" s="191"/>
      <x:c r="AA263" s="191"/>
      <x:c r="AB263" s="191"/>
      <x:c r="AC263" s="191"/>
      <x:c r="AD263" s="191"/>
      <x:c r="AE263" s="191"/>
      <x:c r="AF263" s="191"/>
      <x:c r="AG263" s="191"/>
      <x:c r="AH263" s="191"/>
      <x:c r="AI263" s="191"/>
      <x:c r="AJ263" s="191"/>
      <x:c r="AK263" s="191"/>
    </x:row>
    <x:row r="264">
      <x:c r="A264" s="191"/>
      <x:c r="B264" s="191"/>
      <x:c r="C264" s="191"/>
      <x:c r="D264" s="191"/>
      <x:c r="E264" s="191"/>
      <x:c r="F264" s="191"/>
      <x:c r="G264" s="191"/>
      <x:c r="H264" s="191"/>
      <x:c r="I264" s="191"/>
      <x:c r="J264" s="191"/>
      <x:c r="K264" s="191"/>
      <x:c r="L264" s="191"/>
      <x:c r="M264" s="191"/>
      <x:c r="N264" s="191"/>
      <x:c r="O264" s="191"/>
      <x:c r="P264" s="191"/>
      <x:c r="Q264" s="191"/>
      <x:c r="R264" s="191"/>
      <x:c r="S264" s="191"/>
      <x:c r="T264" s="191"/>
      <x:c r="U264" s="191"/>
      <x:c r="V264" s="191"/>
      <x:c r="W264" s="191"/>
      <x:c r="X264" s="191"/>
      <x:c r="Y264" s="191"/>
      <x:c r="Z264" s="191"/>
      <x:c r="AA264" s="191"/>
      <x:c r="AB264" s="191"/>
      <x:c r="AC264" s="191"/>
      <x:c r="AD264" s="191"/>
      <x:c r="AE264" s="191"/>
      <x:c r="AF264" s="191"/>
      <x:c r="AG264" s="191"/>
      <x:c r="AH264" s="191"/>
      <x:c r="AI264" s="191"/>
      <x:c r="AJ264" s="191"/>
      <x:c r="AK264" s="191"/>
    </x:row>
    <x:row r="265">
      <x:c r="A265" s="191"/>
      <x:c r="B265" s="191"/>
      <x:c r="C265" s="191"/>
      <x:c r="D265" s="191"/>
      <x:c r="E265" s="191"/>
      <x:c r="F265" s="191"/>
      <x:c r="G265" s="191"/>
      <x:c r="H265" s="191"/>
      <x:c r="I265" s="191"/>
      <x:c r="J265" s="191"/>
      <x:c r="K265" s="191"/>
      <x:c r="L265" s="191"/>
      <x:c r="M265" s="191"/>
      <x:c r="N265" s="191"/>
      <x:c r="O265" s="191"/>
      <x:c r="P265" s="191"/>
      <x:c r="Q265" s="191"/>
      <x:c r="R265" s="191"/>
      <x:c r="S265" s="191"/>
      <x:c r="T265" s="191"/>
      <x:c r="U265" s="191"/>
      <x:c r="V265" s="191"/>
      <x:c r="W265" s="191"/>
      <x:c r="X265" s="191"/>
      <x:c r="Y265" s="191"/>
      <x:c r="Z265" s="191"/>
      <x:c r="AA265" s="191"/>
      <x:c r="AB265" s="191"/>
      <x:c r="AC265" s="191"/>
      <x:c r="AD265" s="191"/>
      <x:c r="AE265" s="191"/>
      <x:c r="AF265" s="191"/>
      <x:c r="AG265" s="191"/>
      <x:c r="AH265" s="191"/>
      <x:c r="AI265" s="191"/>
      <x:c r="AJ265" s="191"/>
      <x:c r="AK265" s="191"/>
    </x:row>
    <x:row r="266">
      <x:c r="A266" s="191"/>
      <x:c r="B266" s="191"/>
      <x:c r="C266" s="191"/>
      <x:c r="D266" s="191"/>
      <x:c r="E266" s="191"/>
      <x:c r="F266" s="191"/>
      <x:c r="G266" s="191"/>
      <x:c r="H266" s="191"/>
      <x:c r="I266" s="191"/>
      <x:c r="J266" s="191"/>
      <x:c r="K266" s="191"/>
      <x:c r="L266" s="191"/>
      <x:c r="M266" s="191"/>
      <x:c r="N266" s="191"/>
      <x:c r="O266" s="191"/>
      <x:c r="P266" s="191"/>
      <x:c r="Q266" s="191"/>
      <x:c r="R266" s="191"/>
      <x:c r="S266" s="191"/>
      <x:c r="T266" s="191"/>
      <x:c r="U266" s="191"/>
      <x:c r="V266" s="191"/>
      <x:c r="W266" s="191"/>
      <x:c r="X266" s="191"/>
      <x:c r="Y266" s="191"/>
      <x:c r="Z266" s="191"/>
      <x:c r="AA266" s="191"/>
      <x:c r="AB266" s="191"/>
      <x:c r="AC266" s="191"/>
      <x:c r="AD266" s="191"/>
      <x:c r="AE266" s="191"/>
      <x:c r="AF266" s="191"/>
      <x:c r="AG266" s="191"/>
      <x:c r="AH266" s="191"/>
      <x:c r="AI266" s="191"/>
      <x:c r="AJ266" s="191"/>
      <x:c r="AK266" s="191"/>
    </x:row>
    <x:row r="267">
      <x:c r="A267" s="191"/>
      <x:c r="B267" s="191"/>
      <x:c r="C267" s="191"/>
      <x:c r="D267" s="191"/>
      <x:c r="E267" s="191"/>
      <x:c r="F267" s="191"/>
      <x:c r="G267" s="191"/>
      <x:c r="H267" s="191"/>
      <x:c r="I267" s="191"/>
      <x:c r="J267" s="191"/>
      <x:c r="K267" s="191"/>
      <x:c r="L267" s="191"/>
      <x:c r="M267" s="191"/>
      <x:c r="N267" s="191"/>
      <x:c r="O267" s="191"/>
      <x:c r="P267" s="191"/>
      <x:c r="Q267" s="191"/>
      <x:c r="R267" s="191"/>
      <x:c r="S267" s="191"/>
      <x:c r="T267" s="191"/>
      <x:c r="U267" s="191"/>
      <x:c r="V267" s="191"/>
      <x:c r="W267" s="191"/>
      <x:c r="X267" s="191"/>
      <x:c r="Y267" s="191"/>
      <x:c r="Z267" s="191"/>
      <x:c r="AA267" s="191"/>
      <x:c r="AB267" s="191"/>
      <x:c r="AC267" s="191"/>
      <x:c r="AD267" s="191"/>
      <x:c r="AE267" s="191"/>
      <x:c r="AF267" s="191"/>
      <x:c r="AG267" s="191"/>
      <x:c r="AH267" s="191"/>
      <x:c r="AI267" s="191"/>
      <x:c r="AJ267" s="191"/>
      <x:c r="AK267" s="191"/>
    </x:row>
    <x:row r="268">
      <x:c r="A268" s="191"/>
      <x:c r="B268" s="191"/>
      <x:c r="C268" s="191"/>
      <x:c r="D268" s="191"/>
      <x:c r="E268" s="191"/>
      <x:c r="F268" s="191"/>
      <x:c r="G268" s="191"/>
      <x:c r="H268" s="191"/>
      <x:c r="I268" s="191"/>
      <x:c r="J268" s="191"/>
      <x:c r="K268" s="191"/>
      <x:c r="L268" s="191"/>
      <x:c r="M268" s="191"/>
      <x:c r="N268" s="191"/>
      <x:c r="O268" s="191"/>
      <x:c r="P268" s="191"/>
      <x:c r="Q268" s="191"/>
      <x:c r="R268" s="191"/>
      <x:c r="S268" s="191"/>
      <x:c r="T268" s="191"/>
      <x:c r="U268" s="191"/>
      <x:c r="V268" s="191"/>
      <x:c r="W268" s="191"/>
      <x:c r="X268" s="191"/>
      <x:c r="Y268" s="191"/>
      <x:c r="Z268" s="191"/>
      <x:c r="AA268" s="191"/>
      <x:c r="AB268" s="191"/>
      <x:c r="AC268" s="191"/>
      <x:c r="AD268" s="191"/>
      <x:c r="AE268" s="191"/>
      <x:c r="AF268" s="191"/>
      <x:c r="AG268" s="191"/>
      <x:c r="AH268" s="191"/>
      <x:c r="AI268" s="191"/>
      <x:c r="AJ268" s="191"/>
      <x:c r="AK268" s="191"/>
    </x:row>
    <x:row r="269">
      <x:c r="A269" s="191"/>
      <x:c r="B269" s="191"/>
      <x:c r="C269" s="191"/>
      <x:c r="D269" s="191"/>
      <x:c r="E269" s="191"/>
      <x:c r="F269" s="191"/>
      <x:c r="G269" s="191"/>
      <x:c r="H269" s="191"/>
      <x:c r="I269" s="191"/>
      <x:c r="J269" s="191"/>
      <x:c r="K269" s="191"/>
      <x:c r="L269" s="191"/>
      <x:c r="M269" s="191"/>
      <x:c r="N269" s="191"/>
      <x:c r="O269" s="191"/>
      <x:c r="P269" s="191"/>
      <x:c r="Q269" s="191"/>
      <x:c r="R269" s="191"/>
      <x:c r="S269" s="191"/>
      <x:c r="T269" s="191"/>
      <x:c r="U269" s="191"/>
      <x:c r="V269" s="191"/>
      <x:c r="W269" s="191"/>
      <x:c r="X269" s="191"/>
      <x:c r="Y269" s="191"/>
      <x:c r="Z269" s="191"/>
      <x:c r="AA269" s="191"/>
      <x:c r="AB269" s="191"/>
      <x:c r="AC269" s="191"/>
      <x:c r="AD269" s="191"/>
      <x:c r="AE269" s="191"/>
      <x:c r="AF269" s="191"/>
      <x:c r="AG269" s="191"/>
      <x:c r="AH269" s="191"/>
      <x:c r="AI269" s="191"/>
      <x:c r="AJ269" s="191"/>
      <x:c r="AK269" s="191"/>
    </x:row>
    <x:row r="270">
      <x:c r="A270" s="191"/>
      <x:c r="B270" s="191"/>
      <x:c r="C270" s="191"/>
      <x:c r="D270" s="191"/>
      <x:c r="E270" s="191"/>
      <x:c r="F270" s="191"/>
      <x:c r="G270" s="191"/>
      <x:c r="H270" s="191"/>
      <x:c r="I270" s="191"/>
      <x:c r="J270" s="191"/>
      <x:c r="K270" s="191"/>
      <x:c r="L270" s="191"/>
      <x:c r="M270" s="191"/>
      <x:c r="N270" s="191"/>
      <x:c r="O270" s="191"/>
      <x:c r="P270" s="191"/>
      <x:c r="Q270" s="191"/>
      <x:c r="R270" s="191"/>
      <x:c r="S270" s="191"/>
      <x:c r="T270" s="191"/>
      <x:c r="U270" s="191"/>
      <x:c r="V270" s="191"/>
      <x:c r="W270" s="191"/>
      <x:c r="X270" s="191"/>
      <x:c r="Y270" s="191"/>
      <x:c r="Z270" s="191"/>
      <x:c r="AA270" s="191"/>
      <x:c r="AB270" s="191"/>
      <x:c r="AC270" s="191"/>
      <x:c r="AD270" s="191"/>
      <x:c r="AE270" s="191"/>
      <x:c r="AF270" s="191"/>
      <x:c r="AG270" s="191"/>
      <x:c r="AH270" s="191"/>
      <x:c r="AI270" s="191"/>
      <x:c r="AJ270" s="191"/>
      <x:c r="AK270" s="191"/>
    </x:row>
    <x:row r="271">
      <x:c r="A271" s="191"/>
      <x:c r="B271" s="191"/>
      <x:c r="C271" s="191"/>
      <x:c r="D271" s="191"/>
      <x:c r="E271" s="191"/>
      <x:c r="F271" s="191"/>
      <x:c r="G271" s="191"/>
      <x:c r="H271" s="191"/>
      <x:c r="I271" s="191"/>
      <x:c r="J271" s="191"/>
      <x:c r="K271" s="191"/>
      <x:c r="L271" s="191"/>
      <x:c r="M271" s="191"/>
      <x:c r="N271" s="191"/>
      <x:c r="O271" s="191"/>
      <x:c r="P271" s="191"/>
      <x:c r="Q271" s="191"/>
      <x:c r="R271" s="191"/>
      <x:c r="S271" s="191"/>
      <x:c r="T271" s="191"/>
      <x:c r="U271" s="191"/>
      <x:c r="V271" s="191"/>
      <x:c r="W271" s="191"/>
      <x:c r="X271" s="191"/>
      <x:c r="Y271" s="191"/>
      <x:c r="Z271" s="191"/>
      <x:c r="AA271" s="191"/>
      <x:c r="AB271" s="191"/>
      <x:c r="AC271" s="191"/>
      <x:c r="AD271" s="191"/>
      <x:c r="AE271" s="191"/>
      <x:c r="AF271" s="191"/>
      <x:c r="AG271" s="191"/>
      <x:c r="AH271" s="191"/>
      <x:c r="AI271" s="191"/>
      <x:c r="AJ271" s="191"/>
      <x:c r="AK271" s="191"/>
    </x:row>
    <x:row r="272">
      <x:c r="A272" s="191"/>
      <x:c r="B272" s="191"/>
      <x:c r="C272" s="191"/>
      <x:c r="D272" s="191"/>
      <x:c r="E272" s="191"/>
      <x:c r="F272" s="191"/>
      <x:c r="G272" s="191"/>
      <x:c r="H272" s="191"/>
      <x:c r="I272" s="191"/>
      <x:c r="J272" s="191"/>
      <x:c r="K272" s="191"/>
      <x:c r="L272" s="191"/>
      <x:c r="M272" s="191"/>
      <x:c r="N272" s="191"/>
      <x:c r="O272" s="191"/>
      <x:c r="P272" s="191"/>
      <x:c r="Q272" s="191"/>
      <x:c r="R272" s="191"/>
      <x:c r="S272" s="191"/>
      <x:c r="T272" s="191"/>
      <x:c r="U272" s="191"/>
      <x:c r="V272" s="191"/>
      <x:c r="W272" s="191"/>
      <x:c r="X272" s="191"/>
      <x:c r="Y272" s="191"/>
      <x:c r="Z272" s="191"/>
      <x:c r="AA272" s="191"/>
      <x:c r="AB272" s="191"/>
      <x:c r="AC272" s="191"/>
      <x:c r="AD272" s="191"/>
      <x:c r="AE272" s="191"/>
      <x:c r="AF272" s="191"/>
      <x:c r="AG272" s="191"/>
      <x:c r="AH272" s="191"/>
      <x:c r="AI272" s="191"/>
      <x:c r="AJ272" s="191"/>
      <x:c r="AK272" s="191"/>
    </x:row>
    <x:row r="273">
      <x:c r="A273" s="191"/>
      <x:c r="B273" s="191"/>
      <x:c r="C273" s="191"/>
      <x:c r="D273" s="191"/>
      <x:c r="E273" s="191"/>
      <x:c r="F273" s="191"/>
      <x:c r="G273" s="191"/>
      <x:c r="H273" s="191"/>
      <x:c r="I273" s="191"/>
      <x:c r="J273" s="191"/>
      <x:c r="K273" s="191"/>
      <x:c r="L273" s="191"/>
      <x:c r="M273" s="191"/>
      <x:c r="N273" s="191"/>
      <x:c r="O273" s="191"/>
      <x:c r="P273" s="191"/>
      <x:c r="Q273" s="191"/>
      <x:c r="R273" s="191"/>
      <x:c r="S273" s="191"/>
      <x:c r="T273" s="191"/>
      <x:c r="U273" s="191"/>
      <x:c r="V273" s="191"/>
      <x:c r="W273" s="191"/>
      <x:c r="X273" s="191"/>
      <x:c r="Y273" s="191"/>
      <x:c r="Z273" s="191"/>
      <x:c r="AA273" s="191"/>
      <x:c r="AB273" s="191"/>
      <x:c r="AC273" s="191"/>
      <x:c r="AD273" s="191"/>
      <x:c r="AE273" s="191"/>
      <x:c r="AF273" s="191"/>
      <x:c r="AG273" s="191"/>
      <x:c r="AH273" s="191"/>
      <x:c r="AI273" s="191"/>
      <x:c r="AJ273" s="191"/>
      <x:c r="AK273" s="191"/>
    </x:row>
    <x:row r="274">
      <x:c r="A274" s="191"/>
      <x:c r="B274" s="191"/>
      <x:c r="C274" s="191"/>
      <x:c r="D274" s="191"/>
      <x:c r="E274" s="191"/>
      <x:c r="F274" s="191"/>
      <x:c r="G274" s="191"/>
      <x:c r="H274" s="191"/>
      <x:c r="I274" s="191"/>
      <x:c r="J274" s="191"/>
      <x:c r="K274" s="191"/>
      <x:c r="L274" s="191"/>
      <x:c r="M274" s="191"/>
      <x:c r="N274" s="191"/>
      <x:c r="O274" s="191"/>
      <x:c r="P274" s="191"/>
      <x:c r="Q274" s="191"/>
      <x:c r="R274" s="191"/>
      <x:c r="S274" s="191"/>
      <x:c r="T274" s="191"/>
      <x:c r="U274" s="191"/>
      <x:c r="V274" s="191"/>
      <x:c r="W274" s="191"/>
      <x:c r="X274" s="191"/>
      <x:c r="Y274" s="191"/>
      <x:c r="Z274" s="191"/>
      <x:c r="AA274" s="191"/>
      <x:c r="AB274" s="191"/>
      <x:c r="AC274" s="191"/>
      <x:c r="AD274" s="191"/>
      <x:c r="AE274" s="191"/>
      <x:c r="AF274" s="191"/>
      <x:c r="AG274" s="191"/>
      <x:c r="AH274" s="191"/>
      <x:c r="AI274" s="191"/>
      <x:c r="AJ274" s="191"/>
      <x:c r="AK274" s="191"/>
    </x:row>
    <x:row r="275">
      <x:c r="A275" s="191"/>
      <x:c r="B275" s="191"/>
      <x:c r="C275" s="191"/>
      <x:c r="D275" s="191"/>
      <x:c r="E275" s="191"/>
      <x:c r="F275" s="191"/>
      <x:c r="G275" s="191"/>
      <x:c r="H275" s="191"/>
      <x:c r="I275" s="191"/>
      <x:c r="J275" s="191"/>
      <x:c r="K275" s="191"/>
      <x:c r="L275" s="191"/>
      <x:c r="M275" s="191"/>
      <x:c r="N275" s="191"/>
      <x:c r="O275" s="191"/>
      <x:c r="P275" s="191"/>
      <x:c r="Q275" s="191"/>
      <x:c r="R275" s="191"/>
      <x:c r="S275" s="191"/>
      <x:c r="T275" s="191"/>
      <x:c r="U275" s="191"/>
      <x:c r="V275" s="191"/>
      <x:c r="W275" s="191"/>
      <x:c r="X275" s="191"/>
      <x:c r="Y275" s="191"/>
      <x:c r="Z275" s="191"/>
      <x:c r="AA275" s="191"/>
      <x:c r="AB275" s="191"/>
      <x:c r="AC275" s="191"/>
      <x:c r="AD275" s="191"/>
      <x:c r="AE275" s="191"/>
      <x:c r="AF275" s="191"/>
      <x:c r="AG275" s="191"/>
      <x:c r="AH275" s="191"/>
      <x:c r="AI275" s="191"/>
      <x:c r="AJ275" s="191"/>
      <x:c r="AK275" s="191"/>
    </x:row>
    <x:row r="276">
      <x:c r="A276" s="191"/>
      <x:c r="B276" s="191"/>
      <x:c r="C276" s="191"/>
      <x:c r="D276" s="191"/>
      <x:c r="E276" s="191"/>
      <x:c r="F276" s="191"/>
      <x:c r="G276" s="191"/>
      <x:c r="H276" s="191"/>
      <x:c r="I276" s="191"/>
      <x:c r="J276" s="191"/>
      <x:c r="K276" s="191"/>
      <x:c r="L276" s="191"/>
      <x:c r="M276" s="191"/>
      <x:c r="N276" s="191"/>
      <x:c r="O276" s="191"/>
      <x:c r="P276" s="191"/>
      <x:c r="Q276" s="191"/>
      <x:c r="R276" s="191"/>
      <x:c r="S276" s="191"/>
      <x:c r="T276" s="191"/>
      <x:c r="U276" s="191"/>
      <x:c r="V276" s="191"/>
      <x:c r="W276" s="191"/>
      <x:c r="X276" s="191"/>
      <x:c r="Y276" s="191"/>
      <x:c r="Z276" s="191"/>
      <x:c r="AA276" s="191"/>
      <x:c r="AB276" s="191"/>
      <x:c r="AC276" s="191"/>
      <x:c r="AD276" s="191"/>
      <x:c r="AE276" s="191"/>
      <x:c r="AF276" s="191"/>
      <x:c r="AG276" s="191"/>
      <x:c r="AH276" s="191"/>
      <x:c r="AI276" s="191"/>
      <x:c r="AJ276" s="191"/>
      <x:c r="AK276" s="191"/>
    </x:row>
    <x:row r="277">
      <x:c r="A277" s="191"/>
      <x:c r="B277" s="191"/>
      <x:c r="C277" s="191"/>
      <x:c r="D277" s="191"/>
      <x:c r="E277" s="191"/>
      <x:c r="F277" s="191"/>
      <x:c r="G277" s="191"/>
      <x:c r="H277" s="191"/>
      <x:c r="I277" s="191"/>
      <x:c r="J277" s="191"/>
      <x:c r="K277" s="191"/>
      <x:c r="L277" s="191"/>
      <x:c r="M277" s="191"/>
      <x:c r="N277" s="191"/>
      <x:c r="O277" s="191"/>
      <x:c r="P277" s="191"/>
      <x:c r="Q277" s="191"/>
      <x:c r="R277" s="191"/>
      <x:c r="S277" s="191"/>
      <x:c r="T277" s="191"/>
      <x:c r="U277" s="191"/>
      <x:c r="V277" s="191"/>
      <x:c r="W277" s="191"/>
      <x:c r="X277" s="191"/>
      <x:c r="Y277" s="191"/>
      <x:c r="Z277" s="191"/>
      <x:c r="AA277" s="191"/>
      <x:c r="AB277" s="191"/>
      <x:c r="AC277" s="191"/>
      <x:c r="AD277" s="191"/>
      <x:c r="AE277" s="191"/>
      <x:c r="AF277" s="191"/>
      <x:c r="AG277" s="191"/>
      <x:c r="AH277" s="191"/>
      <x:c r="AI277" s="191"/>
      <x:c r="AJ277" s="191"/>
      <x:c r="AK277" s="191"/>
    </x:row>
    <x:row r="278">
      <x:c r="A278" s="191"/>
      <x:c r="B278" s="191"/>
      <x:c r="C278" s="191"/>
      <x:c r="D278" s="191"/>
      <x:c r="E278" s="191"/>
      <x:c r="F278" s="191"/>
      <x:c r="G278" s="191"/>
      <x:c r="H278" s="191"/>
      <x:c r="I278" s="191"/>
      <x:c r="J278" s="191"/>
      <x:c r="K278" s="191"/>
      <x:c r="L278" s="191"/>
      <x:c r="M278" s="191"/>
      <x:c r="N278" s="191"/>
      <x:c r="O278" s="191"/>
      <x:c r="P278" s="191"/>
      <x:c r="Q278" s="191"/>
      <x:c r="R278" s="191"/>
      <x:c r="S278" s="191"/>
      <x:c r="T278" s="191"/>
      <x:c r="U278" s="191"/>
      <x:c r="V278" s="191"/>
      <x:c r="W278" s="191"/>
      <x:c r="X278" s="191"/>
      <x:c r="Y278" s="191"/>
      <x:c r="Z278" s="191"/>
      <x:c r="AA278" s="191"/>
      <x:c r="AB278" s="191"/>
      <x:c r="AC278" s="191"/>
      <x:c r="AD278" s="191"/>
      <x:c r="AE278" s="191"/>
      <x:c r="AF278" s="191"/>
      <x:c r="AG278" s="191"/>
      <x:c r="AH278" s="191"/>
      <x:c r="AI278" s="191"/>
      <x:c r="AJ278" s="191"/>
      <x:c r="AK278" s="191"/>
    </x:row>
    <x:row r="279">
      <x:c r="A279" s="191"/>
      <x:c r="B279" s="191"/>
      <x:c r="C279" s="191"/>
      <x:c r="D279" s="191"/>
      <x:c r="E279" s="191"/>
      <x:c r="F279" s="191"/>
      <x:c r="G279" s="191"/>
      <x:c r="H279" s="191"/>
      <x:c r="I279" s="191"/>
      <x:c r="J279" s="191"/>
      <x:c r="K279" s="191"/>
      <x:c r="L279" s="191"/>
      <x:c r="M279" s="191"/>
      <x:c r="N279" s="191"/>
      <x:c r="O279" s="191"/>
      <x:c r="P279" s="191"/>
      <x:c r="Q279" s="191"/>
      <x:c r="R279" s="191"/>
      <x:c r="S279" s="191"/>
      <x:c r="T279" s="191"/>
      <x:c r="U279" s="191"/>
      <x:c r="V279" s="191"/>
      <x:c r="W279" s="191"/>
      <x:c r="X279" s="191"/>
      <x:c r="Y279" s="191"/>
      <x:c r="Z279" s="191"/>
      <x:c r="AA279" s="191"/>
      <x:c r="AB279" s="191"/>
      <x:c r="AC279" s="191"/>
      <x:c r="AD279" s="191"/>
      <x:c r="AE279" s="191"/>
      <x:c r="AF279" s="191"/>
      <x:c r="AG279" s="191"/>
      <x:c r="AH279" s="191"/>
      <x:c r="AI279" s="191"/>
      <x:c r="AJ279" s="191"/>
      <x:c r="AK279" s="191"/>
    </x:row>
    <x:row r="280">
      <x:c r="A280" s="191"/>
      <x:c r="B280" s="191"/>
      <x:c r="C280" s="191"/>
      <x:c r="D280" s="191"/>
      <x:c r="E280" s="191"/>
      <x:c r="F280" s="191"/>
      <x:c r="G280" s="191"/>
      <x:c r="H280" s="191"/>
      <x:c r="I280" s="191"/>
      <x:c r="J280" s="191"/>
      <x:c r="K280" s="191"/>
      <x:c r="L280" s="191"/>
      <x:c r="M280" s="191"/>
      <x:c r="N280" s="191"/>
      <x:c r="O280" s="191"/>
      <x:c r="P280" s="191"/>
      <x:c r="Q280" s="191"/>
      <x:c r="R280" s="191"/>
      <x:c r="S280" s="191"/>
      <x:c r="T280" s="191"/>
      <x:c r="U280" s="191"/>
      <x:c r="V280" s="191"/>
      <x:c r="W280" s="191"/>
      <x:c r="X280" s="191"/>
      <x:c r="Y280" s="191"/>
      <x:c r="Z280" s="191"/>
      <x:c r="AA280" s="191"/>
      <x:c r="AB280" s="191"/>
      <x:c r="AC280" s="191"/>
      <x:c r="AD280" s="191"/>
      <x:c r="AE280" s="191"/>
      <x:c r="AF280" s="191"/>
      <x:c r="AG280" s="191"/>
      <x:c r="AH280" s="191"/>
      <x:c r="AI280" s="191"/>
      <x:c r="AJ280" s="191"/>
      <x:c r="AK280" s="191"/>
    </x:row>
    <x:row r="281">
      <x:c r="A281" s="191"/>
      <x:c r="B281" s="191"/>
      <x:c r="C281" s="191"/>
      <x:c r="D281" s="191"/>
      <x:c r="E281" s="191"/>
      <x:c r="F281" s="191"/>
      <x:c r="G281" s="191"/>
      <x:c r="H281" s="191"/>
      <x:c r="I281" s="191"/>
      <x:c r="J281" s="191"/>
      <x:c r="K281" s="191"/>
      <x:c r="L281" s="191"/>
      <x:c r="M281" s="191"/>
      <x:c r="N281" s="191"/>
      <x:c r="O281" s="191"/>
      <x:c r="P281" s="191"/>
      <x:c r="Q281" s="191"/>
      <x:c r="R281" s="191"/>
      <x:c r="S281" s="191"/>
      <x:c r="T281" s="191"/>
      <x:c r="U281" s="191"/>
      <x:c r="V281" s="191"/>
      <x:c r="W281" s="191"/>
      <x:c r="X281" s="191"/>
      <x:c r="Y281" s="191"/>
      <x:c r="Z281" s="191"/>
      <x:c r="AA281" s="191"/>
      <x:c r="AB281" s="191"/>
      <x:c r="AC281" s="191"/>
      <x:c r="AD281" s="191"/>
      <x:c r="AE281" s="191"/>
      <x:c r="AF281" s="191"/>
      <x:c r="AG281" s="191"/>
      <x:c r="AH281" s="191"/>
      <x:c r="AI281" s="191"/>
      <x:c r="AJ281" s="191"/>
      <x:c r="AK281" s="191"/>
    </x:row>
    <x:row r="282">
      <x:c r="A282" s="191"/>
      <x:c r="B282" s="191"/>
      <x:c r="C282" s="191"/>
      <x:c r="D282" s="191"/>
      <x:c r="E282" s="191"/>
      <x:c r="F282" s="191"/>
      <x:c r="G282" s="191"/>
      <x:c r="H282" s="191"/>
      <x:c r="I282" s="191"/>
      <x:c r="J282" s="191"/>
      <x:c r="K282" s="191"/>
      <x:c r="L282" s="191"/>
      <x:c r="M282" s="191"/>
      <x:c r="N282" s="191"/>
      <x:c r="O282" s="191"/>
      <x:c r="P282" s="191"/>
      <x:c r="Q282" s="191"/>
      <x:c r="R282" s="191"/>
      <x:c r="S282" s="191"/>
      <x:c r="T282" s="191"/>
      <x:c r="U282" s="191"/>
      <x:c r="V282" s="191"/>
      <x:c r="W282" s="191"/>
      <x:c r="X282" s="191"/>
      <x:c r="Y282" s="191"/>
      <x:c r="Z282" s="191"/>
      <x:c r="AA282" s="191"/>
      <x:c r="AB282" s="191"/>
      <x:c r="AC282" s="191"/>
      <x:c r="AD282" s="191"/>
      <x:c r="AE282" s="191"/>
      <x:c r="AF282" s="191"/>
      <x:c r="AG282" s="191"/>
      <x:c r="AH282" s="191"/>
      <x:c r="AI282" s="191"/>
      <x:c r="AJ282" s="191"/>
      <x:c r="AK282" s="191"/>
    </x:row>
    <x:row r="283">
      <x:c r="A283" s="191"/>
      <x:c r="B283" s="191"/>
      <x:c r="C283" s="191"/>
      <x:c r="D283" s="191"/>
      <x:c r="E283" s="191"/>
      <x:c r="F283" s="191"/>
      <x:c r="G283" s="191"/>
      <x:c r="H283" s="191"/>
      <x:c r="I283" s="191"/>
      <x:c r="J283" s="191"/>
      <x:c r="K283" s="191"/>
      <x:c r="L283" s="191"/>
      <x:c r="M283" s="191"/>
      <x:c r="N283" s="191"/>
      <x:c r="O283" s="191"/>
      <x:c r="P283" s="191"/>
      <x:c r="Q283" s="191"/>
      <x:c r="R283" s="191"/>
      <x:c r="S283" s="191"/>
      <x:c r="T283" s="191"/>
      <x:c r="U283" s="191"/>
      <x:c r="V283" s="191"/>
      <x:c r="W283" s="191"/>
      <x:c r="X283" s="191"/>
      <x:c r="Y283" s="191"/>
      <x:c r="Z283" s="191"/>
      <x:c r="AA283" s="191"/>
      <x:c r="AB283" s="191"/>
      <x:c r="AC283" s="191"/>
      <x:c r="AD283" s="191"/>
      <x:c r="AE283" s="191"/>
      <x:c r="AF283" s="191"/>
      <x:c r="AG283" s="191"/>
      <x:c r="AH283" s="191"/>
      <x:c r="AI283" s="191"/>
      <x:c r="AJ283" s="191"/>
      <x:c r="AK283" s="191"/>
    </x:row>
    <x:row r="284">
      <x:c r="A284" s="191"/>
      <x:c r="B284" s="191"/>
      <x:c r="C284" s="191"/>
      <x:c r="D284" s="191"/>
      <x:c r="E284" s="191"/>
      <x:c r="F284" s="191"/>
      <x:c r="G284" s="191"/>
      <x:c r="H284" s="191"/>
      <x:c r="I284" s="191"/>
      <x:c r="J284" s="191"/>
      <x:c r="K284" s="191"/>
      <x:c r="L284" s="191"/>
      <x:c r="M284" s="191"/>
      <x:c r="N284" s="191"/>
      <x:c r="O284" s="191"/>
      <x:c r="P284" s="191"/>
      <x:c r="Q284" s="191"/>
      <x:c r="R284" s="191"/>
      <x:c r="S284" s="191"/>
      <x:c r="T284" s="191"/>
      <x:c r="U284" s="191"/>
      <x:c r="V284" s="191"/>
      <x:c r="W284" s="191"/>
      <x:c r="X284" s="191"/>
      <x:c r="Y284" s="191"/>
      <x:c r="Z284" s="191"/>
      <x:c r="AA284" s="191"/>
      <x:c r="AB284" s="191"/>
      <x:c r="AC284" s="191"/>
      <x:c r="AD284" s="191"/>
      <x:c r="AE284" s="191"/>
      <x:c r="AF284" s="191"/>
      <x:c r="AG284" s="191"/>
      <x:c r="AH284" s="191"/>
      <x:c r="AI284" s="191"/>
      <x:c r="AJ284" s="191"/>
      <x:c r="AK284" s="191"/>
    </x:row>
    <x:row r="285">
      <x:c r="A285" s="191"/>
      <x:c r="B285" s="191"/>
      <x:c r="C285" s="191"/>
      <x:c r="D285" s="191"/>
      <x:c r="E285" s="191"/>
      <x:c r="F285" s="191"/>
      <x:c r="G285" s="191"/>
      <x:c r="H285" s="191"/>
      <x:c r="I285" s="191"/>
      <x:c r="J285" s="191"/>
      <x:c r="K285" s="191"/>
      <x:c r="L285" s="191"/>
      <x:c r="M285" s="191"/>
      <x:c r="N285" s="191"/>
      <x:c r="O285" s="191"/>
      <x:c r="P285" s="191"/>
      <x:c r="Q285" s="191"/>
      <x:c r="R285" s="191"/>
      <x:c r="S285" s="191"/>
      <x:c r="T285" s="191"/>
      <x:c r="U285" s="191"/>
      <x:c r="V285" s="191"/>
      <x:c r="W285" s="191"/>
      <x:c r="X285" s="191"/>
      <x:c r="Y285" s="191"/>
      <x:c r="Z285" s="191"/>
      <x:c r="AA285" s="191"/>
      <x:c r="AB285" s="191"/>
      <x:c r="AC285" s="191"/>
      <x:c r="AD285" s="191"/>
      <x:c r="AE285" s="191"/>
      <x:c r="AF285" s="191"/>
      <x:c r="AG285" s="191"/>
      <x:c r="AH285" s="191"/>
      <x:c r="AI285" s="191"/>
      <x:c r="AJ285" s="191"/>
      <x:c r="AK285" s="191"/>
    </x:row>
    <x:row r="286">
      <x:c r="A286" s="191"/>
      <x:c r="B286" s="191"/>
      <x:c r="C286" s="191"/>
      <x:c r="D286" s="191"/>
      <x:c r="E286" s="191"/>
      <x:c r="F286" s="191"/>
      <x:c r="G286" s="191"/>
      <x:c r="H286" s="191"/>
      <x:c r="I286" s="191"/>
      <x:c r="J286" s="191"/>
      <x:c r="K286" s="191"/>
      <x:c r="L286" s="191"/>
      <x:c r="M286" s="191"/>
      <x:c r="N286" s="191"/>
      <x:c r="O286" s="191"/>
      <x:c r="P286" s="191"/>
      <x:c r="Q286" s="191"/>
      <x:c r="R286" s="191"/>
      <x:c r="S286" s="191"/>
      <x:c r="T286" s="191"/>
      <x:c r="U286" s="191"/>
      <x:c r="V286" s="191"/>
      <x:c r="W286" s="191"/>
      <x:c r="X286" s="191"/>
      <x:c r="Y286" s="191"/>
      <x:c r="Z286" s="191"/>
      <x:c r="AA286" s="191"/>
      <x:c r="AB286" s="191"/>
      <x:c r="AC286" s="191"/>
      <x:c r="AD286" s="191"/>
      <x:c r="AE286" s="191"/>
      <x:c r="AF286" s="191"/>
      <x:c r="AG286" s="191"/>
      <x:c r="AH286" s="191"/>
      <x:c r="AI286" s="191"/>
      <x:c r="AJ286" s="191"/>
      <x:c r="AK286" s="191"/>
    </x:row>
    <x:row r="287">
      <x:c r="A287" s="191"/>
      <x:c r="B287" s="191"/>
      <x:c r="C287" s="191"/>
      <x:c r="D287" s="191"/>
      <x:c r="E287" s="191"/>
      <x:c r="F287" s="191"/>
      <x:c r="G287" s="191"/>
      <x:c r="H287" s="191"/>
      <x:c r="I287" s="191"/>
      <x:c r="J287" s="191"/>
      <x:c r="K287" s="191"/>
      <x:c r="L287" s="191"/>
      <x:c r="M287" s="191"/>
      <x:c r="N287" s="191"/>
      <x:c r="O287" s="191"/>
      <x:c r="P287" s="191"/>
      <x:c r="Q287" s="191"/>
      <x:c r="R287" s="191"/>
      <x:c r="S287" s="191"/>
      <x:c r="T287" s="191"/>
      <x:c r="U287" s="191"/>
      <x:c r="V287" s="191"/>
      <x:c r="W287" s="191"/>
      <x:c r="X287" s="191"/>
      <x:c r="Y287" s="191"/>
      <x:c r="Z287" s="191"/>
      <x:c r="AA287" s="191"/>
      <x:c r="AB287" s="191"/>
      <x:c r="AC287" s="191"/>
      <x:c r="AD287" s="191"/>
      <x:c r="AE287" s="191"/>
      <x:c r="AF287" s="191"/>
      <x:c r="AG287" s="191"/>
      <x:c r="AH287" s="191"/>
      <x:c r="AI287" s="191"/>
      <x:c r="AJ287" s="191"/>
      <x:c r="AK287" s="191"/>
    </x:row>
    <x:row r="288">
      <x:c r="A288" s="191"/>
      <x:c r="B288" s="191"/>
      <x:c r="C288" s="191"/>
      <x:c r="D288" s="191"/>
      <x:c r="E288" s="191"/>
      <x:c r="F288" s="191"/>
      <x:c r="G288" s="191"/>
      <x:c r="H288" s="191"/>
      <x:c r="I288" s="191"/>
      <x:c r="J288" s="191"/>
      <x:c r="K288" s="191"/>
      <x:c r="L288" s="191"/>
      <x:c r="M288" s="191"/>
      <x:c r="N288" s="191"/>
      <x:c r="O288" s="191"/>
      <x:c r="P288" s="191"/>
      <x:c r="Q288" s="191"/>
      <x:c r="R288" s="191"/>
      <x:c r="S288" s="191"/>
      <x:c r="T288" s="191"/>
      <x:c r="U288" s="191"/>
      <x:c r="V288" s="191"/>
      <x:c r="W288" s="191"/>
      <x:c r="X288" s="191"/>
      <x:c r="Y288" s="191"/>
      <x:c r="Z288" s="191"/>
      <x:c r="AA288" s="191"/>
      <x:c r="AB288" s="191"/>
      <x:c r="AC288" s="191"/>
      <x:c r="AD288" s="191"/>
      <x:c r="AE288" s="191"/>
      <x:c r="AF288" s="191"/>
      <x:c r="AG288" s="191"/>
      <x:c r="AH288" s="191"/>
      <x:c r="AI288" s="191"/>
      <x:c r="AJ288" s="191"/>
      <x:c r="AK288" s="191"/>
    </x:row>
    <x:row r="289">
      <x:c r="A289" s="191"/>
      <x:c r="B289" s="191"/>
      <x:c r="C289" s="191"/>
      <x:c r="D289" s="191"/>
      <x:c r="E289" s="191"/>
      <x:c r="F289" s="191"/>
      <x:c r="G289" s="191"/>
      <x:c r="H289" s="191"/>
      <x:c r="I289" s="191"/>
      <x:c r="J289" s="191"/>
      <x:c r="K289" s="191"/>
      <x:c r="L289" s="191"/>
      <x:c r="M289" s="191"/>
      <x:c r="N289" s="191"/>
      <x:c r="O289" s="191"/>
      <x:c r="P289" s="191"/>
      <x:c r="Q289" s="191"/>
      <x:c r="R289" s="191"/>
      <x:c r="S289" s="191"/>
      <x:c r="T289" s="191"/>
      <x:c r="U289" s="191"/>
      <x:c r="V289" s="191"/>
      <x:c r="W289" s="191"/>
      <x:c r="X289" s="191"/>
      <x:c r="Y289" s="191"/>
      <x:c r="Z289" s="191"/>
      <x:c r="AA289" s="191"/>
      <x:c r="AB289" s="191"/>
      <x:c r="AC289" s="191"/>
      <x:c r="AD289" s="191"/>
      <x:c r="AE289" s="191"/>
      <x:c r="AF289" s="191"/>
      <x:c r="AG289" s="191"/>
      <x:c r="AH289" s="191"/>
      <x:c r="AI289" s="191"/>
      <x:c r="AJ289" s="191"/>
      <x:c r="AK289" s="191"/>
    </x:row>
    <x:row r="290">
      <x:c r="A290" s="191"/>
      <x:c r="B290" s="191"/>
      <x:c r="C290" s="191"/>
      <x:c r="D290" s="191"/>
      <x:c r="E290" s="191"/>
      <x:c r="F290" s="191"/>
      <x:c r="G290" s="191"/>
      <x:c r="H290" s="191"/>
      <x:c r="I290" s="191"/>
      <x:c r="J290" s="191"/>
      <x:c r="K290" s="191"/>
      <x:c r="L290" s="191"/>
      <x:c r="M290" s="191"/>
      <x:c r="N290" s="191"/>
      <x:c r="O290" s="191"/>
      <x:c r="P290" s="191"/>
      <x:c r="Q290" s="191"/>
      <x:c r="R290" s="191"/>
      <x:c r="S290" s="191"/>
      <x:c r="T290" s="191"/>
      <x:c r="U290" s="191"/>
      <x:c r="V290" s="191"/>
      <x:c r="W290" s="191"/>
      <x:c r="X290" s="191"/>
      <x:c r="Y290" s="191"/>
      <x:c r="Z290" s="191"/>
      <x:c r="AA290" s="191"/>
      <x:c r="AB290" s="191"/>
      <x:c r="AC290" s="191"/>
      <x:c r="AD290" s="191"/>
      <x:c r="AE290" s="191"/>
      <x:c r="AF290" s="191"/>
      <x:c r="AG290" s="191"/>
      <x:c r="AH290" s="191"/>
      <x:c r="AI290" s="191"/>
      <x:c r="AJ290" s="191"/>
      <x:c r="AK290" s="191"/>
    </x:row>
    <x:row r="291">
      <x:c r="A291" s="191"/>
      <x:c r="B291" s="191"/>
      <x:c r="C291" s="191"/>
      <x:c r="D291" s="191"/>
      <x:c r="E291" s="191"/>
      <x:c r="F291" s="191"/>
      <x:c r="G291" s="191"/>
      <x:c r="H291" s="191"/>
      <x:c r="I291" s="191"/>
      <x:c r="J291" s="191"/>
      <x:c r="K291" s="191"/>
      <x:c r="L291" s="191"/>
      <x:c r="M291" s="191"/>
      <x:c r="N291" s="191"/>
      <x:c r="O291" s="191"/>
      <x:c r="P291" s="191"/>
      <x:c r="Q291" s="191"/>
      <x:c r="R291" s="191"/>
      <x:c r="S291" s="191"/>
      <x:c r="T291" s="191"/>
      <x:c r="U291" s="191"/>
      <x:c r="V291" s="191"/>
      <x:c r="W291" s="191"/>
      <x:c r="X291" s="191"/>
      <x:c r="Y291" s="191"/>
      <x:c r="Z291" s="191"/>
      <x:c r="AA291" s="191"/>
      <x:c r="AB291" s="191"/>
      <x:c r="AC291" s="191"/>
      <x:c r="AD291" s="191"/>
      <x:c r="AE291" s="191"/>
      <x:c r="AF291" s="191"/>
      <x:c r="AG291" s="191"/>
      <x:c r="AH291" s="191"/>
      <x:c r="AI291" s="191"/>
      <x:c r="AJ291" s="191"/>
      <x:c r="AK291" s="191"/>
    </x:row>
    <x:row r="292">
      <x:c r="A292" s="191"/>
      <x:c r="B292" s="191"/>
      <x:c r="C292" s="191"/>
      <x:c r="D292" s="191"/>
      <x:c r="E292" s="191"/>
      <x:c r="F292" s="191"/>
      <x:c r="G292" s="191"/>
      <x:c r="H292" s="191"/>
      <x:c r="I292" s="191"/>
      <x:c r="J292" s="191"/>
      <x:c r="K292" s="191"/>
      <x:c r="L292" s="191"/>
      <x:c r="M292" s="191"/>
      <x:c r="N292" s="191"/>
      <x:c r="O292" s="191"/>
      <x:c r="P292" s="191"/>
      <x:c r="Q292" s="191"/>
      <x:c r="R292" s="191"/>
      <x:c r="S292" s="191"/>
      <x:c r="T292" s="191"/>
      <x:c r="U292" s="191"/>
      <x:c r="V292" s="191"/>
      <x:c r="W292" s="191"/>
      <x:c r="X292" s="191"/>
      <x:c r="Y292" s="191"/>
      <x:c r="Z292" s="191"/>
      <x:c r="AA292" s="191"/>
      <x:c r="AB292" s="191"/>
      <x:c r="AC292" s="191"/>
      <x:c r="AD292" s="191"/>
      <x:c r="AE292" s="191"/>
      <x:c r="AF292" s="191"/>
      <x:c r="AG292" s="191"/>
      <x:c r="AH292" s="191"/>
      <x:c r="AI292" s="191"/>
      <x:c r="AJ292" s="191"/>
      <x:c r="AK292" s="191"/>
    </x:row>
    <x:row r="293">
      <x:c r="A293" s="191"/>
      <x:c r="B293" s="191"/>
      <x:c r="C293" s="191"/>
      <x:c r="D293" s="191"/>
      <x:c r="E293" s="191"/>
      <x:c r="F293" s="191"/>
      <x:c r="G293" s="191"/>
      <x:c r="H293" s="191"/>
      <x:c r="I293" s="191"/>
      <x:c r="J293" s="191"/>
      <x:c r="K293" s="191"/>
      <x:c r="L293" s="191"/>
      <x:c r="M293" s="191"/>
      <x:c r="N293" s="191"/>
      <x:c r="O293" s="191"/>
      <x:c r="P293" s="191"/>
      <x:c r="Q293" s="191"/>
      <x:c r="R293" s="191"/>
      <x:c r="S293" s="191"/>
      <x:c r="T293" s="191"/>
      <x:c r="U293" s="191"/>
      <x:c r="V293" s="191"/>
      <x:c r="W293" s="191"/>
      <x:c r="X293" s="191"/>
      <x:c r="Y293" s="191"/>
      <x:c r="Z293" s="191"/>
      <x:c r="AA293" s="191"/>
      <x:c r="AB293" s="191"/>
      <x:c r="AC293" s="191"/>
      <x:c r="AD293" s="191"/>
      <x:c r="AE293" s="191"/>
      <x:c r="AF293" s="191"/>
      <x:c r="AG293" s="191"/>
      <x:c r="AH293" s="191"/>
      <x:c r="AI293" s="191"/>
      <x:c r="AJ293" s="191"/>
      <x:c r="AK293" s="191"/>
    </x:row>
    <x:row r="294">
      <x:c r="A294" s="191"/>
      <x:c r="B294" s="191"/>
      <x:c r="C294" s="191"/>
      <x:c r="D294" s="191"/>
      <x:c r="E294" s="191"/>
      <x:c r="F294" s="191"/>
      <x:c r="G294" s="191"/>
      <x:c r="H294" s="191"/>
      <x:c r="I294" s="191"/>
      <x:c r="J294" s="191"/>
      <x:c r="K294" s="191"/>
      <x:c r="L294" s="191"/>
      <x:c r="M294" s="191"/>
      <x:c r="N294" s="191"/>
      <x:c r="O294" s="191"/>
      <x:c r="P294" s="191"/>
      <x:c r="Q294" s="191"/>
      <x:c r="R294" s="191"/>
      <x:c r="S294" s="191"/>
      <x:c r="T294" s="191"/>
      <x:c r="U294" s="191"/>
      <x:c r="V294" s="191"/>
      <x:c r="W294" s="191"/>
      <x:c r="X294" s="191"/>
      <x:c r="Y294" s="191"/>
      <x:c r="Z294" s="191"/>
      <x:c r="AA294" s="191"/>
      <x:c r="AB294" s="191"/>
      <x:c r="AC294" s="191"/>
      <x:c r="AD294" s="191"/>
      <x:c r="AE294" s="191"/>
      <x:c r="AF294" s="191"/>
      <x:c r="AG294" s="191"/>
      <x:c r="AH294" s="191"/>
      <x:c r="AI294" s="191"/>
      <x:c r="AJ294" s="191"/>
      <x:c r="AK294" s="191"/>
    </x:row>
    <x:row r="295">
      <x:c r="A295" s="191"/>
      <x:c r="B295" s="191"/>
      <x:c r="C295" s="191"/>
      <x:c r="D295" s="191"/>
      <x:c r="E295" s="191"/>
      <x:c r="F295" s="191"/>
      <x:c r="G295" s="191"/>
      <x:c r="H295" s="191"/>
      <x:c r="I295" s="191"/>
      <x:c r="J295" s="191"/>
      <x:c r="K295" s="191"/>
      <x:c r="L295" s="191"/>
      <x:c r="M295" s="191"/>
      <x:c r="N295" s="191"/>
      <x:c r="O295" s="191"/>
      <x:c r="P295" s="191"/>
      <x:c r="Q295" s="191"/>
      <x:c r="R295" s="191"/>
      <x:c r="S295" s="191"/>
      <x:c r="T295" s="191"/>
      <x:c r="U295" s="191"/>
      <x:c r="V295" s="191"/>
      <x:c r="W295" s="191"/>
      <x:c r="X295" s="191"/>
      <x:c r="Y295" s="191"/>
      <x:c r="Z295" s="191"/>
      <x:c r="AA295" s="191"/>
      <x:c r="AB295" s="191"/>
      <x:c r="AC295" s="191"/>
      <x:c r="AD295" s="191"/>
      <x:c r="AE295" s="191"/>
      <x:c r="AF295" s="191"/>
      <x:c r="AG295" s="191"/>
      <x:c r="AH295" s="191"/>
      <x:c r="AI295" s="191"/>
      <x:c r="AJ295" s="191"/>
      <x:c r="AK295" s="191"/>
    </x:row>
    <x:row r="296">
      <x:c r="A296" s="191"/>
      <x:c r="B296" s="191"/>
      <x:c r="C296" s="191"/>
      <x:c r="D296" s="191"/>
      <x:c r="E296" s="191"/>
      <x:c r="F296" s="191"/>
      <x:c r="G296" s="191"/>
      <x:c r="H296" s="191"/>
      <x:c r="I296" s="191"/>
      <x:c r="J296" s="191"/>
      <x:c r="K296" s="191"/>
      <x:c r="L296" s="191"/>
      <x:c r="M296" s="191"/>
      <x:c r="N296" s="191"/>
      <x:c r="O296" s="191"/>
      <x:c r="P296" s="191"/>
      <x:c r="Q296" s="191"/>
      <x:c r="R296" s="191"/>
      <x:c r="S296" s="191"/>
      <x:c r="T296" s="191"/>
      <x:c r="U296" s="191"/>
      <x:c r="V296" s="191"/>
      <x:c r="W296" s="191"/>
      <x:c r="X296" s="191"/>
      <x:c r="Y296" s="191"/>
      <x:c r="Z296" s="191"/>
      <x:c r="AA296" s="191"/>
      <x:c r="AB296" s="191"/>
      <x:c r="AC296" s="191"/>
      <x:c r="AD296" s="191"/>
      <x:c r="AE296" s="191"/>
      <x:c r="AF296" s="191"/>
      <x:c r="AG296" s="191"/>
      <x:c r="AH296" s="191"/>
      <x:c r="AI296" s="191"/>
      <x:c r="AJ296" s="191"/>
      <x:c r="AK296" s="191"/>
    </x:row>
    <x:row r="297">
      <x:c r="A297" s="191"/>
      <x:c r="B297" s="191"/>
      <x:c r="C297" s="191"/>
      <x:c r="D297" s="191"/>
      <x:c r="E297" s="191"/>
      <x:c r="F297" s="191"/>
      <x:c r="G297" s="191"/>
      <x:c r="H297" s="191"/>
      <x:c r="I297" s="191"/>
      <x:c r="J297" s="191"/>
      <x:c r="K297" s="191"/>
      <x:c r="L297" s="191"/>
      <x:c r="M297" s="191"/>
      <x:c r="N297" s="191"/>
      <x:c r="O297" s="191"/>
      <x:c r="P297" s="191"/>
      <x:c r="Q297" s="191"/>
      <x:c r="R297" s="191"/>
      <x:c r="S297" s="191"/>
      <x:c r="T297" s="191"/>
      <x:c r="U297" s="191"/>
      <x:c r="V297" s="191"/>
      <x:c r="W297" s="191"/>
      <x:c r="X297" s="191"/>
      <x:c r="Y297" s="191"/>
      <x:c r="Z297" s="191"/>
      <x:c r="AA297" s="191"/>
      <x:c r="AB297" s="191"/>
      <x:c r="AC297" s="191"/>
      <x:c r="AD297" s="191"/>
      <x:c r="AE297" s="191"/>
      <x:c r="AF297" s="191"/>
      <x:c r="AG297" s="191"/>
      <x:c r="AH297" s="191"/>
      <x:c r="AI297" s="191"/>
      <x:c r="AJ297" s="191"/>
      <x:c r="AK297" s="191"/>
    </x:row>
    <x:row r="298">
      <x:c r="A298" s="191"/>
      <x:c r="B298" s="191"/>
      <x:c r="C298" s="191"/>
      <x:c r="D298" s="191"/>
      <x:c r="E298" s="191"/>
      <x:c r="F298" s="191"/>
      <x:c r="G298" s="191"/>
      <x:c r="H298" s="191"/>
      <x:c r="I298" s="191"/>
      <x:c r="J298" s="191"/>
      <x:c r="K298" s="191"/>
      <x:c r="L298" s="191"/>
      <x:c r="M298" s="191"/>
      <x:c r="N298" s="191"/>
      <x:c r="O298" s="191"/>
      <x:c r="P298" s="191"/>
      <x:c r="Q298" s="191"/>
      <x:c r="R298" s="191"/>
      <x:c r="S298" s="191"/>
      <x:c r="T298" s="191"/>
      <x:c r="U298" s="191"/>
      <x:c r="V298" s="191"/>
      <x:c r="W298" s="191"/>
      <x:c r="X298" s="191"/>
      <x:c r="Y298" s="191"/>
      <x:c r="Z298" s="191"/>
      <x:c r="AA298" s="191"/>
      <x:c r="AB298" s="191"/>
      <x:c r="AC298" s="191"/>
      <x:c r="AD298" s="191"/>
      <x:c r="AE298" s="191"/>
      <x:c r="AF298" s="191"/>
      <x:c r="AG298" s="191"/>
      <x:c r="AH298" s="191"/>
      <x:c r="AI298" s="191"/>
      <x:c r="AJ298" s="191"/>
      <x:c r="AK298" s="191"/>
    </x:row>
    <x:row r="299">
      <x:c r="A299" s="191"/>
      <x:c r="B299" s="191"/>
      <x:c r="C299" s="191"/>
      <x:c r="D299" s="191"/>
      <x:c r="E299" s="191"/>
      <x:c r="F299" s="191"/>
      <x:c r="G299" s="191"/>
      <x:c r="H299" s="191"/>
      <x:c r="I299" s="191"/>
      <x:c r="J299" s="191"/>
      <x:c r="K299" s="191"/>
      <x:c r="L299" s="191"/>
      <x:c r="M299" s="191"/>
      <x:c r="N299" s="191"/>
      <x:c r="O299" s="191"/>
      <x:c r="P299" s="191"/>
      <x:c r="Q299" s="191"/>
      <x:c r="R299" s="191"/>
      <x:c r="S299" s="191"/>
      <x:c r="T299" s="191"/>
      <x:c r="U299" s="191"/>
      <x:c r="V299" s="191"/>
      <x:c r="W299" s="191"/>
      <x:c r="X299" s="191"/>
      <x:c r="Y299" s="191"/>
      <x:c r="Z299" s="191"/>
      <x:c r="AA299" s="191"/>
      <x:c r="AB299" s="191"/>
      <x:c r="AC299" s="191"/>
      <x:c r="AD299" s="191"/>
      <x:c r="AE299" s="191"/>
      <x:c r="AF299" s="191"/>
      <x:c r="AG299" s="191"/>
      <x:c r="AH299" s="191"/>
      <x:c r="AI299" s="191"/>
      <x:c r="AJ299" s="191"/>
      <x:c r="AK299" s="191"/>
    </x:row>
    <x:row r="300">
      <x:c r="A300" s="191"/>
      <x:c r="B300" s="191"/>
      <x:c r="C300" s="191"/>
      <x:c r="D300" s="191"/>
      <x:c r="E300" s="191"/>
      <x:c r="F300" s="191"/>
      <x:c r="G300" s="191"/>
      <x:c r="H300" s="191"/>
      <x:c r="I300" s="191"/>
      <x:c r="J300" s="191"/>
      <x:c r="K300" s="191"/>
      <x:c r="L300" s="191"/>
      <x:c r="M300" s="191"/>
      <x:c r="N300" s="191"/>
      <x:c r="O300" s="191"/>
      <x:c r="P300" s="191"/>
      <x:c r="Q300" s="191"/>
      <x:c r="R300" s="191"/>
      <x:c r="S300" s="191"/>
      <x:c r="T300" s="191"/>
      <x:c r="U300" s="191"/>
      <x:c r="V300" s="191"/>
      <x:c r="W300" s="191"/>
      <x:c r="X300" s="191"/>
      <x:c r="Y300" s="191"/>
      <x:c r="Z300" s="191"/>
      <x:c r="AA300" s="191"/>
      <x:c r="AB300" s="191"/>
      <x:c r="AC300" s="191"/>
      <x:c r="AD300" s="191"/>
      <x:c r="AE300" s="191"/>
      <x:c r="AF300" s="191"/>
      <x:c r="AG300" s="191"/>
      <x:c r="AH300" s="191"/>
      <x:c r="AI300" s="191"/>
      <x:c r="AJ300" s="191"/>
      <x:c r="AK300" s="191"/>
    </x:row>
  </x:sheetData>
  <x:mergeCells>
    <x:mergeCell ref="A1:R1"/>
    <x:mergeCell ref="A3:R3"/>
    <x:mergeCell ref="A19:N19"/>
  </x:mergeCells>
  <x:pageMargins left="0.7" right="0.7" top="0.75" bottom="0.75" header="0.3" footer="0.3"/>
  <x:drawing xmlns:r="http://schemas.openxmlformats.org/officeDocument/2006/relationships" r:id="Rdaa94473b6014939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11" hidden="0" customWidth="1"/>
    <x:col min="9" max="9" width="16" hidden="0" customWidth="1"/>
    <x:col min="10" max="10" width="36" hidden="0" customWidth="1"/>
    <x:col min="11" max="11" width="3" hidden="0" customWidth="1"/>
    <x:col min="12" max="12" width="24" hidden="0" customWidth="1"/>
    <x:col min="13" max="13" width="22" hidden="0" customWidth="1"/>
  </x:cols>
  <x:sheetData>
    <x:row r="1" ht="28" customHeight="1">
      <x:c r="A1" s="5" t="str">
        <x:v>ES P&amp;L Vector Template — One Final Full-Revaluation P&amp;L per Scenario Date</x:v>
      </x:c>
      <x:c r="B1" s="5"/>
      <x:c r="C1" s="5"/>
      <x:c r="D1" s="5"/>
      <x:c r="E1" s="5"/>
      <x:c r="F1" s="5"/>
      <x:c r="G1" s="5"/>
      <x:c r="H1" s="5"/>
      <x:c r="I1" s="5"/>
      <x:c r="J1" s="5"/>
      <x:c r="K1" s="191"/>
      <x:c r="L1" s="191"/>
      <x:c r="M1" s="191"/>
      <x:c r="N1" s="191"/>
      <x:c r="O1" s="191"/>
      <x:c r="P1" s="191"/>
      <x:c r="Q1" s="191"/>
      <x:c r="R1" s="191"/>
      <x:c r="S1" s="191"/>
      <x:c r="T1" s="191"/>
      <x:c r="U1" s="191"/>
      <x:c r="V1" s="191"/>
      <x:c r="W1" s="191"/>
      <x:c r="X1" s="191"/>
      <x:c r="Y1" s="191"/>
      <x:c r="Z1" s="191"/>
      <x:c r="AA1" s="191"/>
      <x:c r="AB1" s="191"/>
      <x:c r="AC1" s="191"/>
      <x:c r="AD1" s="191"/>
      <x:c r="AE1" s="191"/>
      <x:c r="AF1" s="191"/>
      <x:c r="AG1" s="191"/>
      <x:c r="AH1" s="191"/>
      <x:c r="AI1" s="191"/>
      <x:c r="AJ1" s="191"/>
      <x:c r="AK1" s="191"/>
    </x:row>
    <x:row r="2">
      <x:c r="A2" s="191"/>
      <x:c r="B2" s="191"/>
      <x:c r="C2" s="191"/>
      <x:c r="D2" s="191"/>
      <x:c r="E2" s="191"/>
      <x:c r="F2" s="191"/>
      <x:c r="G2" s="191"/>
      <x:c r="H2" s="191"/>
      <x:c r="I2" s="191"/>
      <x:c r="J2" s="191"/>
      <x:c r="K2" s="191"/>
      <x:c r="L2" s="191"/>
      <x:c r="M2" s="191"/>
      <x:c r="N2" s="191"/>
      <x:c r="O2" s="191"/>
      <x:c r="P2" s="191"/>
      <x:c r="Q2" s="191"/>
      <x:c r="R2" s="191"/>
      <x:c r="S2" s="191"/>
      <x:c r="T2" s="191"/>
      <x:c r="U2" s="191"/>
      <x:c r="V2" s="191"/>
      <x:c r="W2" s="191"/>
      <x:c r="X2" s="191"/>
      <x:c r="Y2" s="191"/>
      <x:c r="Z2" s="191"/>
      <x:c r="AA2" s="191"/>
      <x:c r="AB2" s="191"/>
      <x:c r="AC2" s="191"/>
      <x:c r="AD2" s="191"/>
      <x:c r="AE2" s="191"/>
      <x:c r="AF2" s="191"/>
      <x:c r="AG2" s="191"/>
      <x:c r="AH2" s="191"/>
      <x:c r="AI2" s="191"/>
      <x:c r="AJ2" s="191"/>
      <x:c r="AK2" s="191"/>
    </x:row>
    <x:row r="3">
      <x:c r="A3" s="79" t="str">
        <x:v>The intermediate build-step P&amp;Ls on 07_Full_Reval_PnL are controls for a single shock date. For ES, only the final Step 10 P&amp;L enters the vector. Repeat the entire base-to-final revaluation for every historical or stressed scenario date.</x:v>
      </x:c>
      <x:c r="B3" s="79"/>
      <x:c r="C3" s="79"/>
      <x:c r="D3" s="79"/>
      <x:c r="E3" s="79"/>
      <x:c r="F3" s="79"/>
      <x:c r="G3" s="79"/>
      <x:c r="H3" s="79"/>
      <x:c r="I3" s="79"/>
      <x:c r="J3" s="79"/>
      <x:c r="K3" s="191"/>
      <x:c r="L3" s="191"/>
      <x:c r="M3" s="191"/>
      <x:c r="N3" s="191"/>
      <x:c r="O3" s="191"/>
      <x:c r="P3" s="191"/>
      <x:c r="Q3" s="191"/>
      <x:c r="R3" s="191"/>
      <x:c r="S3" s="191"/>
      <x:c r="T3" s="191"/>
      <x:c r="U3" s="191"/>
      <x:c r="V3" s="191"/>
      <x:c r="W3" s="191"/>
      <x:c r="X3" s="191"/>
      <x:c r="Y3" s="191"/>
      <x:c r="Z3" s="191"/>
      <x:c r="AA3" s="191"/>
      <x:c r="AB3" s="191"/>
      <x:c r="AC3" s="191"/>
      <x:c r="AD3" s="191"/>
      <x:c r="AE3" s="191"/>
      <x:c r="AF3" s="191"/>
      <x:c r="AG3" s="191"/>
      <x:c r="AH3" s="191"/>
      <x:c r="AI3" s="191"/>
      <x:c r="AJ3" s="191"/>
      <x:c r="AK3" s="191"/>
    </x:row>
    <x:row r="4">
      <x:c r="A4" s="79"/>
      <x:c r="B4" s="79"/>
      <x:c r="C4" s="79"/>
      <x:c r="D4" s="79"/>
      <x:c r="E4" s="79"/>
      <x:c r="F4" s="79"/>
      <x:c r="G4" s="79"/>
      <x:c r="H4" s="79"/>
      <x:c r="I4" s="79"/>
      <x:c r="J4" s="79"/>
      <x:c r="K4" s="191"/>
      <x:c r="L4" s="191"/>
      <x:c r="M4" s="191"/>
      <x:c r="N4" s="191"/>
      <x:c r="O4" s="191"/>
      <x:c r="P4" s="191"/>
      <x:c r="Q4" s="191"/>
      <x:c r="R4" s="191"/>
      <x:c r="S4" s="191"/>
      <x:c r="T4" s="191"/>
      <x:c r="U4" s="191"/>
      <x:c r="V4" s="191"/>
      <x:c r="W4" s="191"/>
      <x:c r="X4" s="191"/>
      <x:c r="Y4" s="191"/>
      <x:c r="Z4" s="191"/>
      <x:c r="AA4" s="191"/>
      <x:c r="AB4" s="191"/>
      <x:c r="AC4" s="191"/>
      <x:c r="AD4" s="191"/>
      <x:c r="AE4" s="191"/>
      <x:c r="AF4" s="191"/>
      <x:c r="AG4" s="191"/>
      <x:c r="AH4" s="191"/>
      <x:c r="AI4" s="191"/>
      <x:c r="AJ4" s="191"/>
      <x:c r="AK4" s="191"/>
    </x:row>
    <x:row r="5">
      <x:c r="A5" s="79"/>
      <x:c r="B5" s="79"/>
      <x:c r="C5" s="79"/>
      <x:c r="D5" s="79"/>
      <x:c r="E5" s="79"/>
      <x:c r="F5" s="79"/>
      <x:c r="G5" s="79"/>
      <x:c r="H5" s="79"/>
      <x:c r="I5" s="79"/>
      <x:c r="J5" s="79"/>
      <x:c r="K5" s="191"/>
      <x:c r="L5" s="191"/>
      <x:c r="M5" s="191"/>
      <x:c r="N5" s="191"/>
      <x:c r="O5" s="191"/>
      <x:c r="P5" s="191"/>
      <x:c r="Q5" s="191"/>
      <x:c r="R5" s="191"/>
      <x:c r="S5" s="191"/>
      <x:c r="T5" s="191"/>
      <x:c r="U5" s="191"/>
      <x:c r="V5" s="191"/>
      <x:c r="W5" s="191"/>
      <x:c r="X5" s="191"/>
      <x:c r="Y5" s="191"/>
      <x:c r="Z5" s="191"/>
      <x:c r="AA5" s="191"/>
      <x:c r="AB5" s="191"/>
      <x:c r="AC5" s="191"/>
      <x:c r="AD5" s="191"/>
      <x:c r="AE5" s="191"/>
      <x:c r="AF5" s="191"/>
      <x:c r="AG5" s="191"/>
      <x:c r="AH5" s="191"/>
      <x:c r="AI5" s="191"/>
      <x:c r="AJ5" s="191"/>
      <x:c r="AK5" s="191"/>
    </x:row>
    <x:row r="6">
      <x:c r="A6" s="191"/>
      <x:c r="B6" s="191"/>
      <x:c r="C6" s="191"/>
      <x:c r="D6" s="191"/>
      <x:c r="E6" s="191"/>
      <x:c r="F6" s="191"/>
      <x:c r="G6" s="191"/>
      <x:c r="H6" s="191"/>
      <x:c r="I6" s="191"/>
      <x:c r="J6" s="191"/>
      <x:c r="K6" s="191"/>
      <x:c r="L6" s="191"/>
      <x:c r="M6" s="191"/>
      <x:c r="N6" s="191"/>
      <x:c r="O6" s="191"/>
      <x:c r="P6" s="191"/>
      <x:c r="Q6" s="191"/>
      <x:c r="R6" s="191"/>
      <x:c r="S6" s="191"/>
      <x:c r="T6" s="191"/>
      <x:c r="U6" s="191"/>
      <x:c r="V6" s="191"/>
      <x:c r="W6" s="191"/>
      <x:c r="X6" s="191"/>
      <x:c r="Y6" s="191"/>
      <x:c r="Z6" s="191"/>
      <x:c r="AA6" s="191"/>
      <x:c r="AB6" s="191"/>
      <x:c r="AC6" s="191"/>
      <x:c r="AD6" s="191"/>
      <x:c r="AE6" s="191"/>
      <x:c r="AF6" s="191"/>
      <x:c r="AG6" s="191"/>
      <x:c r="AH6" s="191"/>
      <x:c r="AI6" s="191"/>
      <x:c r="AJ6" s="191"/>
      <x:c r="AK6" s="191"/>
    </x:row>
    <x:row r="7" ht="22" customHeight="1">
      <x:c r="A7" s="21" t="str">
        <x:v>ES controls</x:v>
      </x:c>
      <x:c r="B7" s="21"/>
      <x:c r="C7" s="21"/>
      <x:c r="D7" s="21"/>
      <x:c r="E7" s="191"/>
      <x:c r="F7" s="191"/>
      <x:c r="G7" s="191"/>
      <x:c r="H7" s="191"/>
      <x:c r="I7" s="191"/>
      <x:c r="J7" s="191"/>
      <x:c r="K7" s="191"/>
      <x:c r="L7" s="21" t="str">
        <x:v>Illustrative ES calculation</x:v>
      </x:c>
      <x:c r="M7" s="21"/>
      <x:c r="N7" s="21"/>
      <x:c r="O7" s="21"/>
      <x:c r="P7" s="21"/>
      <x:c r="Q7" s="191"/>
      <x:c r="R7" s="191"/>
      <x:c r="S7" s="191"/>
      <x:c r="T7" s="191"/>
      <x:c r="U7" s="191"/>
      <x:c r="V7" s="191"/>
      <x:c r="W7" s="191"/>
      <x:c r="X7" s="191"/>
      <x:c r="Y7" s="191"/>
      <x:c r="Z7" s="191"/>
      <x:c r="AA7" s="191"/>
      <x:c r="AB7" s="191"/>
      <x:c r="AC7" s="191"/>
      <x:c r="AD7" s="191"/>
      <x:c r="AE7" s="191"/>
      <x:c r="AF7" s="191"/>
      <x:c r="AG7" s="191"/>
      <x:c r="AH7" s="191"/>
      <x:c r="AI7" s="191"/>
      <x:c r="AJ7" s="191"/>
      <x:c r="AK7" s="191"/>
    </x:row>
    <x:row r="8">
      <x:c r="A8" s="193" t="str">
        <x:v>Confidence Level</x:v>
      </x:c>
      <x:c r="B8" s="271" t="n">
        <x:v>0.975</x:v>
      </x:c>
      <x:c r="C8" s="191"/>
      <x:c r="D8" s="191"/>
      <x:c r="E8" s="191"/>
      <x:c r="F8" s="191"/>
      <x:c r="G8" s="191"/>
      <x:c r="H8" s="191"/>
      <x:c r="I8" s="191"/>
      <x:c r="J8" s="191"/>
      <x:c r="K8" s="191"/>
      <x:c r="L8" s="45" t="str">
        <x:v>Metric</x:v>
      </x:c>
      <x:c r="M8" s="45" t="str">
        <x:v>Value</x:v>
      </x:c>
      <x:c r="N8" s="191"/>
      <x:c r="O8" s="191"/>
      <x:c r="P8" s="191"/>
      <x:c r="Q8" s="191"/>
      <x:c r="R8" s="191"/>
      <x:c r="S8" s="191"/>
      <x:c r="T8" s="191"/>
      <x:c r="U8" s="191"/>
      <x:c r="V8" s="191"/>
      <x:c r="W8" s="191"/>
      <x:c r="X8" s="191"/>
      <x:c r="Y8" s="191"/>
      <x:c r="Z8" s="191"/>
      <x:c r="AA8" s="191"/>
      <x:c r="AB8" s="191"/>
      <x:c r="AC8" s="191"/>
      <x:c r="AD8" s="191"/>
      <x:c r="AE8" s="191"/>
      <x:c r="AF8" s="191"/>
      <x:c r="AG8" s="191"/>
      <x:c r="AH8" s="191"/>
      <x:c r="AI8" s="191"/>
      <x:c r="AJ8" s="191"/>
      <x:c r="AK8" s="191"/>
    </x:row>
    <x:row r="9">
      <x:c r="A9" s="193" t="str">
        <x:v>Populated Scenarios</x:v>
      </x:c>
      <x:c r="B9" s="272" t="n">
        <x:f>COUNT(C15:C264)</x:f>
        <x:v>1</x:v>
      </x:c>
      <x:c r="C9" s="191"/>
      <x:c r="D9" s="191"/>
      <x:c r="E9" s="191"/>
      <x:c r="F9" s="191"/>
      <x:c r="G9" s="191"/>
      <x:c r="H9" s="191"/>
      <x:c r="I9" s="191"/>
      <x:c r="J9" s="191"/>
      <x:c r="K9" s="191"/>
      <x:c r="L9" s="191" t="str">
        <x:v>Tail Count</x:v>
      </x:c>
      <x:c r="M9" s="272" t="n">
        <x:f>$B$10</x:f>
        <x:v>1</x:v>
      </x:c>
      <x:c r="N9" s="191"/>
      <x:c r="O9" s="191"/>
      <x:c r="P9" s="191"/>
      <x:c r="Q9" s="191"/>
      <x:c r="R9" s="191"/>
      <x:c r="S9" s="191"/>
      <x:c r="T9" s="191"/>
      <x:c r="U9" s="191"/>
      <x:c r="V9" s="191"/>
      <x:c r="W9" s="191"/>
      <x:c r="X9" s="191"/>
      <x:c r="Y9" s="191"/>
      <x:c r="Z9" s="191"/>
      <x:c r="AA9" s="191"/>
      <x:c r="AB9" s="191"/>
      <x:c r="AC9" s="191"/>
      <x:c r="AD9" s="191"/>
      <x:c r="AE9" s="191"/>
      <x:c r="AF9" s="191"/>
      <x:c r="AG9" s="191"/>
      <x:c r="AH9" s="191"/>
      <x:c r="AI9" s="191"/>
      <x:c r="AJ9" s="191"/>
      <x:c r="AK9" s="191"/>
    </x:row>
    <x:row r="10">
      <x:c r="A10" s="193" t="str">
        <x:v>Tail Observations</x:v>
      </x:c>
      <x:c r="B10" s="272" t="n">
        <x:f>MAX(1,ROUNDUP(B9*(1-B8),0))</x:f>
        <x:v>1</x:v>
      </x:c>
      <x:c r="C10" s="191"/>
      <x:c r="D10" s="191"/>
      <x:c r="E10" s="191"/>
      <x:c r="F10" s="191"/>
      <x:c r="G10" s="191"/>
      <x:c r="H10" s="191"/>
      <x:c r="I10" s="191"/>
      <x:c r="J10" s="191"/>
      <x:c r="K10" s="191"/>
      <x:c r="L10" s="191" t="str">
        <x:v>Sum of Tail Losses ($)</x:v>
      </x:c>
      <x:c r="M10" s="254" t="n">
        <x:f>SUMIF($H$15:$H$264,"TAIL",$I$15:$I$264)</x:f>
        <x:v>893675.4444192464</x:v>
      </x:c>
      <x:c r="N10" s="191"/>
      <x:c r="O10" s="191"/>
      <x:c r="P10" s="191"/>
      <x:c r="Q10" s="191"/>
      <x:c r="R10" s="191"/>
      <x:c r="S10" s="191"/>
      <x:c r="T10" s="191"/>
      <x:c r="U10" s="191"/>
      <x:c r="V10" s="191"/>
      <x:c r="W10" s="191"/>
      <x:c r="X10" s="191"/>
      <x:c r="Y10" s="191"/>
      <x:c r="Z10" s="191"/>
      <x:c r="AA10" s="191"/>
      <x:c r="AB10" s="191"/>
      <x:c r="AC10" s="191"/>
      <x:c r="AD10" s="191"/>
      <x:c r="AE10" s="191"/>
      <x:c r="AF10" s="191"/>
      <x:c r="AG10" s="191"/>
      <x:c r="AH10" s="191"/>
      <x:c r="AI10" s="191"/>
      <x:c r="AJ10" s="191"/>
      <x:c r="AK10" s="191"/>
    </x:row>
    <x:row r="11">
      <x:c r="A11" s="193" t="str">
        <x:v>Loss-sign convention</x:v>
      </x:c>
      <x:c r="B11" s="191" t="str">
        <x:v>Negative P&amp;L = loss; ES reported as positive loss</x:v>
      </x:c>
      <x:c r="C11" s="191"/>
      <x:c r="D11" s="191"/>
      <x:c r="E11" s="191"/>
      <x:c r="F11" s="191"/>
      <x:c r="G11" s="191"/>
      <x:c r="H11" s="191"/>
      <x:c r="I11" s="191"/>
      <x:c r="J11" s="191"/>
      <x:c r="K11" s="191"/>
      <x:c r="L11" s="191" t="str">
        <x:v>ES 97.5% ($)</x:v>
      </x:c>
      <x:c r="M11" s="254" t="n">
        <x:f>IF(M9=0,"",M10/M9)</x:f>
        <x:v>893675.4444192464</x:v>
      </x:c>
      <x:c r="N11" s="191"/>
      <x:c r="O11" s="191"/>
      <x:c r="P11" s="191"/>
      <x:c r="Q11" s="191"/>
      <x:c r="R11" s="191"/>
      <x:c r="S11" s="191"/>
      <x:c r="T11" s="191"/>
      <x:c r="U11" s="191"/>
      <x:c r="V11" s="191"/>
      <x:c r="W11" s="191"/>
      <x:c r="X11" s="191"/>
      <x:c r="Y11" s="191"/>
      <x:c r="Z11" s="191"/>
      <x:c r="AA11" s="191"/>
      <x:c r="AB11" s="191"/>
      <x:c r="AC11" s="191"/>
      <x:c r="AD11" s="191"/>
      <x:c r="AE11" s="191"/>
      <x:c r="AF11" s="191"/>
      <x:c r="AG11" s="191"/>
      <x:c r="AH11" s="191"/>
      <x:c r="AI11" s="191"/>
      <x:c r="AJ11" s="191"/>
      <x:c r="AK11" s="191"/>
    </x:row>
    <x:row r="12">
      <x:c r="A12" s="191"/>
      <x:c r="B12" s="191"/>
      <x:c r="C12" s="191"/>
      <x:c r="D12" s="191"/>
      <x:c r="E12" s="191"/>
      <x:c r="F12" s="191"/>
      <x:c r="G12" s="191"/>
      <x:c r="H12" s="191"/>
      <x:c r="I12" s="191"/>
      <x:c r="J12" s="191"/>
      <x:c r="K12" s="191"/>
      <x:c r="L12" s="192" t="str">
        <x:v>Meaning</x:v>
      </x:c>
      <x:c r="M12" s="192" t="str">
        <x:v>Average loss across the worst 2.5% of populated scenario P&amp;Ls</x:v>
      </x:c>
      <x:c r="N12" s="191"/>
      <x:c r="O12" s="191"/>
      <x:c r="P12" s="191"/>
      <x:c r="Q12" s="191"/>
      <x:c r="R12" s="191"/>
      <x:c r="S12" s="191"/>
      <x:c r="T12" s="191"/>
      <x:c r="U12" s="191"/>
      <x:c r="V12" s="191"/>
      <x:c r="W12" s="191"/>
      <x:c r="X12" s="191"/>
      <x:c r="Y12" s="191"/>
      <x:c r="Z12" s="191"/>
      <x:c r="AA12" s="191"/>
      <x:c r="AB12" s="191"/>
      <x:c r="AC12" s="191"/>
      <x:c r="AD12" s="191"/>
      <x:c r="AE12" s="191"/>
      <x:c r="AF12" s="191"/>
      <x:c r="AG12" s="191"/>
      <x:c r="AH12" s="191"/>
      <x:c r="AI12" s="191"/>
      <x:c r="AJ12" s="191"/>
      <x:c r="AK12" s="191"/>
    </x:row>
    <x:row r="13">
      <x:c r="A13" s="191"/>
      <x:c r="B13" s="191"/>
      <x:c r="C13" s="191"/>
      <x:c r="D13" s="191"/>
      <x:c r="E13" s="191"/>
      <x:c r="F13" s="191"/>
      <x:c r="G13" s="191"/>
      <x:c r="H13" s="191"/>
      <x:c r="I13" s="191"/>
      <x:c r="J13" s="191"/>
      <x:c r="K13" s="191"/>
      <x:c r="L13" s="191"/>
      <x:c r="M13" s="191"/>
      <x:c r="N13" s="191"/>
      <x:c r="O13" s="191"/>
      <x:c r="P13" s="191"/>
      <x:c r="Q13" s="191"/>
      <x:c r="R13" s="191"/>
      <x:c r="S13" s="191"/>
      <x:c r="T13" s="191"/>
      <x:c r="U13" s="191"/>
      <x:c r="V13" s="191"/>
      <x:c r="W13" s="191"/>
      <x:c r="X13" s="191"/>
      <x:c r="Y13" s="191"/>
      <x:c r="Z13" s="191"/>
      <x:c r="AA13" s="191"/>
      <x:c r="AB13" s="191"/>
      <x:c r="AC13" s="191"/>
      <x:c r="AD13" s="191"/>
      <x:c r="AE13" s="191"/>
      <x:c r="AF13" s="191"/>
      <x:c r="AG13" s="191"/>
      <x:c r="AH13" s="191"/>
      <x:c r="AI13" s="191"/>
      <x:c r="AJ13" s="191"/>
      <x:c r="AK13" s="191"/>
    </x:row>
    <x:row r="14">
      <x:c r="A14" s="45" t="str">
        <x:v>Scenario #</x:v>
      </x:c>
      <x:c r="B14" s="45" t="str">
        <x:v>Shock Date</x:v>
      </x:c>
      <x:c r="C14" s="45" t="str">
        <x:v>Cross P&amp;L ($)</x:v>
      </x:c>
      <x:c r="D14" s="45" t="str">
        <x:v>IR P&amp;L ($)</x:v>
      </x:c>
      <x:c r="E14" s="45" t="str">
        <x:v>Credit P&amp;L ($)</x:v>
      </x:c>
      <x:c r="F14" s="45" t="str">
        <x:v>FX P&amp;L ($)</x:v>
      </x:c>
      <x:c r="G14" s="45" t="str">
        <x:v>Rank (Worst=1)</x:v>
      </x:c>
      <x:c r="H14" s="45" t="str">
        <x:v>Tail Flag</x:v>
      </x:c>
      <x:c r="I14" s="45" t="str">
        <x:v>Cross Loss ($)</x:v>
      </x:c>
      <x:c r="J14" s="45" t="str">
        <x:v>Scenario Status</x:v>
      </x:c>
      <x:c r="K14" s="191"/>
      <x:c r="L14" s="191"/>
      <x:c r="M14" s="191"/>
      <x:c r="N14" s="191"/>
      <x:c r="O14" s="191"/>
      <x:c r="P14" s="191"/>
      <x:c r="Q14" s="191"/>
      <x:c r="R14" s="191"/>
      <x:c r="S14" s="191"/>
      <x:c r="T14" s="191"/>
      <x:c r="U14" s="191"/>
      <x:c r="V14" s="191"/>
      <x:c r="W14" s="191"/>
      <x:c r="X14" s="191"/>
      <x:c r="Y14" s="191"/>
      <x:c r="Z14" s="191"/>
      <x:c r="AA14" s="191"/>
      <x:c r="AB14" s="191"/>
      <x:c r="AC14" s="191"/>
      <x:c r="AD14" s="191"/>
      <x:c r="AE14" s="191"/>
      <x:c r="AF14" s="191"/>
      <x:c r="AG14" s="191"/>
      <x:c r="AH14" s="191"/>
      <x:c r="AI14" s="191"/>
      <x:c r="AJ14" s="191"/>
      <x:c r="AK14" s="191"/>
    </x:row>
    <x:row r="15">
      <x:c r="A15" s="191" t="n">
        <x:v>1</x:v>
      </x:c>
      <x:c r="B15" s="273" t="n">
        <x:f>'02_Assumptions'!$B$5</x:f>
        <x:v>39772</x:v>
      </x:c>
      <x:c r="C15" s="256" t="n">
        <x:f>'07_Full_Reval_PnL'!$B$22</x:f>
        <x:v>-893675.4444192464</x:v>
      </x:c>
      <x:c r="D15" s="256" t="n">
        <x:f>'07_Full_Reval_PnL'!$C$22</x:f>
        <x:v>-572348.7374999999</x:v>
      </x:c>
      <x:c r="E15" s="256" t="n">
        <x:f>'07_Full_Reval_PnL'!$D$22</x:f>
        <x:v>-155720</x:v>
      </x:c>
      <x:c r="F15" s="256" t="n">
        <x:f>'07_Full_Reval_PnL'!$E$22</x:f>
        <x:v>-165905.75</x:v>
      </x:c>
      <x:c r="G15" s="272" t="n">
        <x:f>IF(C15="","",RANK.EQ(C15,$C$15:$C$264,1))</x:f>
        <x:v>1</x:v>
      </x:c>
      <x:c r="H15" s="272" t="str">
        <x:f>IF(G15="","",IF(G15&lt;=$B$10,"TAIL",""))</x:f>
        <x:v>TAIL</x:v>
      </x:c>
      <x:c r="I15" s="254" t="n">
        <x:f>IF(C15="","",-C15)</x:f>
        <x:v>893675.4444192464</x:v>
      </x:c>
      <x:c r="J15" s="191" t="str">
        <x:v>Worked example — final Step 10 only</x:v>
      </x:c>
      <x:c r="K15" s="191"/>
      <x:c r="L15" s="191"/>
      <x:c r="M15" s="191"/>
      <x:c r="N15" s="191"/>
      <x:c r="O15" s="191"/>
      <x:c r="P15" s="191"/>
      <x:c r="Q15" s="191"/>
      <x:c r="R15" s="191"/>
      <x:c r="S15" s="191"/>
      <x:c r="T15" s="191"/>
      <x:c r="U15" s="191"/>
      <x:c r="V15" s="191"/>
      <x:c r="W15" s="191"/>
      <x:c r="X15" s="191"/>
      <x:c r="Y15" s="191"/>
      <x:c r="Z15" s="191"/>
      <x:c r="AA15" s="191"/>
      <x:c r="AB15" s="191"/>
      <x:c r="AC15" s="191"/>
      <x:c r="AD15" s="191"/>
      <x:c r="AE15" s="191"/>
      <x:c r="AF15" s="191"/>
      <x:c r="AG15" s="191"/>
      <x:c r="AH15" s="191"/>
      <x:c r="AI15" s="191"/>
      <x:c r="AJ15" s="191"/>
      <x:c r="AK15" s="191"/>
    </x:row>
    <x:row r="16">
      <x:c r="A16" s="191" t="n">
        <x:v>2</x:v>
      </x:c>
      <x:c r="B16" s="274"/>
      <x:c r="C16" s="275"/>
      <x:c r="D16" s="275"/>
      <x:c r="E16" s="275"/>
      <x:c r="F16" s="275"/>
      <x:c r="G16" s="272" t="str">
        <x:f>IF(C16="","",RANK.EQ(C16,$C$15:$C$264,1))</x:f>
      </x:c>
      <x:c r="H16" s="272" t="str">
        <x:f>IF(G16="","",IF(G16&lt;=$B$10,"TAIL",""))</x:f>
      </x:c>
      <x:c r="I16" s="254" t="str">
        <x:f>IF(C16="","",-C16)</x:f>
      </x:c>
      <x:c r="J16" s="191" t="str">
        <x:v>Enter scenario date and link final reval P&amp;L</x:v>
      </x:c>
      <x:c r="K16" s="191"/>
      <x:c r="L16" s="191"/>
      <x:c r="M16" s="191"/>
      <x:c r="N16" s="191"/>
      <x:c r="O16" s="191"/>
      <x:c r="P16" s="191"/>
      <x:c r="Q16" s="191"/>
      <x:c r="R16" s="191"/>
      <x:c r="S16" s="191"/>
      <x:c r="T16" s="191"/>
      <x:c r="U16" s="191"/>
      <x:c r="V16" s="191"/>
      <x:c r="W16" s="191"/>
      <x:c r="X16" s="191"/>
      <x:c r="Y16" s="191"/>
      <x:c r="Z16" s="191"/>
      <x:c r="AA16" s="191"/>
      <x:c r="AB16" s="191"/>
      <x:c r="AC16" s="191"/>
      <x:c r="AD16" s="191"/>
      <x:c r="AE16" s="191"/>
      <x:c r="AF16" s="191"/>
      <x:c r="AG16" s="191"/>
      <x:c r="AH16" s="191"/>
      <x:c r="AI16" s="191"/>
      <x:c r="AJ16" s="191"/>
      <x:c r="AK16" s="191"/>
    </x:row>
    <x:row r="17">
      <x:c r="A17" s="191" t="n">
        <x:v>3</x:v>
      </x:c>
      <x:c r="B17" s="274"/>
      <x:c r="C17" s="275"/>
      <x:c r="D17" s="275"/>
      <x:c r="E17" s="275"/>
      <x:c r="F17" s="275"/>
      <x:c r="G17" s="272" t="str">
        <x:f>IF(C17="","",RANK.EQ(C17,$C$15:$C$264,1))</x:f>
      </x:c>
      <x:c r="H17" s="272" t="str">
        <x:f>IF(G17="","",IF(G17&lt;=$B$10,"TAIL",""))</x:f>
      </x:c>
      <x:c r="I17" s="254" t="str">
        <x:f>IF(C17="","",-C17)</x:f>
      </x:c>
      <x:c r="J17" s="191" t="str">
        <x:v>Enter scenario date and link final reval P&amp;L</x:v>
      </x:c>
      <x:c r="K17" s="191"/>
      <x:c r="L17" s="191"/>
      <x:c r="M17" s="191"/>
      <x:c r="N17" s="191"/>
      <x:c r="O17" s="191"/>
      <x:c r="P17" s="191"/>
      <x:c r="Q17" s="191"/>
      <x:c r="R17" s="191"/>
      <x:c r="S17" s="191"/>
      <x:c r="T17" s="191"/>
      <x:c r="U17" s="191"/>
      <x:c r="V17" s="191"/>
      <x:c r="W17" s="191"/>
      <x:c r="X17" s="191"/>
      <x:c r="Y17" s="191"/>
      <x:c r="Z17" s="191"/>
      <x:c r="AA17" s="191"/>
      <x:c r="AB17" s="191"/>
      <x:c r="AC17" s="191"/>
      <x:c r="AD17" s="191"/>
      <x:c r="AE17" s="191"/>
      <x:c r="AF17" s="191"/>
      <x:c r="AG17" s="191"/>
      <x:c r="AH17" s="191"/>
      <x:c r="AI17" s="191"/>
      <x:c r="AJ17" s="191"/>
      <x:c r="AK17" s="191"/>
    </x:row>
    <x:row r="18">
      <x:c r="A18" s="191" t="n">
        <x:v>4</x:v>
      </x:c>
      <x:c r="B18" s="274"/>
      <x:c r="C18" s="275"/>
      <x:c r="D18" s="275"/>
      <x:c r="E18" s="275"/>
      <x:c r="F18" s="275"/>
      <x:c r="G18" s="272" t="str">
        <x:f>IF(C18="","",RANK.EQ(C18,$C$15:$C$264,1))</x:f>
      </x:c>
      <x:c r="H18" s="272" t="str">
        <x:f>IF(G18="","",IF(G18&lt;=$B$10,"TAIL",""))</x:f>
      </x:c>
      <x:c r="I18" s="254" t="str">
        <x:f>IF(C18="","",-C18)</x:f>
      </x:c>
      <x:c r="J18" s="191" t="str">
        <x:v>Enter scenario date and link final reval P&amp;L</x:v>
      </x:c>
      <x:c r="K18" s="191"/>
      <x:c r="L18" s="191"/>
      <x:c r="M18" s="191"/>
      <x:c r="N18" s="191"/>
      <x:c r="O18" s="191"/>
      <x:c r="P18" s="191"/>
      <x:c r="Q18" s="191"/>
      <x:c r="R18" s="191"/>
      <x:c r="S18" s="191"/>
      <x:c r="T18" s="191"/>
      <x:c r="U18" s="191"/>
      <x:c r="V18" s="191"/>
      <x:c r="W18" s="191"/>
      <x:c r="X18" s="191"/>
      <x:c r="Y18" s="191"/>
      <x:c r="Z18" s="191"/>
      <x:c r="AA18" s="191"/>
      <x:c r="AB18" s="191"/>
      <x:c r="AC18" s="191"/>
      <x:c r="AD18" s="191"/>
      <x:c r="AE18" s="191"/>
      <x:c r="AF18" s="191"/>
      <x:c r="AG18" s="191"/>
      <x:c r="AH18" s="191"/>
      <x:c r="AI18" s="191"/>
      <x:c r="AJ18" s="191"/>
      <x:c r="AK18" s="191"/>
    </x:row>
    <x:row r="19">
      <x:c r="A19" s="191" t="n">
        <x:v>5</x:v>
      </x:c>
      <x:c r="B19" s="274"/>
      <x:c r="C19" s="275"/>
      <x:c r="D19" s="275"/>
      <x:c r="E19" s="275"/>
      <x:c r="F19" s="275"/>
      <x:c r="G19" s="272" t="str">
        <x:f>IF(C19="","",RANK.EQ(C19,$C$15:$C$264,1))</x:f>
      </x:c>
      <x:c r="H19" s="272" t="str">
        <x:f>IF(G19="","",IF(G19&lt;=$B$10,"TAIL",""))</x:f>
      </x:c>
      <x:c r="I19" s="254" t="str">
        <x:f>IF(C19="","",-C19)</x:f>
      </x:c>
      <x:c r="J19" s="191" t="str">
        <x:v>Enter scenario date and link final reval P&amp;L</x:v>
      </x:c>
      <x:c r="K19" s="191"/>
      <x:c r="L19" s="191"/>
      <x:c r="M19" s="191"/>
      <x:c r="N19" s="191"/>
      <x:c r="O19" s="191"/>
      <x:c r="P19" s="191"/>
      <x:c r="Q19" s="191"/>
      <x:c r="R19" s="191"/>
      <x:c r="S19" s="191"/>
      <x:c r="T19" s="191"/>
      <x:c r="U19" s="191"/>
      <x:c r="V19" s="191"/>
      <x:c r="W19" s="191"/>
      <x:c r="X19" s="191"/>
      <x:c r="Y19" s="191"/>
      <x:c r="Z19" s="191"/>
      <x:c r="AA19" s="191"/>
      <x:c r="AB19" s="191"/>
      <x:c r="AC19" s="191"/>
      <x:c r="AD19" s="191"/>
      <x:c r="AE19" s="191"/>
      <x:c r="AF19" s="191"/>
      <x:c r="AG19" s="191"/>
      <x:c r="AH19" s="191"/>
      <x:c r="AI19" s="191"/>
      <x:c r="AJ19" s="191"/>
      <x:c r="AK19" s="191"/>
    </x:row>
    <x:row r="20">
      <x:c r="A20" s="191" t="n">
        <x:v>6</x:v>
      </x:c>
      <x:c r="B20" s="274"/>
      <x:c r="C20" s="275"/>
      <x:c r="D20" s="275"/>
      <x:c r="E20" s="275"/>
      <x:c r="F20" s="275"/>
      <x:c r="G20" s="272" t="str">
        <x:f>IF(C20="","",RANK.EQ(C20,$C$15:$C$264,1))</x:f>
      </x:c>
      <x:c r="H20" s="272" t="str">
        <x:f>IF(G20="","",IF(G20&lt;=$B$10,"TAIL",""))</x:f>
      </x:c>
      <x:c r="I20" s="254" t="str">
        <x:f>IF(C20="","",-C20)</x:f>
      </x:c>
      <x:c r="J20" s="191" t="str">
        <x:v>Enter scenario date and link final reval P&amp;L</x:v>
      </x:c>
      <x:c r="K20" s="191"/>
      <x:c r="L20" s="191"/>
      <x:c r="M20" s="191"/>
      <x:c r="N20" s="191"/>
      <x:c r="O20" s="191"/>
      <x:c r="P20" s="191"/>
      <x:c r="Q20" s="191"/>
      <x:c r="R20" s="191"/>
      <x:c r="S20" s="191"/>
      <x:c r="T20" s="191"/>
      <x:c r="U20" s="191"/>
      <x:c r="V20" s="191"/>
      <x:c r="W20" s="191"/>
      <x:c r="X20" s="191"/>
      <x:c r="Y20" s="191"/>
      <x:c r="Z20" s="191"/>
      <x:c r="AA20" s="191"/>
      <x:c r="AB20" s="191"/>
      <x:c r="AC20" s="191"/>
      <x:c r="AD20" s="191"/>
      <x:c r="AE20" s="191"/>
      <x:c r="AF20" s="191"/>
      <x:c r="AG20" s="191"/>
      <x:c r="AH20" s="191"/>
      <x:c r="AI20" s="191"/>
      <x:c r="AJ20" s="191"/>
      <x:c r="AK20" s="191"/>
    </x:row>
    <x:row r="21">
      <x:c r="A21" s="191" t="n">
        <x:v>7</x:v>
      </x:c>
      <x:c r="B21" s="274"/>
      <x:c r="C21" s="275"/>
      <x:c r="D21" s="275"/>
      <x:c r="E21" s="275"/>
      <x:c r="F21" s="275"/>
      <x:c r="G21" s="272" t="str">
        <x:f>IF(C21="","",RANK.EQ(C21,$C$15:$C$264,1))</x:f>
      </x:c>
      <x:c r="H21" s="272" t="str">
        <x:f>IF(G21="","",IF(G21&lt;=$B$10,"TAIL",""))</x:f>
      </x:c>
      <x:c r="I21" s="254" t="str">
        <x:f>IF(C21="","",-C21)</x:f>
      </x:c>
      <x:c r="J21" s="191" t="str">
        <x:v>Enter scenario date and link final reval P&amp;L</x:v>
      </x:c>
      <x:c r="K21" s="191"/>
      <x:c r="L21" s="191"/>
      <x:c r="M21" s="191"/>
      <x:c r="N21" s="191"/>
      <x:c r="O21" s="191"/>
      <x:c r="P21" s="191"/>
      <x:c r="Q21" s="191"/>
      <x:c r="R21" s="191"/>
      <x:c r="S21" s="191"/>
      <x:c r="T21" s="191"/>
      <x:c r="U21" s="191"/>
      <x:c r="V21" s="191"/>
      <x:c r="W21" s="191"/>
      <x:c r="X21" s="191"/>
      <x:c r="Y21" s="191"/>
      <x:c r="Z21" s="191"/>
      <x:c r="AA21" s="191"/>
      <x:c r="AB21" s="191"/>
      <x:c r="AC21" s="191"/>
      <x:c r="AD21" s="191"/>
      <x:c r="AE21" s="191"/>
      <x:c r="AF21" s="191"/>
      <x:c r="AG21" s="191"/>
      <x:c r="AH21" s="191"/>
      <x:c r="AI21" s="191"/>
      <x:c r="AJ21" s="191"/>
      <x:c r="AK21" s="191"/>
    </x:row>
    <x:row r="22">
      <x:c r="A22" s="191" t="n">
        <x:v>8</x:v>
      </x:c>
      <x:c r="B22" s="274"/>
      <x:c r="C22" s="275"/>
      <x:c r="D22" s="275"/>
      <x:c r="E22" s="275"/>
      <x:c r="F22" s="275"/>
      <x:c r="G22" s="272" t="str">
        <x:f>IF(C22="","",RANK.EQ(C22,$C$15:$C$264,1))</x:f>
      </x:c>
      <x:c r="H22" s="272" t="str">
        <x:f>IF(G22="","",IF(G22&lt;=$B$10,"TAIL",""))</x:f>
      </x:c>
      <x:c r="I22" s="254" t="str">
        <x:f>IF(C22="","",-C22)</x:f>
      </x:c>
      <x:c r="J22" s="191" t="str">
        <x:v>Enter scenario date and link final reval P&amp;L</x:v>
      </x:c>
      <x:c r="K22" s="191"/>
      <x:c r="L22" s="191"/>
      <x:c r="M22" s="191"/>
      <x:c r="N22" s="191"/>
      <x:c r="O22" s="191"/>
      <x:c r="P22" s="191"/>
      <x:c r="Q22" s="191"/>
      <x:c r="R22" s="191"/>
      <x:c r="S22" s="191"/>
      <x:c r="T22" s="191"/>
      <x:c r="U22" s="191"/>
      <x:c r="V22" s="191"/>
      <x:c r="W22" s="191"/>
      <x:c r="X22" s="191"/>
      <x:c r="Y22" s="191"/>
      <x:c r="Z22" s="191"/>
      <x:c r="AA22" s="191"/>
      <x:c r="AB22" s="191"/>
      <x:c r="AC22" s="191"/>
      <x:c r="AD22" s="191"/>
      <x:c r="AE22" s="191"/>
      <x:c r="AF22" s="191"/>
      <x:c r="AG22" s="191"/>
      <x:c r="AH22" s="191"/>
      <x:c r="AI22" s="191"/>
      <x:c r="AJ22" s="191"/>
      <x:c r="AK22" s="191"/>
    </x:row>
    <x:row r="23">
      <x:c r="A23" s="191" t="n">
        <x:v>9</x:v>
      </x:c>
      <x:c r="B23" s="274"/>
      <x:c r="C23" s="275"/>
      <x:c r="D23" s="275"/>
      <x:c r="E23" s="275"/>
      <x:c r="F23" s="275"/>
      <x:c r="G23" s="272" t="str">
        <x:f>IF(C23="","",RANK.EQ(C23,$C$15:$C$264,1))</x:f>
      </x:c>
      <x:c r="H23" s="272" t="str">
        <x:f>IF(G23="","",IF(G23&lt;=$B$10,"TAIL",""))</x:f>
      </x:c>
      <x:c r="I23" s="254" t="str">
        <x:f>IF(C23="","",-C23)</x:f>
      </x:c>
      <x:c r="J23" s="191" t="str">
        <x:v>Enter scenario date and link final reval P&amp;L</x:v>
      </x:c>
      <x:c r="K23" s="191"/>
      <x:c r="L23" s="191"/>
      <x:c r="M23" s="191"/>
      <x:c r="N23" s="191"/>
      <x:c r="O23" s="191"/>
      <x:c r="P23" s="191"/>
      <x:c r="Q23" s="191"/>
      <x:c r="R23" s="191"/>
      <x:c r="S23" s="191"/>
      <x:c r="T23" s="191"/>
      <x:c r="U23" s="191"/>
      <x:c r="V23" s="191"/>
      <x:c r="W23" s="191"/>
      <x:c r="X23" s="191"/>
      <x:c r="Y23" s="191"/>
      <x:c r="Z23" s="191"/>
      <x:c r="AA23" s="191"/>
      <x:c r="AB23" s="191"/>
      <x:c r="AC23" s="191"/>
      <x:c r="AD23" s="191"/>
      <x:c r="AE23" s="191"/>
      <x:c r="AF23" s="191"/>
      <x:c r="AG23" s="191"/>
      <x:c r="AH23" s="191"/>
      <x:c r="AI23" s="191"/>
      <x:c r="AJ23" s="191"/>
      <x:c r="AK23" s="191"/>
    </x:row>
    <x:row r="24">
      <x:c r="A24" s="191" t="n">
        <x:v>10</x:v>
      </x:c>
      <x:c r="B24" s="274"/>
      <x:c r="C24" s="275"/>
      <x:c r="D24" s="275"/>
      <x:c r="E24" s="275"/>
      <x:c r="F24" s="275"/>
      <x:c r="G24" s="272" t="str">
        <x:f>IF(C24="","",RANK.EQ(C24,$C$15:$C$264,1))</x:f>
      </x:c>
      <x:c r="H24" s="272" t="str">
        <x:f>IF(G24="","",IF(G24&lt;=$B$10,"TAIL",""))</x:f>
      </x:c>
      <x:c r="I24" s="254" t="str">
        <x:f>IF(C24="","",-C24)</x:f>
      </x:c>
      <x:c r="J24" s="191" t="str">
        <x:v>Enter scenario date and link final reval P&amp;L</x:v>
      </x:c>
      <x:c r="K24" s="191"/>
      <x:c r="L24" s="191"/>
      <x:c r="M24" s="191"/>
      <x:c r="N24" s="191"/>
      <x:c r="O24" s="191"/>
      <x:c r="P24" s="191"/>
      <x:c r="Q24" s="191"/>
      <x:c r="R24" s="191"/>
      <x:c r="S24" s="191"/>
      <x:c r="T24" s="191"/>
      <x:c r="U24" s="191"/>
      <x:c r="V24" s="191"/>
      <x:c r="W24" s="191"/>
      <x:c r="X24" s="191"/>
      <x:c r="Y24" s="191"/>
      <x:c r="Z24" s="191"/>
      <x:c r="AA24" s="191"/>
      <x:c r="AB24" s="191"/>
      <x:c r="AC24" s="191"/>
      <x:c r="AD24" s="191"/>
      <x:c r="AE24" s="191"/>
      <x:c r="AF24" s="191"/>
      <x:c r="AG24" s="191"/>
      <x:c r="AH24" s="191"/>
      <x:c r="AI24" s="191"/>
      <x:c r="AJ24" s="191"/>
      <x:c r="AK24" s="191"/>
    </x:row>
    <x:row r="25">
      <x:c r="A25" s="191" t="n">
        <x:v>11</x:v>
      </x:c>
      <x:c r="B25" s="274"/>
      <x:c r="C25" s="275"/>
      <x:c r="D25" s="275"/>
      <x:c r="E25" s="275"/>
      <x:c r="F25" s="275"/>
      <x:c r="G25" s="272" t="str">
        <x:f>IF(C25="","",RANK.EQ(C25,$C$15:$C$264,1))</x:f>
      </x:c>
      <x:c r="H25" s="272" t="str">
        <x:f>IF(G25="","",IF(G25&lt;=$B$10,"TAIL",""))</x:f>
      </x:c>
      <x:c r="I25" s="254" t="str">
        <x:f>IF(C25="","",-C25)</x:f>
      </x:c>
      <x:c r="J25" s="191" t="str">
        <x:v>Enter scenario date and link final reval P&amp;L</x:v>
      </x:c>
      <x:c r="K25" s="191"/>
      <x:c r="L25" s="191"/>
      <x:c r="M25" s="191"/>
      <x:c r="N25" s="191"/>
      <x:c r="O25" s="191"/>
      <x:c r="P25" s="191"/>
      <x:c r="Q25" s="191"/>
      <x:c r="R25" s="191"/>
      <x:c r="S25" s="191"/>
      <x:c r="T25" s="191"/>
      <x:c r="U25" s="191"/>
      <x:c r="V25" s="191"/>
      <x:c r="W25" s="191"/>
      <x:c r="X25" s="191"/>
      <x:c r="Y25" s="191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</x:row>
    <x:row r="26">
      <x:c r="A26" s="191" t="n">
        <x:v>12</x:v>
      </x:c>
      <x:c r="B26" s="274"/>
      <x:c r="C26" s="275"/>
      <x:c r="D26" s="275"/>
      <x:c r="E26" s="275"/>
      <x:c r="F26" s="275"/>
      <x:c r="G26" s="272" t="str">
        <x:f>IF(C26="","",RANK.EQ(C26,$C$15:$C$264,1))</x:f>
      </x:c>
      <x:c r="H26" s="272" t="str">
        <x:f>IF(G26="","",IF(G26&lt;=$B$10,"TAIL",""))</x:f>
      </x:c>
      <x:c r="I26" s="254" t="str">
        <x:f>IF(C26="","",-C26)</x:f>
      </x:c>
      <x:c r="J26" s="191" t="str">
        <x:v>Enter scenario date and link final reval P&amp;L</x:v>
      </x:c>
      <x:c r="K26" s="191"/>
      <x:c r="L26" s="191"/>
      <x:c r="M26" s="191"/>
      <x:c r="N26" s="191"/>
      <x:c r="O26" s="191"/>
      <x:c r="P26" s="191"/>
      <x:c r="Q26" s="191"/>
      <x:c r="R26" s="191"/>
      <x:c r="S26" s="191"/>
      <x:c r="T26" s="191"/>
      <x:c r="U26" s="191"/>
      <x:c r="V26" s="191"/>
      <x:c r="W26" s="191"/>
      <x:c r="X26" s="191"/>
      <x:c r="Y26" s="191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</x:row>
    <x:row r="27">
      <x:c r="A27" s="191" t="n">
        <x:v>13</x:v>
      </x:c>
      <x:c r="B27" s="274"/>
      <x:c r="C27" s="275"/>
      <x:c r="D27" s="275"/>
      <x:c r="E27" s="275"/>
      <x:c r="F27" s="275"/>
      <x:c r="G27" s="272" t="str">
        <x:f>IF(C27="","",RANK.EQ(C27,$C$15:$C$264,1))</x:f>
      </x:c>
      <x:c r="H27" s="272" t="str">
        <x:f>IF(G27="","",IF(G27&lt;=$B$10,"TAIL",""))</x:f>
      </x:c>
      <x:c r="I27" s="254" t="str">
        <x:f>IF(C27="","",-C27)</x:f>
      </x:c>
      <x:c r="J27" s="191" t="str">
        <x:v>Enter scenario date and link final reval P&amp;L</x:v>
      </x:c>
      <x:c r="K27" s="191"/>
      <x:c r="L27" s="191"/>
      <x:c r="M27" s="191"/>
      <x:c r="N27" s="191"/>
      <x:c r="O27" s="191"/>
      <x:c r="P27" s="191"/>
      <x:c r="Q27" s="191"/>
      <x:c r="R27" s="191"/>
      <x:c r="S27" s="191"/>
      <x:c r="T27" s="191"/>
      <x:c r="U27" s="191"/>
      <x:c r="V27" s="191"/>
      <x:c r="W27" s="191"/>
      <x:c r="X27" s="191"/>
      <x:c r="Y27" s="191"/>
      <x:c r="Z27" s="191"/>
      <x:c r="AA27" s="191"/>
      <x:c r="AB27" s="191"/>
      <x:c r="AC27" s="191"/>
      <x:c r="AD27" s="191"/>
      <x:c r="AE27" s="191"/>
      <x:c r="AF27" s="191"/>
      <x:c r="AG27" s="191"/>
      <x:c r="AH27" s="191"/>
      <x:c r="AI27" s="191"/>
      <x:c r="AJ27" s="191"/>
      <x:c r="AK27" s="191"/>
    </x:row>
    <x:row r="28">
      <x:c r="A28" s="191" t="n">
        <x:v>14</x:v>
      </x:c>
      <x:c r="B28" s="274"/>
      <x:c r="C28" s="275"/>
      <x:c r="D28" s="275"/>
      <x:c r="E28" s="275"/>
      <x:c r="F28" s="275"/>
      <x:c r="G28" s="272" t="str">
        <x:f>IF(C28="","",RANK.EQ(C28,$C$15:$C$264,1))</x:f>
      </x:c>
      <x:c r="H28" s="272" t="str">
        <x:f>IF(G28="","",IF(G28&lt;=$B$10,"TAIL",""))</x:f>
      </x:c>
      <x:c r="I28" s="254" t="str">
        <x:f>IF(C28="","",-C28)</x:f>
      </x:c>
      <x:c r="J28" s="191" t="str">
        <x:v>Enter scenario date and link final reval P&amp;L</x:v>
      </x:c>
      <x:c r="K28" s="191"/>
      <x:c r="L28" s="191"/>
      <x:c r="M28" s="191"/>
      <x:c r="N28" s="191"/>
      <x:c r="O28" s="191"/>
      <x:c r="P28" s="191"/>
      <x:c r="Q28" s="191"/>
      <x:c r="R28" s="191"/>
      <x:c r="S28" s="191"/>
      <x:c r="T28" s="191"/>
      <x:c r="U28" s="191"/>
      <x:c r="V28" s="191"/>
      <x:c r="W28" s="191"/>
      <x:c r="X28" s="191"/>
      <x:c r="Y28" s="191"/>
      <x:c r="Z28" s="191"/>
      <x:c r="AA28" s="191"/>
      <x:c r="AB28" s="191"/>
      <x:c r="AC28" s="191"/>
      <x:c r="AD28" s="191"/>
      <x:c r="AE28" s="191"/>
      <x:c r="AF28" s="191"/>
      <x:c r="AG28" s="191"/>
      <x:c r="AH28" s="191"/>
      <x:c r="AI28" s="191"/>
      <x:c r="AJ28" s="191"/>
      <x:c r="AK28" s="191"/>
    </x:row>
    <x:row r="29">
      <x:c r="A29" s="191" t="n">
        <x:v>15</x:v>
      </x:c>
      <x:c r="B29" s="274"/>
      <x:c r="C29" s="275"/>
      <x:c r="D29" s="275"/>
      <x:c r="E29" s="275"/>
      <x:c r="F29" s="275"/>
      <x:c r="G29" s="272" t="str">
        <x:f>IF(C29="","",RANK.EQ(C29,$C$15:$C$264,1))</x:f>
      </x:c>
      <x:c r="H29" s="272" t="str">
        <x:f>IF(G29="","",IF(G29&lt;=$B$10,"TAIL",""))</x:f>
      </x:c>
      <x:c r="I29" s="254" t="str">
        <x:f>IF(C29="","",-C29)</x:f>
      </x:c>
      <x:c r="J29" s="191" t="str">
        <x:v>Enter scenario date and link final reval P&amp;L</x:v>
      </x:c>
      <x:c r="K29" s="191"/>
      <x:c r="L29" s="191"/>
      <x:c r="M29" s="191"/>
      <x:c r="N29" s="191"/>
      <x:c r="O29" s="191"/>
      <x:c r="P29" s="191"/>
      <x:c r="Q29" s="191"/>
      <x:c r="R29" s="191"/>
      <x:c r="S29" s="191"/>
      <x:c r="T29" s="191"/>
      <x:c r="U29" s="191"/>
      <x:c r="V29" s="191"/>
      <x:c r="W29" s="191"/>
      <x:c r="X29" s="191"/>
      <x:c r="Y29" s="191"/>
      <x:c r="Z29" s="191"/>
      <x:c r="AA29" s="191"/>
      <x:c r="AB29" s="191"/>
      <x:c r="AC29" s="191"/>
      <x:c r="AD29" s="191"/>
      <x:c r="AE29" s="191"/>
      <x:c r="AF29" s="191"/>
      <x:c r="AG29" s="191"/>
      <x:c r="AH29" s="191"/>
      <x:c r="AI29" s="191"/>
      <x:c r="AJ29" s="191"/>
      <x:c r="AK29" s="191"/>
    </x:row>
    <x:row r="30">
      <x:c r="A30" s="191" t="n">
        <x:v>16</x:v>
      </x:c>
      <x:c r="B30" s="274"/>
      <x:c r="C30" s="275"/>
      <x:c r="D30" s="275"/>
      <x:c r="E30" s="275"/>
      <x:c r="F30" s="275"/>
      <x:c r="G30" s="272" t="str">
        <x:f>IF(C30="","",RANK.EQ(C30,$C$15:$C$264,1))</x:f>
      </x:c>
      <x:c r="H30" s="272" t="str">
        <x:f>IF(G30="","",IF(G30&lt;=$B$10,"TAIL",""))</x:f>
      </x:c>
      <x:c r="I30" s="254" t="str">
        <x:f>IF(C30="","",-C30)</x:f>
      </x:c>
      <x:c r="J30" s="191" t="str">
        <x:v>Enter scenario date and link final reval P&amp;L</x:v>
      </x:c>
      <x:c r="K30" s="191"/>
      <x:c r="L30" s="191"/>
      <x:c r="M30" s="191"/>
      <x:c r="N30" s="191"/>
      <x:c r="O30" s="191"/>
      <x:c r="P30" s="191"/>
      <x:c r="Q30" s="191"/>
      <x:c r="R30" s="191"/>
      <x:c r="S30" s="191"/>
      <x:c r="T30" s="191"/>
      <x:c r="U30" s="191"/>
      <x:c r="V30" s="191"/>
      <x:c r="W30" s="191"/>
      <x:c r="X30" s="191"/>
      <x:c r="Y30" s="191"/>
      <x:c r="Z30" s="191"/>
      <x:c r="AA30" s="191"/>
      <x:c r="AB30" s="191"/>
      <x:c r="AC30" s="191"/>
      <x:c r="AD30" s="191"/>
      <x:c r="AE30" s="191"/>
      <x:c r="AF30" s="191"/>
      <x:c r="AG30" s="191"/>
      <x:c r="AH30" s="191"/>
      <x:c r="AI30" s="191"/>
      <x:c r="AJ30" s="191"/>
      <x:c r="AK30" s="191"/>
    </x:row>
    <x:row r="31">
      <x:c r="A31" s="191" t="n">
        <x:v>17</x:v>
      </x:c>
      <x:c r="B31" s="274"/>
      <x:c r="C31" s="275"/>
      <x:c r="D31" s="275"/>
      <x:c r="E31" s="275"/>
      <x:c r="F31" s="275"/>
      <x:c r="G31" s="272" t="str">
        <x:f>IF(C31="","",RANK.EQ(C31,$C$15:$C$264,1))</x:f>
      </x:c>
      <x:c r="H31" s="272" t="str">
        <x:f>IF(G31="","",IF(G31&lt;=$B$10,"TAIL",""))</x:f>
      </x:c>
      <x:c r="I31" s="254" t="str">
        <x:f>IF(C31="","",-C31)</x:f>
      </x:c>
      <x:c r="J31" s="191" t="str">
        <x:v>Enter scenario date and link final reval P&amp;L</x:v>
      </x:c>
      <x:c r="K31" s="191"/>
      <x:c r="L31" s="191"/>
      <x:c r="M31" s="191"/>
      <x:c r="N31" s="191"/>
      <x:c r="O31" s="191"/>
      <x:c r="P31" s="191"/>
      <x:c r="Q31" s="191"/>
      <x:c r="R31" s="191"/>
      <x:c r="S31" s="191"/>
      <x:c r="T31" s="191"/>
      <x:c r="U31" s="191"/>
      <x:c r="V31" s="191"/>
      <x:c r="W31" s="191"/>
      <x:c r="X31" s="191"/>
      <x:c r="Y31" s="191"/>
      <x:c r="Z31" s="191"/>
      <x:c r="AA31" s="191"/>
      <x:c r="AB31" s="191"/>
      <x:c r="AC31" s="191"/>
      <x:c r="AD31" s="191"/>
      <x:c r="AE31" s="191"/>
      <x:c r="AF31" s="191"/>
      <x:c r="AG31" s="191"/>
      <x:c r="AH31" s="191"/>
      <x:c r="AI31" s="191"/>
      <x:c r="AJ31" s="191"/>
      <x:c r="AK31" s="191"/>
    </x:row>
    <x:row r="32">
      <x:c r="A32" s="191" t="n">
        <x:v>18</x:v>
      </x:c>
      <x:c r="B32" s="274"/>
      <x:c r="C32" s="275"/>
      <x:c r="D32" s="275"/>
      <x:c r="E32" s="275"/>
      <x:c r="F32" s="275"/>
      <x:c r="G32" s="272" t="str">
        <x:f>IF(C32="","",RANK.EQ(C32,$C$15:$C$264,1))</x:f>
      </x:c>
      <x:c r="H32" s="272" t="str">
        <x:f>IF(G32="","",IF(G32&lt;=$B$10,"TAIL",""))</x:f>
      </x:c>
      <x:c r="I32" s="254" t="str">
        <x:f>IF(C32="","",-C32)</x:f>
      </x:c>
      <x:c r="J32" s="191" t="str">
        <x:v>Enter scenario date and link final reval P&amp;L</x:v>
      </x:c>
      <x:c r="K32" s="191"/>
      <x:c r="L32" s="191"/>
      <x:c r="M32" s="191"/>
      <x:c r="N32" s="191"/>
      <x:c r="O32" s="191"/>
      <x:c r="P32" s="191"/>
      <x:c r="Q32" s="191"/>
      <x:c r="R32" s="191"/>
      <x:c r="S32" s="191"/>
      <x:c r="T32" s="191"/>
      <x:c r="U32" s="191"/>
      <x:c r="V32" s="191"/>
      <x:c r="W32" s="191"/>
      <x:c r="X32" s="191"/>
      <x:c r="Y32" s="191"/>
      <x:c r="Z32" s="191"/>
      <x:c r="AA32" s="191"/>
      <x:c r="AB32" s="191"/>
      <x:c r="AC32" s="191"/>
      <x:c r="AD32" s="191"/>
      <x:c r="AE32" s="191"/>
      <x:c r="AF32" s="191"/>
      <x:c r="AG32" s="191"/>
      <x:c r="AH32" s="191"/>
      <x:c r="AI32" s="191"/>
      <x:c r="AJ32" s="191"/>
      <x:c r="AK32" s="191"/>
    </x:row>
    <x:row r="33">
      <x:c r="A33" s="191" t="n">
        <x:v>19</x:v>
      </x:c>
      <x:c r="B33" s="274"/>
      <x:c r="C33" s="275"/>
      <x:c r="D33" s="275"/>
      <x:c r="E33" s="275"/>
      <x:c r="F33" s="275"/>
      <x:c r="G33" s="272" t="str">
        <x:f>IF(C33="","",RANK.EQ(C33,$C$15:$C$264,1))</x:f>
      </x:c>
      <x:c r="H33" s="272" t="str">
        <x:f>IF(G33="","",IF(G33&lt;=$B$10,"TAIL",""))</x:f>
      </x:c>
      <x:c r="I33" s="254" t="str">
        <x:f>IF(C33="","",-C33)</x:f>
      </x:c>
      <x:c r="J33" s="191" t="str">
        <x:v>Enter scenario date and link final reval P&amp;L</x:v>
      </x:c>
      <x:c r="K33" s="191"/>
      <x:c r="L33" s="191"/>
      <x:c r="M33" s="191"/>
      <x:c r="N33" s="191"/>
      <x:c r="O33" s="191"/>
      <x:c r="P33" s="191"/>
      <x:c r="Q33" s="191"/>
      <x:c r="R33" s="191"/>
      <x:c r="S33" s="191"/>
      <x:c r="T33" s="191"/>
      <x:c r="U33" s="191"/>
      <x:c r="V33" s="191"/>
      <x:c r="W33" s="191"/>
      <x:c r="X33" s="191"/>
      <x:c r="Y33" s="191"/>
      <x:c r="Z33" s="191"/>
      <x:c r="AA33" s="191"/>
      <x:c r="AB33" s="191"/>
      <x:c r="AC33" s="191"/>
      <x:c r="AD33" s="191"/>
      <x:c r="AE33" s="191"/>
      <x:c r="AF33" s="191"/>
      <x:c r="AG33" s="191"/>
      <x:c r="AH33" s="191"/>
      <x:c r="AI33" s="191"/>
      <x:c r="AJ33" s="191"/>
      <x:c r="AK33" s="191"/>
    </x:row>
    <x:row r="34">
      <x:c r="A34" s="191" t="n">
        <x:v>20</x:v>
      </x:c>
      <x:c r="B34" s="274"/>
      <x:c r="C34" s="275"/>
      <x:c r="D34" s="275"/>
      <x:c r="E34" s="275"/>
      <x:c r="F34" s="275"/>
      <x:c r="G34" s="272" t="str">
        <x:f>IF(C34="","",RANK.EQ(C34,$C$15:$C$264,1))</x:f>
      </x:c>
      <x:c r="H34" s="272" t="str">
        <x:f>IF(G34="","",IF(G34&lt;=$B$10,"TAIL",""))</x:f>
      </x:c>
      <x:c r="I34" s="254" t="str">
        <x:f>IF(C34="","",-C34)</x:f>
      </x:c>
      <x:c r="J34" s="191" t="str">
        <x:v>Enter scenario date and link final reval P&amp;L</x:v>
      </x:c>
      <x:c r="K34" s="191"/>
      <x:c r="L34" s="191"/>
      <x:c r="M34" s="191"/>
      <x:c r="N34" s="191"/>
      <x:c r="O34" s="191"/>
      <x:c r="P34" s="191"/>
      <x:c r="Q34" s="191"/>
      <x:c r="R34" s="191"/>
      <x:c r="S34" s="191"/>
      <x:c r="T34" s="191"/>
      <x:c r="U34" s="191"/>
      <x:c r="V34" s="191"/>
      <x:c r="W34" s="191"/>
      <x:c r="X34" s="191"/>
      <x:c r="Y34" s="191"/>
      <x:c r="Z34" s="191"/>
      <x:c r="AA34" s="191"/>
      <x:c r="AB34" s="191"/>
      <x:c r="AC34" s="191"/>
      <x:c r="AD34" s="191"/>
      <x:c r="AE34" s="191"/>
      <x:c r="AF34" s="191"/>
      <x:c r="AG34" s="191"/>
      <x:c r="AH34" s="191"/>
      <x:c r="AI34" s="191"/>
      <x:c r="AJ34" s="191"/>
      <x:c r="AK34" s="191"/>
    </x:row>
    <x:row r="35">
      <x:c r="A35" s="191" t="n">
        <x:v>21</x:v>
      </x:c>
      <x:c r="B35" s="274"/>
      <x:c r="C35" s="275"/>
      <x:c r="D35" s="275"/>
      <x:c r="E35" s="275"/>
      <x:c r="F35" s="275"/>
      <x:c r="G35" s="272" t="str">
        <x:f>IF(C35="","",RANK.EQ(C35,$C$15:$C$264,1))</x:f>
      </x:c>
      <x:c r="H35" s="272" t="str">
        <x:f>IF(G35="","",IF(G35&lt;=$B$10,"TAIL",""))</x:f>
      </x:c>
      <x:c r="I35" s="254" t="str">
        <x:f>IF(C35="","",-C35)</x:f>
      </x:c>
      <x:c r="J35" s="191" t="str">
        <x:v>Enter scenario date and link final reval P&amp;L</x:v>
      </x:c>
      <x:c r="K35" s="191"/>
      <x:c r="L35" s="191"/>
      <x:c r="M35" s="191"/>
      <x:c r="N35" s="191"/>
      <x:c r="O35" s="191"/>
      <x:c r="P35" s="191"/>
      <x:c r="Q35" s="191"/>
      <x:c r="R35" s="191"/>
      <x:c r="S35" s="191"/>
      <x:c r="T35" s="191"/>
      <x:c r="U35" s="191"/>
      <x:c r="V35" s="191"/>
      <x:c r="W35" s="191"/>
      <x:c r="X35" s="191"/>
      <x:c r="Y35" s="191"/>
      <x:c r="Z35" s="191"/>
      <x:c r="AA35" s="191"/>
      <x:c r="AB35" s="191"/>
      <x:c r="AC35" s="191"/>
      <x:c r="AD35" s="191"/>
      <x:c r="AE35" s="191"/>
      <x:c r="AF35" s="191"/>
      <x:c r="AG35" s="191"/>
      <x:c r="AH35" s="191"/>
      <x:c r="AI35" s="191"/>
      <x:c r="AJ35" s="191"/>
      <x:c r="AK35" s="191"/>
    </x:row>
    <x:row r="36">
      <x:c r="A36" s="191" t="n">
        <x:v>22</x:v>
      </x:c>
      <x:c r="B36" s="274"/>
      <x:c r="C36" s="275"/>
      <x:c r="D36" s="275"/>
      <x:c r="E36" s="275"/>
      <x:c r="F36" s="275"/>
      <x:c r="G36" s="272" t="str">
        <x:f>IF(C36="","",RANK.EQ(C36,$C$15:$C$264,1))</x:f>
      </x:c>
      <x:c r="H36" s="272" t="str">
        <x:f>IF(G36="","",IF(G36&lt;=$B$10,"TAIL",""))</x:f>
      </x:c>
      <x:c r="I36" s="254" t="str">
        <x:f>IF(C36="","",-C36)</x:f>
      </x:c>
      <x:c r="J36" s="191" t="str">
        <x:v>Enter scenario date and link final reval P&amp;L</x:v>
      </x:c>
      <x:c r="K36" s="191"/>
      <x:c r="L36" s="191"/>
      <x:c r="M36" s="191"/>
      <x:c r="N36" s="191"/>
      <x:c r="O36" s="191"/>
      <x:c r="P36" s="191"/>
      <x:c r="Q36" s="191"/>
      <x:c r="R36" s="191"/>
      <x:c r="S36" s="191"/>
      <x:c r="T36" s="191"/>
      <x:c r="U36" s="191"/>
      <x:c r="V36" s="191"/>
      <x:c r="W36" s="191"/>
      <x:c r="X36" s="191"/>
      <x:c r="Y36" s="191"/>
      <x:c r="Z36" s="191"/>
      <x:c r="AA36" s="191"/>
      <x:c r="AB36" s="191"/>
      <x:c r="AC36" s="191"/>
      <x:c r="AD36" s="191"/>
      <x:c r="AE36" s="191"/>
      <x:c r="AF36" s="191"/>
      <x:c r="AG36" s="191"/>
      <x:c r="AH36" s="191"/>
      <x:c r="AI36" s="191"/>
      <x:c r="AJ36" s="191"/>
      <x:c r="AK36" s="191"/>
    </x:row>
    <x:row r="37">
      <x:c r="A37" s="191" t="n">
        <x:v>23</x:v>
      </x:c>
      <x:c r="B37" s="274"/>
      <x:c r="C37" s="275"/>
      <x:c r="D37" s="275"/>
      <x:c r="E37" s="275"/>
      <x:c r="F37" s="275"/>
      <x:c r="G37" s="272" t="str">
        <x:f>IF(C37="","",RANK.EQ(C37,$C$15:$C$264,1))</x:f>
      </x:c>
      <x:c r="H37" s="272" t="str">
        <x:f>IF(G37="","",IF(G37&lt;=$B$10,"TAIL",""))</x:f>
      </x:c>
      <x:c r="I37" s="254" t="str">
        <x:f>IF(C37="","",-C37)</x:f>
      </x:c>
      <x:c r="J37" s="191" t="str">
        <x:v>Enter scenario date and link final reval P&amp;L</x:v>
      </x:c>
      <x:c r="K37" s="191"/>
      <x:c r="L37" s="191"/>
      <x:c r="M37" s="191"/>
      <x:c r="N37" s="191"/>
      <x:c r="O37" s="191"/>
      <x:c r="P37" s="191"/>
      <x:c r="Q37" s="191"/>
      <x:c r="R37" s="191"/>
      <x:c r="S37" s="191"/>
      <x:c r="T37" s="191"/>
      <x:c r="U37" s="191"/>
      <x:c r="V37" s="191"/>
      <x:c r="W37" s="191"/>
      <x:c r="X37" s="191"/>
      <x:c r="Y37" s="191"/>
      <x:c r="Z37" s="191"/>
      <x:c r="AA37" s="191"/>
      <x:c r="AB37" s="191"/>
      <x:c r="AC37" s="191"/>
      <x:c r="AD37" s="191"/>
      <x:c r="AE37" s="191"/>
      <x:c r="AF37" s="191"/>
      <x:c r="AG37" s="191"/>
      <x:c r="AH37" s="191"/>
      <x:c r="AI37" s="191"/>
      <x:c r="AJ37" s="191"/>
      <x:c r="AK37" s="191"/>
    </x:row>
    <x:row r="38">
      <x:c r="A38" s="191" t="n">
        <x:v>24</x:v>
      </x:c>
      <x:c r="B38" s="274"/>
      <x:c r="C38" s="275"/>
      <x:c r="D38" s="275"/>
      <x:c r="E38" s="275"/>
      <x:c r="F38" s="275"/>
      <x:c r="G38" s="272" t="str">
        <x:f>IF(C38="","",RANK.EQ(C38,$C$15:$C$264,1))</x:f>
      </x:c>
      <x:c r="H38" s="272" t="str">
        <x:f>IF(G38="","",IF(G38&lt;=$B$10,"TAIL",""))</x:f>
      </x:c>
      <x:c r="I38" s="254" t="str">
        <x:f>IF(C38="","",-C38)</x:f>
      </x:c>
      <x:c r="J38" s="191" t="str">
        <x:v>Enter scenario date and link final reval P&amp;L</x:v>
      </x:c>
      <x:c r="K38" s="191"/>
      <x:c r="L38" s="191"/>
      <x:c r="M38" s="191"/>
      <x:c r="N38" s="191"/>
      <x:c r="O38" s="191"/>
      <x:c r="P38" s="191"/>
      <x:c r="Q38" s="191"/>
      <x:c r="R38" s="191"/>
      <x:c r="S38" s="191"/>
      <x:c r="T38" s="191"/>
      <x:c r="U38" s="191"/>
      <x:c r="V38" s="191"/>
      <x:c r="W38" s="191"/>
      <x:c r="X38" s="191"/>
      <x:c r="Y38" s="191"/>
      <x:c r="Z38" s="191"/>
      <x:c r="AA38" s="191"/>
      <x:c r="AB38" s="191"/>
      <x:c r="AC38" s="191"/>
      <x:c r="AD38" s="191"/>
      <x:c r="AE38" s="191"/>
      <x:c r="AF38" s="191"/>
      <x:c r="AG38" s="191"/>
      <x:c r="AH38" s="191"/>
      <x:c r="AI38" s="191"/>
      <x:c r="AJ38" s="191"/>
      <x:c r="AK38" s="191"/>
    </x:row>
    <x:row r="39">
      <x:c r="A39" s="191" t="n">
        <x:v>25</x:v>
      </x:c>
      <x:c r="B39" s="274"/>
      <x:c r="C39" s="275"/>
      <x:c r="D39" s="275"/>
      <x:c r="E39" s="275"/>
      <x:c r="F39" s="275"/>
      <x:c r="G39" s="272" t="str">
        <x:f>IF(C39="","",RANK.EQ(C39,$C$15:$C$264,1))</x:f>
      </x:c>
      <x:c r="H39" s="272" t="str">
        <x:f>IF(G39="","",IF(G39&lt;=$B$10,"TAIL",""))</x:f>
      </x:c>
      <x:c r="I39" s="254" t="str">
        <x:f>IF(C39="","",-C39)</x:f>
      </x:c>
      <x:c r="J39" s="191" t="str">
        <x:v>Enter scenario date and link final reval P&amp;L</x:v>
      </x:c>
      <x:c r="K39" s="191"/>
      <x:c r="L39" s="191"/>
      <x:c r="M39" s="191"/>
      <x:c r="N39" s="191"/>
      <x:c r="O39" s="191"/>
      <x:c r="P39" s="191"/>
      <x:c r="Q39" s="191"/>
      <x:c r="R39" s="191"/>
      <x:c r="S39" s="191"/>
      <x:c r="T39" s="191"/>
      <x:c r="U39" s="191"/>
      <x:c r="V39" s="191"/>
      <x:c r="W39" s="191"/>
      <x:c r="X39" s="191"/>
      <x:c r="Y39" s="191"/>
      <x:c r="Z39" s="191"/>
      <x:c r="AA39" s="191"/>
      <x:c r="AB39" s="191"/>
      <x:c r="AC39" s="191"/>
      <x:c r="AD39" s="191"/>
      <x:c r="AE39" s="191"/>
      <x:c r="AF39" s="191"/>
      <x:c r="AG39" s="191"/>
      <x:c r="AH39" s="191"/>
      <x:c r="AI39" s="191"/>
      <x:c r="AJ39" s="191"/>
      <x:c r="AK39" s="191"/>
    </x:row>
    <x:row r="40">
      <x:c r="A40" s="191" t="n">
        <x:v>26</x:v>
      </x:c>
      <x:c r="B40" s="274"/>
      <x:c r="C40" s="275"/>
      <x:c r="D40" s="275"/>
      <x:c r="E40" s="275"/>
      <x:c r="F40" s="275"/>
      <x:c r="G40" s="272" t="str">
        <x:f>IF(C40="","",RANK.EQ(C40,$C$15:$C$264,1))</x:f>
      </x:c>
      <x:c r="H40" s="272" t="str">
        <x:f>IF(G40="","",IF(G40&lt;=$B$10,"TAIL",""))</x:f>
      </x:c>
      <x:c r="I40" s="254" t="str">
        <x:f>IF(C40="","",-C40)</x:f>
      </x:c>
      <x:c r="J40" s="191" t="str">
        <x:v>Enter scenario date and link final reval P&amp;L</x:v>
      </x:c>
      <x:c r="K40" s="191"/>
      <x:c r="L40" s="191"/>
      <x:c r="M40" s="191"/>
      <x:c r="N40" s="191"/>
      <x:c r="O40" s="191"/>
      <x:c r="P40" s="191"/>
      <x:c r="Q40" s="191"/>
      <x:c r="R40" s="191"/>
      <x:c r="S40" s="191"/>
      <x:c r="T40" s="191"/>
      <x:c r="U40" s="191"/>
      <x:c r="V40" s="191"/>
      <x:c r="W40" s="191"/>
      <x:c r="X40" s="191"/>
      <x:c r="Y40" s="191"/>
      <x:c r="Z40" s="191"/>
      <x:c r="AA40" s="191"/>
      <x:c r="AB40" s="191"/>
      <x:c r="AC40" s="191"/>
      <x:c r="AD40" s="191"/>
      <x:c r="AE40" s="191"/>
      <x:c r="AF40" s="191"/>
      <x:c r="AG40" s="191"/>
      <x:c r="AH40" s="191"/>
      <x:c r="AI40" s="191"/>
      <x:c r="AJ40" s="191"/>
      <x:c r="AK40" s="191"/>
    </x:row>
    <x:row r="41">
      <x:c r="A41" s="191" t="n">
        <x:v>27</x:v>
      </x:c>
      <x:c r="B41" s="274"/>
      <x:c r="C41" s="275"/>
      <x:c r="D41" s="275"/>
      <x:c r="E41" s="275"/>
      <x:c r="F41" s="275"/>
      <x:c r="G41" s="272" t="str">
        <x:f>IF(C41="","",RANK.EQ(C41,$C$15:$C$264,1))</x:f>
      </x:c>
      <x:c r="H41" s="272" t="str">
        <x:f>IF(G41="","",IF(G41&lt;=$B$10,"TAIL",""))</x:f>
      </x:c>
      <x:c r="I41" s="254" t="str">
        <x:f>IF(C41="","",-C41)</x:f>
      </x:c>
      <x:c r="J41" s="191" t="str">
        <x:v>Enter scenario date and link final reval P&amp;L</x:v>
      </x:c>
      <x:c r="K41" s="191"/>
      <x:c r="L41" s="191"/>
      <x:c r="M41" s="191"/>
      <x:c r="N41" s="191"/>
      <x:c r="O41" s="191"/>
      <x:c r="P41" s="191"/>
      <x:c r="Q41" s="191"/>
      <x:c r="R41" s="191"/>
      <x:c r="S41" s="191"/>
      <x:c r="T41" s="191"/>
      <x:c r="U41" s="191"/>
      <x:c r="V41" s="191"/>
      <x:c r="W41" s="191"/>
      <x:c r="X41" s="191"/>
      <x:c r="Y41" s="191"/>
      <x:c r="Z41" s="191"/>
      <x:c r="AA41" s="191"/>
      <x:c r="AB41" s="191"/>
      <x:c r="AC41" s="191"/>
      <x:c r="AD41" s="191"/>
      <x:c r="AE41" s="191"/>
      <x:c r="AF41" s="191"/>
      <x:c r="AG41" s="191"/>
      <x:c r="AH41" s="191"/>
      <x:c r="AI41" s="191"/>
      <x:c r="AJ41" s="191"/>
      <x:c r="AK41" s="191"/>
    </x:row>
    <x:row r="42">
      <x:c r="A42" s="191" t="n">
        <x:v>28</x:v>
      </x:c>
      <x:c r="B42" s="274"/>
      <x:c r="C42" s="275"/>
      <x:c r="D42" s="275"/>
      <x:c r="E42" s="275"/>
      <x:c r="F42" s="275"/>
      <x:c r="G42" s="272" t="str">
        <x:f>IF(C42="","",RANK.EQ(C42,$C$15:$C$264,1))</x:f>
      </x:c>
      <x:c r="H42" s="272" t="str">
        <x:f>IF(G42="","",IF(G42&lt;=$B$10,"TAIL",""))</x:f>
      </x:c>
      <x:c r="I42" s="254" t="str">
        <x:f>IF(C42="","",-C42)</x:f>
      </x:c>
      <x:c r="J42" s="191" t="str">
        <x:v>Enter scenario date and link final reval P&amp;L</x:v>
      </x:c>
      <x:c r="K42" s="191"/>
      <x:c r="L42" s="191"/>
      <x:c r="M42" s="191"/>
      <x:c r="N42" s="191"/>
      <x:c r="O42" s="191"/>
      <x:c r="P42" s="191"/>
      <x:c r="Q42" s="191"/>
      <x:c r="R42" s="191"/>
      <x:c r="S42" s="191"/>
      <x:c r="T42" s="191"/>
      <x:c r="U42" s="191"/>
      <x:c r="V42" s="191"/>
      <x:c r="W42" s="191"/>
      <x:c r="X42" s="191"/>
      <x:c r="Y42" s="191"/>
      <x:c r="Z42" s="191"/>
      <x:c r="AA42" s="191"/>
      <x:c r="AB42" s="191"/>
      <x:c r="AC42" s="191"/>
      <x:c r="AD42" s="191"/>
      <x:c r="AE42" s="191"/>
      <x:c r="AF42" s="191"/>
      <x:c r="AG42" s="191"/>
      <x:c r="AH42" s="191"/>
      <x:c r="AI42" s="191"/>
      <x:c r="AJ42" s="191"/>
      <x:c r="AK42" s="191"/>
    </x:row>
    <x:row r="43">
      <x:c r="A43" s="191" t="n">
        <x:v>29</x:v>
      </x:c>
      <x:c r="B43" s="274"/>
      <x:c r="C43" s="275"/>
      <x:c r="D43" s="275"/>
      <x:c r="E43" s="275"/>
      <x:c r="F43" s="275"/>
      <x:c r="G43" s="272" t="str">
        <x:f>IF(C43="","",RANK.EQ(C43,$C$15:$C$264,1))</x:f>
      </x:c>
      <x:c r="H43" s="272" t="str">
        <x:f>IF(G43="","",IF(G43&lt;=$B$10,"TAIL",""))</x:f>
      </x:c>
      <x:c r="I43" s="254" t="str">
        <x:f>IF(C43="","",-C43)</x:f>
      </x:c>
      <x:c r="J43" s="191" t="str">
        <x:v>Enter scenario date and link final reval P&amp;L</x:v>
      </x:c>
      <x:c r="K43" s="191"/>
      <x:c r="L43" s="191"/>
      <x:c r="M43" s="191"/>
      <x:c r="N43" s="191"/>
      <x:c r="O43" s="191"/>
      <x:c r="P43" s="191"/>
      <x:c r="Q43" s="191"/>
      <x:c r="R43" s="191"/>
      <x:c r="S43" s="191"/>
      <x:c r="T43" s="191"/>
      <x:c r="U43" s="191"/>
      <x:c r="V43" s="191"/>
      <x:c r="W43" s="191"/>
      <x:c r="X43" s="191"/>
      <x:c r="Y43" s="191"/>
      <x:c r="Z43" s="191"/>
      <x:c r="AA43" s="191"/>
      <x:c r="AB43" s="191"/>
      <x:c r="AC43" s="191"/>
      <x:c r="AD43" s="191"/>
      <x:c r="AE43" s="191"/>
      <x:c r="AF43" s="191"/>
      <x:c r="AG43" s="191"/>
      <x:c r="AH43" s="191"/>
      <x:c r="AI43" s="191"/>
      <x:c r="AJ43" s="191"/>
      <x:c r="AK43" s="191"/>
    </x:row>
    <x:row r="44">
      <x:c r="A44" s="191" t="n">
        <x:v>30</x:v>
      </x:c>
      <x:c r="B44" s="274"/>
      <x:c r="C44" s="275"/>
      <x:c r="D44" s="275"/>
      <x:c r="E44" s="275"/>
      <x:c r="F44" s="275"/>
      <x:c r="G44" s="272" t="str">
        <x:f>IF(C44="","",RANK.EQ(C44,$C$15:$C$264,1))</x:f>
      </x:c>
      <x:c r="H44" s="272" t="str">
        <x:f>IF(G44="","",IF(G44&lt;=$B$10,"TAIL",""))</x:f>
      </x:c>
      <x:c r="I44" s="254" t="str">
        <x:f>IF(C44="","",-C44)</x:f>
      </x:c>
      <x:c r="J44" s="191" t="str">
        <x:v>Enter scenario date and link final reval P&amp;L</x:v>
      </x:c>
      <x:c r="K44" s="191"/>
      <x:c r="L44" s="191"/>
      <x:c r="M44" s="191"/>
      <x:c r="N44" s="191"/>
      <x:c r="O44" s="191"/>
      <x:c r="P44" s="191"/>
      <x:c r="Q44" s="191"/>
      <x:c r="R44" s="191"/>
      <x:c r="S44" s="191"/>
      <x:c r="T44" s="191"/>
      <x:c r="U44" s="191"/>
      <x:c r="V44" s="191"/>
      <x:c r="W44" s="191"/>
      <x:c r="X44" s="191"/>
      <x:c r="Y44" s="191"/>
      <x:c r="Z44" s="191"/>
      <x:c r="AA44" s="191"/>
      <x:c r="AB44" s="191"/>
      <x:c r="AC44" s="191"/>
      <x:c r="AD44" s="191"/>
      <x:c r="AE44" s="191"/>
      <x:c r="AF44" s="191"/>
      <x:c r="AG44" s="191"/>
      <x:c r="AH44" s="191"/>
      <x:c r="AI44" s="191"/>
      <x:c r="AJ44" s="191"/>
      <x:c r="AK44" s="191"/>
    </x:row>
    <x:row r="45">
      <x:c r="A45" s="191" t="n">
        <x:v>31</x:v>
      </x:c>
      <x:c r="B45" s="274"/>
      <x:c r="C45" s="275"/>
      <x:c r="D45" s="275"/>
      <x:c r="E45" s="275"/>
      <x:c r="F45" s="275"/>
      <x:c r="G45" s="272" t="str">
        <x:f>IF(C45="","",RANK.EQ(C45,$C$15:$C$264,1))</x:f>
      </x:c>
      <x:c r="H45" s="272" t="str">
        <x:f>IF(G45="","",IF(G45&lt;=$B$10,"TAIL",""))</x:f>
      </x:c>
      <x:c r="I45" s="254" t="str">
        <x:f>IF(C45="","",-C45)</x:f>
      </x:c>
      <x:c r="J45" s="191" t="str">
        <x:v>Enter scenario date and link final reval P&amp;L</x:v>
      </x:c>
      <x:c r="K45" s="191"/>
      <x:c r="L45" s="191"/>
      <x:c r="M45" s="191"/>
      <x:c r="N45" s="191"/>
      <x:c r="O45" s="191"/>
      <x:c r="P45" s="191"/>
      <x:c r="Q45" s="191"/>
      <x:c r="R45" s="191"/>
      <x:c r="S45" s="191"/>
      <x:c r="T45" s="191"/>
      <x:c r="U45" s="191"/>
      <x:c r="V45" s="191"/>
      <x:c r="W45" s="191"/>
      <x:c r="X45" s="191"/>
      <x:c r="Y45" s="191"/>
      <x:c r="Z45" s="191"/>
      <x:c r="AA45" s="191"/>
      <x:c r="AB45" s="191"/>
      <x:c r="AC45" s="191"/>
      <x:c r="AD45" s="191"/>
      <x:c r="AE45" s="191"/>
      <x:c r="AF45" s="191"/>
      <x:c r="AG45" s="191"/>
      <x:c r="AH45" s="191"/>
      <x:c r="AI45" s="191"/>
      <x:c r="AJ45" s="191"/>
      <x:c r="AK45" s="191"/>
    </x:row>
    <x:row r="46">
      <x:c r="A46" s="191" t="n">
        <x:v>32</x:v>
      </x:c>
      <x:c r="B46" s="274"/>
      <x:c r="C46" s="275"/>
      <x:c r="D46" s="275"/>
      <x:c r="E46" s="275"/>
      <x:c r="F46" s="275"/>
      <x:c r="G46" s="272" t="str">
        <x:f>IF(C46="","",RANK.EQ(C46,$C$15:$C$264,1))</x:f>
      </x:c>
      <x:c r="H46" s="272" t="str">
        <x:f>IF(G46="","",IF(G46&lt;=$B$10,"TAIL",""))</x:f>
      </x:c>
      <x:c r="I46" s="254" t="str">
        <x:f>IF(C46="","",-C46)</x:f>
      </x:c>
      <x:c r="J46" s="191" t="str">
        <x:v>Enter scenario date and link final reval P&amp;L</x:v>
      </x:c>
      <x:c r="K46" s="191"/>
      <x:c r="L46" s="191"/>
      <x:c r="M46" s="191"/>
      <x:c r="N46" s="191"/>
      <x:c r="O46" s="191"/>
      <x:c r="P46" s="191"/>
      <x:c r="Q46" s="191"/>
      <x:c r="R46" s="191"/>
      <x:c r="S46" s="191"/>
      <x:c r="T46" s="191"/>
      <x:c r="U46" s="191"/>
      <x:c r="V46" s="191"/>
      <x:c r="W46" s="191"/>
      <x:c r="X46" s="191"/>
      <x:c r="Y46" s="191"/>
      <x:c r="Z46" s="191"/>
      <x:c r="AA46" s="191"/>
      <x:c r="AB46" s="191"/>
      <x:c r="AC46" s="191"/>
      <x:c r="AD46" s="191"/>
      <x:c r="AE46" s="191"/>
      <x:c r="AF46" s="191"/>
      <x:c r="AG46" s="191"/>
      <x:c r="AH46" s="191"/>
      <x:c r="AI46" s="191"/>
      <x:c r="AJ46" s="191"/>
      <x:c r="AK46" s="191"/>
    </x:row>
    <x:row r="47">
      <x:c r="A47" s="191" t="n">
        <x:v>33</x:v>
      </x:c>
      <x:c r="B47" s="274"/>
      <x:c r="C47" s="275"/>
      <x:c r="D47" s="275"/>
      <x:c r="E47" s="275"/>
      <x:c r="F47" s="275"/>
      <x:c r="G47" s="272" t="str">
        <x:f>IF(C47="","",RANK.EQ(C47,$C$15:$C$264,1))</x:f>
      </x:c>
      <x:c r="H47" s="272" t="str">
        <x:f>IF(G47="","",IF(G47&lt;=$B$10,"TAIL",""))</x:f>
      </x:c>
      <x:c r="I47" s="254" t="str">
        <x:f>IF(C47="","",-C47)</x:f>
      </x:c>
      <x:c r="J47" s="191" t="str">
        <x:v>Enter scenario date and link final reval P&amp;L</x:v>
      </x:c>
      <x:c r="K47" s="191"/>
      <x:c r="L47" s="191"/>
      <x:c r="M47" s="191"/>
      <x:c r="N47" s="191"/>
      <x:c r="O47" s="191"/>
      <x:c r="P47" s="191"/>
      <x:c r="Q47" s="191"/>
      <x:c r="R47" s="191"/>
      <x:c r="S47" s="191"/>
      <x:c r="T47" s="191"/>
      <x:c r="U47" s="191"/>
      <x:c r="V47" s="191"/>
      <x:c r="W47" s="191"/>
      <x:c r="X47" s="191"/>
      <x:c r="Y47" s="191"/>
      <x:c r="Z47" s="191"/>
      <x:c r="AA47" s="191"/>
      <x:c r="AB47" s="191"/>
      <x:c r="AC47" s="191"/>
      <x:c r="AD47" s="191"/>
      <x:c r="AE47" s="191"/>
      <x:c r="AF47" s="191"/>
      <x:c r="AG47" s="191"/>
      <x:c r="AH47" s="191"/>
      <x:c r="AI47" s="191"/>
      <x:c r="AJ47" s="191"/>
      <x:c r="AK47" s="191"/>
    </x:row>
    <x:row r="48">
      <x:c r="A48" s="191" t="n">
        <x:v>34</x:v>
      </x:c>
      <x:c r="B48" s="274"/>
      <x:c r="C48" s="275"/>
      <x:c r="D48" s="275"/>
      <x:c r="E48" s="275"/>
      <x:c r="F48" s="275"/>
      <x:c r="G48" s="272" t="str">
        <x:f>IF(C48="","",RANK.EQ(C48,$C$15:$C$264,1))</x:f>
      </x:c>
      <x:c r="H48" s="272" t="str">
        <x:f>IF(G48="","",IF(G48&lt;=$B$10,"TAIL",""))</x:f>
      </x:c>
      <x:c r="I48" s="254" t="str">
        <x:f>IF(C48="","",-C48)</x:f>
      </x:c>
      <x:c r="J48" s="191" t="str">
        <x:v>Enter scenario date and link final reval P&amp;L</x:v>
      </x:c>
      <x:c r="K48" s="191"/>
      <x:c r="L48" s="191"/>
      <x:c r="M48" s="191"/>
      <x:c r="N48" s="191"/>
      <x:c r="O48" s="191"/>
      <x:c r="P48" s="191"/>
      <x:c r="Q48" s="191"/>
      <x:c r="R48" s="191"/>
      <x:c r="S48" s="191"/>
      <x:c r="T48" s="191"/>
      <x:c r="U48" s="191"/>
      <x:c r="V48" s="191"/>
      <x:c r="W48" s="191"/>
      <x:c r="X48" s="191"/>
      <x:c r="Y48" s="191"/>
      <x:c r="Z48" s="191"/>
      <x:c r="AA48" s="191"/>
      <x:c r="AB48" s="191"/>
      <x:c r="AC48" s="191"/>
      <x:c r="AD48" s="191"/>
      <x:c r="AE48" s="191"/>
      <x:c r="AF48" s="191"/>
      <x:c r="AG48" s="191"/>
      <x:c r="AH48" s="191"/>
      <x:c r="AI48" s="191"/>
      <x:c r="AJ48" s="191"/>
      <x:c r="AK48" s="191"/>
    </x:row>
    <x:row r="49">
      <x:c r="A49" s="191" t="n">
        <x:v>35</x:v>
      </x:c>
      <x:c r="B49" s="274"/>
      <x:c r="C49" s="275"/>
      <x:c r="D49" s="275"/>
      <x:c r="E49" s="275"/>
      <x:c r="F49" s="275"/>
      <x:c r="G49" s="272" t="str">
        <x:f>IF(C49="","",RANK.EQ(C49,$C$15:$C$264,1))</x:f>
      </x:c>
      <x:c r="H49" s="272" t="str">
        <x:f>IF(G49="","",IF(G49&lt;=$B$10,"TAIL",""))</x:f>
      </x:c>
      <x:c r="I49" s="254" t="str">
        <x:f>IF(C49="","",-C49)</x:f>
      </x:c>
      <x:c r="J49" s="191" t="str">
        <x:v>Enter scenario date and link final reval P&amp;L</x:v>
      </x:c>
      <x:c r="K49" s="191"/>
      <x:c r="L49" s="191"/>
      <x:c r="M49" s="191"/>
      <x:c r="N49" s="191"/>
      <x:c r="O49" s="191"/>
      <x:c r="P49" s="191"/>
      <x:c r="Q49" s="191"/>
      <x:c r="R49" s="191"/>
      <x:c r="S49" s="191"/>
      <x:c r="T49" s="191"/>
      <x:c r="U49" s="191"/>
      <x:c r="V49" s="191"/>
      <x:c r="W49" s="191"/>
      <x:c r="X49" s="191"/>
      <x:c r="Y49" s="191"/>
      <x:c r="Z49" s="191"/>
      <x:c r="AA49" s="191"/>
      <x:c r="AB49" s="191"/>
      <x:c r="AC49" s="191"/>
      <x:c r="AD49" s="191"/>
      <x:c r="AE49" s="191"/>
      <x:c r="AF49" s="191"/>
      <x:c r="AG49" s="191"/>
      <x:c r="AH49" s="191"/>
      <x:c r="AI49" s="191"/>
      <x:c r="AJ49" s="191"/>
      <x:c r="AK49" s="191"/>
    </x:row>
    <x:row r="50">
      <x:c r="A50" s="191" t="n">
        <x:v>36</x:v>
      </x:c>
      <x:c r="B50" s="274"/>
      <x:c r="C50" s="275"/>
      <x:c r="D50" s="275"/>
      <x:c r="E50" s="275"/>
      <x:c r="F50" s="275"/>
      <x:c r="G50" s="272" t="str">
        <x:f>IF(C50="","",RANK.EQ(C50,$C$15:$C$264,1))</x:f>
      </x:c>
      <x:c r="H50" s="272" t="str">
        <x:f>IF(G50="","",IF(G50&lt;=$B$10,"TAIL",""))</x:f>
      </x:c>
      <x:c r="I50" s="254" t="str">
        <x:f>IF(C50="","",-C50)</x:f>
      </x:c>
      <x:c r="J50" s="191" t="str">
        <x:v>Enter scenario date and link final reval P&amp;L</x:v>
      </x:c>
      <x:c r="K50" s="191"/>
      <x:c r="L50" s="191"/>
      <x:c r="M50" s="191"/>
      <x:c r="N50" s="191"/>
      <x:c r="O50" s="191"/>
      <x:c r="P50" s="191"/>
      <x:c r="Q50" s="191"/>
      <x:c r="R50" s="191"/>
      <x:c r="S50" s="191"/>
      <x:c r="T50" s="191"/>
      <x:c r="U50" s="191"/>
      <x:c r="V50" s="191"/>
      <x:c r="W50" s="191"/>
      <x:c r="X50" s="191"/>
      <x:c r="Y50" s="191"/>
      <x:c r="Z50" s="191"/>
      <x:c r="AA50" s="191"/>
      <x:c r="AB50" s="191"/>
      <x:c r="AC50" s="191"/>
      <x:c r="AD50" s="191"/>
      <x:c r="AE50" s="191"/>
      <x:c r="AF50" s="191"/>
      <x:c r="AG50" s="191"/>
      <x:c r="AH50" s="191"/>
      <x:c r="AI50" s="191"/>
      <x:c r="AJ50" s="191"/>
      <x:c r="AK50" s="191"/>
    </x:row>
    <x:row r="51">
      <x:c r="A51" s="191" t="n">
        <x:v>37</x:v>
      </x:c>
      <x:c r="B51" s="274"/>
      <x:c r="C51" s="275"/>
      <x:c r="D51" s="275"/>
      <x:c r="E51" s="275"/>
      <x:c r="F51" s="275"/>
      <x:c r="G51" s="272" t="str">
        <x:f>IF(C51="","",RANK.EQ(C51,$C$15:$C$264,1))</x:f>
      </x:c>
      <x:c r="H51" s="272" t="str">
        <x:f>IF(G51="","",IF(G51&lt;=$B$10,"TAIL",""))</x:f>
      </x:c>
      <x:c r="I51" s="254" t="str">
        <x:f>IF(C51="","",-C51)</x:f>
      </x:c>
      <x:c r="J51" s="191" t="str">
        <x:v>Enter scenario date and link final reval P&amp;L</x:v>
      </x:c>
      <x:c r="K51" s="191"/>
      <x:c r="L51" s="191"/>
      <x:c r="M51" s="191"/>
      <x:c r="N51" s="191"/>
      <x:c r="O51" s="191"/>
      <x:c r="P51" s="191"/>
      <x:c r="Q51" s="191"/>
      <x:c r="R51" s="191"/>
      <x:c r="S51" s="191"/>
      <x:c r="T51" s="191"/>
      <x:c r="U51" s="191"/>
      <x:c r="V51" s="191"/>
      <x:c r="W51" s="191"/>
      <x:c r="X51" s="191"/>
      <x:c r="Y51" s="191"/>
      <x:c r="Z51" s="191"/>
      <x:c r="AA51" s="191"/>
      <x:c r="AB51" s="191"/>
      <x:c r="AC51" s="191"/>
      <x:c r="AD51" s="191"/>
      <x:c r="AE51" s="191"/>
      <x:c r="AF51" s="191"/>
      <x:c r="AG51" s="191"/>
      <x:c r="AH51" s="191"/>
      <x:c r="AI51" s="191"/>
      <x:c r="AJ51" s="191"/>
      <x:c r="AK51" s="191"/>
    </x:row>
    <x:row r="52">
      <x:c r="A52" s="191" t="n">
        <x:v>38</x:v>
      </x:c>
      <x:c r="B52" s="274"/>
      <x:c r="C52" s="275"/>
      <x:c r="D52" s="275"/>
      <x:c r="E52" s="275"/>
      <x:c r="F52" s="275"/>
      <x:c r="G52" s="272" t="str">
        <x:f>IF(C52="","",RANK.EQ(C52,$C$15:$C$264,1))</x:f>
      </x:c>
      <x:c r="H52" s="272" t="str">
        <x:f>IF(G52="","",IF(G52&lt;=$B$10,"TAIL",""))</x:f>
      </x:c>
      <x:c r="I52" s="254" t="str">
        <x:f>IF(C52="","",-C52)</x:f>
      </x:c>
      <x:c r="J52" s="191" t="str">
        <x:v>Enter scenario date and link final reval P&amp;L</x:v>
      </x:c>
      <x:c r="K52" s="191"/>
      <x:c r="L52" s="191"/>
      <x:c r="M52" s="191"/>
      <x:c r="N52" s="191"/>
      <x:c r="O52" s="191"/>
      <x:c r="P52" s="191"/>
      <x:c r="Q52" s="191"/>
      <x:c r="R52" s="191"/>
      <x:c r="S52" s="191"/>
      <x:c r="T52" s="191"/>
      <x:c r="U52" s="191"/>
      <x:c r="V52" s="191"/>
      <x:c r="W52" s="191"/>
      <x:c r="X52" s="191"/>
      <x:c r="Y52" s="191"/>
      <x:c r="Z52" s="191"/>
      <x:c r="AA52" s="191"/>
      <x:c r="AB52" s="191"/>
      <x:c r="AC52" s="191"/>
      <x:c r="AD52" s="191"/>
      <x:c r="AE52" s="191"/>
      <x:c r="AF52" s="191"/>
      <x:c r="AG52" s="191"/>
      <x:c r="AH52" s="191"/>
      <x:c r="AI52" s="191"/>
      <x:c r="AJ52" s="191"/>
      <x:c r="AK52" s="191"/>
    </x:row>
    <x:row r="53">
      <x:c r="A53" s="191" t="n">
        <x:v>39</x:v>
      </x:c>
      <x:c r="B53" s="274"/>
      <x:c r="C53" s="275"/>
      <x:c r="D53" s="275"/>
      <x:c r="E53" s="275"/>
      <x:c r="F53" s="275"/>
      <x:c r="G53" s="272" t="str">
        <x:f>IF(C53="","",RANK.EQ(C53,$C$15:$C$264,1))</x:f>
      </x:c>
      <x:c r="H53" s="272" t="str">
        <x:f>IF(G53="","",IF(G53&lt;=$B$10,"TAIL",""))</x:f>
      </x:c>
      <x:c r="I53" s="254" t="str">
        <x:f>IF(C53="","",-C53)</x:f>
      </x:c>
      <x:c r="J53" s="191" t="str">
        <x:v>Enter scenario date and link final reval P&amp;L</x:v>
      </x:c>
      <x:c r="K53" s="191"/>
      <x:c r="L53" s="191"/>
      <x:c r="M53" s="191"/>
      <x:c r="N53" s="191"/>
      <x:c r="O53" s="191"/>
      <x:c r="P53" s="191"/>
      <x:c r="Q53" s="191"/>
      <x:c r="R53" s="191"/>
      <x:c r="S53" s="191"/>
      <x:c r="T53" s="191"/>
      <x:c r="U53" s="191"/>
      <x:c r="V53" s="191"/>
      <x:c r="W53" s="191"/>
      <x:c r="X53" s="191"/>
      <x:c r="Y53" s="191"/>
      <x:c r="Z53" s="191"/>
      <x:c r="AA53" s="191"/>
      <x:c r="AB53" s="191"/>
      <x:c r="AC53" s="191"/>
      <x:c r="AD53" s="191"/>
      <x:c r="AE53" s="191"/>
      <x:c r="AF53" s="191"/>
      <x:c r="AG53" s="191"/>
      <x:c r="AH53" s="191"/>
      <x:c r="AI53" s="191"/>
      <x:c r="AJ53" s="191"/>
      <x:c r="AK53" s="191"/>
    </x:row>
    <x:row r="54">
      <x:c r="A54" s="191" t="n">
        <x:v>40</x:v>
      </x:c>
      <x:c r="B54" s="274"/>
      <x:c r="C54" s="275"/>
      <x:c r="D54" s="275"/>
      <x:c r="E54" s="275"/>
      <x:c r="F54" s="275"/>
      <x:c r="G54" s="272" t="str">
        <x:f>IF(C54="","",RANK.EQ(C54,$C$15:$C$264,1))</x:f>
      </x:c>
      <x:c r="H54" s="272" t="str">
        <x:f>IF(G54="","",IF(G54&lt;=$B$10,"TAIL",""))</x:f>
      </x:c>
      <x:c r="I54" s="254" t="str">
        <x:f>IF(C54="","",-C54)</x:f>
      </x:c>
      <x:c r="J54" s="191" t="str">
        <x:v>Enter scenario date and link final reval P&amp;L</x:v>
      </x:c>
      <x:c r="K54" s="191"/>
      <x:c r="L54" s="191"/>
      <x:c r="M54" s="191"/>
      <x:c r="N54" s="191"/>
      <x:c r="O54" s="191"/>
      <x:c r="P54" s="191"/>
      <x:c r="Q54" s="191"/>
      <x:c r="R54" s="191"/>
      <x:c r="S54" s="191"/>
      <x:c r="T54" s="191"/>
      <x:c r="U54" s="191"/>
      <x:c r="V54" s="191"/>
      <x:c r="W54" s="191"/>
      <x:c r="X54" s="191"/>
      <x:c r="Y54" s="191"/>
      <x:c r="Z54" s="191"/>
      <x:c r="AA54" s="191"/>
      <x:c r="AB54" s="191"/>
      <x:c r="AC54" s="191"/>
      <x:c r="AD54" s="191"/>
      <x:c r="AE54" s="191"/>
      <x:c r="AF54" s="191"/>
      <x:c r="AG54" s="191"/>
      <x:c r="AH54" s="191"/>
      <x:c r="AI54" s="191"/>
      <x:c r="AJ54" s="191"/>
      <x:c r="AK54" s="191"/>
    </x:row>
    <x:row r="55">
      <x:c r="A55" s="191" t="n">
        <x:v>41</x:v>
      </x:c>
      <x:c r="B55" s="274"/>
      <x:c r="C55" s="275"/>
      <x:c r="D55" s="275"/>
      <x:c r="E55" s="275"/>
      <x:c r="F55" s="275"/>
      <x:c r="G55" s="272" t="str">
        <x:f>IF(C55="","",RANK.EQ(C55,$C$15:$C$264,1))</x:f>
      </x:c>
      <x:c r="H55" s="272" t="str">
        <x:f>IF(G55="","",IF(G55&lt;=$B$10,"TAIL",""))</x:f>
      </x:c>
      <x:c r="I55" s="254" t="str">
        <x:f>IF(C55="","",-C55)</x:f>
      </x:c>
      <x:c r="J55" s="191" t="str">
        <x:v>Enter scenario date and link final reval P&amp;L</x:v>
      </x:c>
      <x:c r="K55" s="191"/>
      <x:c r="L55" s="191"/>
      <x:c r="M55" s="191"/>
      <x:c r="N55" s="191"/>
      <x:c r="O55" s="191"/>
      <x:c r="P55" s="191"/>
      <x:c r="Q55" s="191"/>
      <x:c r="R55" s="191"/>
      <x:c r="S55" s="191"/>
      <x:c r="T55" s="191"/>
      <x:c r="U55" s="191"/>
      <x:c r="V55" s="191"/>
      <x:c r="W55" s="191"/>
      <x:c r="X55" s="191"/>
      <x:c r="Y55" s="191"/>
      <x:c r="Z55" s="191"/>
      <x:c r="AA55" s="191"/>
      <x:c r="AB55" s="191"/>
      <x:c r="AC55" s="191"/>
      <x:c r="AD55" s="191"/>
      <x:c r="AE55" s="191"/>
      <x:c r="AF55" s="191"/>
      <x:c r="AG55" s="191"/>
      <x:c r="AH55" s="191"/>
      <x:c r="AI55" s="191"/>
      <x:c r="AJ55" s="191"/>
      <x:c r="AK55" s="191"/>
    </x:row>
    <x:row r="56">
      <x:c r="A56" s="191" t="n">
        <x:v>42</x:v>
      </x:c>
      <x:c r="B56" s="274"/>
      <x:c r="C56" s="275"/>
      <x:c r="D56" s="275"/>
      <x:c r="E56" s="275"/>
      <x:c r="F56" s="275"/>
      <x:c r="G56" s="272" t="str">
        <x:f>IF(C56="","",RANK.EQ(C56,$C$15:$C$264,1))</x:f>
      </x:c>
      <x:c r="H56" s="272" t="str">
        <x:f>IF(G56="","",IF(G56&lt;=$B$10,"TAIL",""))</x:f>
      </x:c>
      <x:c r="I56" s="254" t="str">
        <x:f>IF(C56="","",-C56)</x:f>
      </x:c>
      <x:c r="J56" s="191" t="str">
        <x:v>Enter scenario date and link final reval P&amp;L</x:v>
      </x:c>
      <x:c r="K56" s="191"/>
      <x:c r="L56" s="191"/>
      <x:c r="M56" s="191"/>
      <x:c r="N56" s="191"/>
      <x:c r="O56" s="191"/>
      <x:c r="P56" s="191"/>
      <x:c r="Q56" s="191"/>
      <x:c r="R56" s="191"/>
      <x:c r="S56" s="191"/>
      <x:c r="T56" s="191"/>
      <x:c r="U56" s="191"/>
      <x:c r="V56" s="191"/>
      <x:c r="W56" s="191"/>
      <x:c r="X56" s="191"/>
      <x:c r="Y56" s="191"/>
      <x:c r="Z56" s="191"/>
      <x:c r="AA56" s="191"/>
      <x:c r="AB56" s="191"/>
      <x:c r="AC56" s="191"/>
      <x:c r="AD56" s="191"/>
      <x:c r="AE56" s="191"/>
      <x:c r="AF56" s="191"/>
      <x:c r="AG56" s="191"/>
      <x:c r="AH56" s="191"/>
      <x:c r="AI56" s="191"/>
      <x:c r="AJ56" s="191"/>
      <x:c r="AK56" s="191"/>
    </x:row>
    <x:row r="57">
      <x:c r="A57" s="191" t="n">
        <x:v>43</x:v>
      </x:c>
      <x:c r="B57" s="274"/>
      <x:c r="C57" s="275"/>
      <x:c r="D57" s="275"/>
      <x:c r="E57" s="275"/>
      <x:c r="F57" s="275"/>
      <x:c r="G57" s="272" t="str">
        <x:f>IF(C57="","",RANK.EQ(C57,$C$15:$C$264,1))</x:f>
      </x:c>
      <x:c r="H57" s="272" t="str">
        <x:f>IF(G57="","",IF(G57&lt;=$B$10,"TAIL",""))</x:f>
      </x:c>
      <x:c r="I57" s="254" t="str">
        <x:f>IF(C57="","",-C57)</x:f>
      </x:c>
      <x:c r="J57" s="191" t="str">
        <x:v>Enter scenario date and link final reval P&amp;L</x:v>
      </x:c>
      <x:c r="K57" s="191"/>
      <x:c r="L57" s="191"/>
      <x:c r="M57" s="191"/>
      <x:c r="N57" s="191"/>
      <x:c r="O57" s="191"/>
      <x:c r="P57" s="191"/>
      <x:c r="Q57" s="191"/>
      <x:c r="R57" s="191"/>
      <x:c r="S57" s="191"/>
      <x:c r="T57" s="191"/>
      <x:c r="U57" s="191"/>
      <x:c r="V57" s="191"/>
      <x:c r="W57" s="191"/>
      <x:c r="X57" s="191"/>
      <x:c r="Y57" s="191"/>
      <x:c r="Z57" s="191"/>
      <x:c r="AA57" s="191"/>
      <x:c r="AB57" s="191"/>
      <x:c r="AC57" s="191"/>
      <x:c r="AD57" s="191"/>
      <x:c r="AE57" s="191"/>
      <x:c r="AF57" s="191"/>
      <x:c r="AG57" s="191"/>
      <x:c r="AH57" s="191"/>
      <x:c r="AI57" s="191"/>
      <x:c r="AJ57" s="191"/>
      <x:c r="AK57" s="191"/>
    </x:row>
    <x:row r="58">
      <x:c r="A58" s="191" t="n">
        <x:v>44</x:v>
      </x:c>
      <x:c r="B58" s="274"/>
      <x:c r="C58" s="275"/>
      <x:c r="D58" s="275"/>
      <x:c r="E58" s="275"/>
      <x:c r="F58" s="275"/>
      <x:c r="G58" s="272" t="str">
        <x:f>IF(C58="","",RANK.EQ(C58,$C$15:$C$264,1))</x:f>
      </x:c>
      <x:c r="H58" s="272" t="str">
        <x:f>IF(G58="","",IF(G58&lt;=$B$10,"TAIL",""))</x:f>
      </x:c>
      <x:c r="I58" s="254" t="str">
        <x:f>IF(C58="","",-C58)</x:f>
      </x:c>
      <x:c r="J58" s="191" t="str">
        <x:v>Enter scenario date and link final reval P&amp;L</x:v>
      </x:c>
      <x:c r="K58" s="191"/>
      <x:c r="L58" s="191"/>
      <x:c r="M58" s="191"/>
      <x:c r="N58" s="191"/>
      <x:c r="O58" s="191"/>
      <x:c r="P58" s="191"/>
      <x:c r="Q58" s="191"/>
      <x:c r="R58" s="191"/>
      <x:c r="S58" s="191"/>
      <x:c r="T58" s="191"/>
      <x:c r="U58" s="191"/>
      <x:c r="V58" s="191"/>
      <x:c r="W58" s="191"/>
      <x:c r="X58" s="191"/>
      <x:c r="Y58" s="191"/>
      <x:c r="Z58" s="191"/>
      <x:c r="AA58" s="191"/>
      <x:c r="AB58" s="191"/>
      <x:c r="AC58" s="191"/>
      <x:c r="AD58" s="191"/>
      <x:c r="AE58" s="191"/>
      <x:c r="AF58" s="191"/>
      <x:c r="AG58" s="191"/>
      <x:c r="AH58" s="191"/>
      <x:c r="AI58" s="191"/>
      <x:c r="AJ58" s="191"/>
      <x:c r="AK58" s="191"/>
    </x:row>
    <x:row r="59">
      <x:c r="A59" s="191" t="n">
        <x:v>45</x:v>
      </x:c>
      <x:c r="B59" s="274"/>
      <x:c r="C59" s="275"/>
      <x:c r="D59" s="275"/>
      <x:c r="E59" s="275"/>
      <x:c r="F59" s="275"/>
      <x:c r="G59" s="272" t="str">
        <x:f>IF(C59="","",RANK.EQ(C59,$C$15:$C$264,1))</x:f>
      </x:c>
      <x:c r="H59" s="272" t="str">
        <x:f>IF(G59="","",IF(G59&lt;=$B$10,"TAIL",""))</x:f>
      </x:c>
      <x:c r="I59" s="254" t="str">
        <x:f>IF(C59="","",-C59)</x:f>
      </x:c>
      <x:c r="J59" s="191" t="str">
        <x:v>Enter scenario date and link final reval P&amp;L</x:v>
      </x:c>
      <x:c r="K59" s="191"/>
      <x:c r="L59" s="191"/>
      <x:c r="M59" s="191"/>
      <x:c r="N59" s="191"/>
      <x:c r="O59" s="191"/>
      <x:c r="P59" s="191"/>
      <x:c r="Q59" s="191"/>
      <x:c r="R59" s="191"/>
      <x:c r="S59" s="191"/>
      <x:c r="T59" s="191"/>
      <x:c r="U59" s="191"/>
      <x:c r="V59" s="191"/>
      <x:c r="W59" s="191"/>
      <x:c r="X59" s="191"/>
      <x:c r="Y59" s="191"/>
      <x:c r="Z59" s="191"/>
      <x:c r="AA59" s="191"/>
      <x:c r="AB59" s="191"/>
      <x:c r="AC59" s="191"/>
      <x:c r="AD59" s="191"/>
      <x:c r="AE59" s="191"/>
      <x:c r="AF59" s="191"/>
      <x:c r="AG59" s="191"/>
      <x:c r="AH59" s="191"/>
      <x:c r="AI59" s="191"/>
      <x:c r="AJ59" s="191"/>
      <x:c r="AK59" s="191"/>
    </x:row>
    <x:row r="60">
      <x:c r="A60" s="191" t="n">
        <x:v>46</x:v>
      </x:c>
      <x:c r="B60" s="274"/>
      <x:c r="C60" s="275"/>
      <x:c r="D60" s="275"/>
      <x:c r="E60" s="275"/>
      <x:c r="F60" s="275"/>
      <x:c r="G60" s="272" t="str">
        <x:f>IF(C60="","",RANK.EQ(C60,$C$15:$C$264,1))</x:f>
      </x:c>
      <x:c r="H60" s="272" t="str">
        <x:f>IF(G60="","",IF(G60&lt;=$B$10,"TAIL",""))</x:f>
      </x:c>
      <x:c r="I60" s="254" t="str">
        <x:f>IF(C60="","",-C60)</x:f>
      </x:c>
      <x:c r="J60" s="191" t="str">
        <x:v>Enter scenario date and link final reval P&amp;L</x:v>
      </x:c>
      <x:c r="K60" s="191"/>
      <x:c r="L60" s="191"/>
      <x:c r="M60" s="191"/>
      <x:c r="N60" s="191"/>
      <x:c r="O60" s="191"/>
      <x:c r="P60" s="191"/>
      <x:c r="Q60" s="191"/>
      <x:c r="R60" s="191"/>
      <x:c r="S60" s="191"/>
      <x:c r="T60" s="191"/>
      <x:c r="U60" s="191"/>
      <x:c r="V60" s="191"/>
      <x:c r="W60" s="191"/>
      <x:c r="X60" s="191"/>
      <x:c r="Y60" s="191"/>
      <x:c r="Z60" s="191"/>
      <x:c r="AA60" s="191"/>
      <x:c r="AB60" s="191"/>
      <x:c r="AC60" s="191"/>
      <x:c r="AD60" s="191"/>
      <x:c r="AE60" s="191"/>
      <x:c r="AF60" s="191"/>
      <x:c r="AG60" s="191"/>
      <x:c r="AH60" s="191"/>
      <x:c r="AI60" s="191"/>
      <x:c r="AJ60" s="191"/>
      <x:c r="AK60" s="191"/>
    </x:row>
    <x:row r="61">
      <x:c r="A61" s="191" t="n">
        <x:v>47</x:v>
      </x:c>
      <x:c r="B61" s="274"/>
      <x:c r="C61" s="275"/>
      <x:c r="D61" s="275"/>
      <x:c r="E61" s="275"/>
      <x:c r="F61" s="275"/>
      <x:c r="G61" s="272" t="str">
        <x:f>IF(C61="","",RANK.EQ(C61,$C$15:$C$264,1))</x:f>
      </x:c>
      <x:c r="H61" s="272" t="str">
        <x:f>IF(G61="","",IF(G61&lt;=$B$10,"TAIL",""))</x:f>
      </x:c>
      <x:c r="I61" s="254" t="str">
        <x:f>IF(C61="","",-C61)</x:f>
      </x:c>
      <x:c r="J61" s="191" t="str">
        <x:v>Enter scenario date and link final reval P&amp;L</x:v>
      </x:c>
      <x:c r="K61" s="191"/>
      <x:c r="L61" s="191"/>
      <x:c r="M61" s="191"/>
      <x:c r="N61" s="191"/>
      <x:c r="O61" s="191"/>
      <x:c r="P61" s="191"/>
      <x:c r="Q61" s="191"/>
      <x:c r="R61" s="191"/>
      <x:c r="S61" s="191"/>
      <x:c r="T61" s="191"/>
      <x:c r="U61" s="191"/>
      <x:c r="V61" s="191"/>
      <x:c r="W61" s="191"/>
      <x:c r="X61" s="191"/>
      <x:c r="Y61" s="191"/>
      <x:c r="Z61" s="191"/>
      <x:c r="AA61" s="191"/>
      <x:c r="AB61" s="191"/>
      <x:c r="AC61" s="191"/>
      <x:c r="AD61" s="191"/>
      <x:c r="AE61" s="191"/>
      <x:c r="AF61" s="191"/>
      <x:c r="AG61" s="191"/>
      <x:c r="AH61" s="191"/>
      <x:c r="AI61" s="191"/>
      <x:c r="AJ61" s="191"/>
      <x:c r="AK61" s="191"/>
    </x:row>
    <x:row r="62">
      <x:c r="A62" s="191" t="n">
        <x:v>48</x:v>
      </x:c>
      <x:c r="B62" s="274"/>
      <x:c r="C62" s="275"/>
      <x:c r="D62" s="275"/>
      <x:c r="E62" s="275"/>
      <x:c r="F62" s="275"/>
      <x:c r="G62" s="272" t="str">
        <x:f>IF(C62="","",RANK.EQ(C62,$C$15:$C$264,1))</x:f>
      </x:c>
      <x:c r="H62" s="272" t="str">
        <x:f>IF(G62="","",IF(G62&lt;=$B$10,"TAIL",""))</x:f>
      </x:c>
      <x:c r="I62" s="254" t="str">
        <x:f>IF(C62="","",-C62)</x:f>
      </x:c>
      <x:c r="J62" s="191" t="str">
        <x:v>Enter scenario date and link final reval P&amp;L</x:v>
      </x:c>
      <x:c r="K62" s="191"/>
      <x:c r="L62" s="191"/>
      <x:c r="M62" s="191"/>
      <x:c r="N62" s="191"/>
      <x:c r="O62" s="191"/>
      <x:c r="P62" s="191"/>
      <x:c r="Q62" s="191"/>
      <x:c r="R62" s="191"/>
      <x:c r="S62" s="191"/>
      <x:c r="T62" s="191"/>
      <x:c r="U62" s="191"/>
      <x:c r="V62" s="191"/>
      <x:c r="W62" s="191"/>
      <x:c r="X62" s="191"/>
      <x:c r="Y62" s="191"/>
      <x:c r="Z62" s="191"/>
      <x:c r="AA62" s="191"/>
      <x:c r="AB62" s="191"/>
      <x:c r="AC62" s="191"/>
      <x:c r="AD62" s="191"/>
      <x:c r="AE62" s="191"/>
      <x:c r="AF62" s="191"/>
      <x:c r="AG62" s="191"/>
      <x:c r="AH62" s="191"/>
      <x:c r="AI62" s="191"/>
      <x:c r="AJ62" s="191"/>
      <x:c r="AK62" s="191"/>
    </x:row>
    <x:row r="63">
      <x:c r="A63" s="191" t="n">
        <x:v>49</x:v>
      </x:c>
      <x:c r="B63" s="274"/>
      <x:c r="C63" s="275"/>
      <x:c r="D63" s="275"/>
      <x:c r="E63" s="275"/>
      <x:c r="F63" s="275"/>
      <x:c r="G63" s="272" t="str">
        <x:f>IF(C63="","",RANK.EQ(C63,$C$15:$C$264,1))</x:f>
      </x:c>
      <x:c r="H63" s="272" t="str">
        <x:f>IF(G63="","",IF(G63&lt;=$B$10,"TAIL",""))</x:f>
      </x:c>
      <x:c r="I63" s="254" t="str">
        <x:f>IF(C63="","",-C63)</x:f>
      </x:c>
      <x:c r="J63" s="191" t="str">
        <x:v>Enter scenario date and link final reval P&amp;L</x:v>
      </x:c>
      <x:c r="K63" s="191"/>
      <x:c r="L63" s="191"/>
      <x:c r="M63" s="191"/>
      <x:c r="N63" s="191"/>
      <x:c r="O63" s="191"/>
      <x:c r="P63" s="191"/>
      <x:c r="Q63" s="191"/>
      <x:c r="R63" s="191"/>
      <x:c r="S63" s="191"/>
      <x:c r="T63" s="191"/>
      <x:c r="U63" s="191"/>
      <x:c r="V63" s="191"/>
      <x:c r="W63" s="191"/>
      <x:c r="X63" s="191"/>
      <x:c r="Y63" s="191"/>
      <x:c r="Z63" s="191"/>
      <x:c r="AA63" s="191"/>
      <x:c r="AB63" s="191"/>
      <x:c r="AC63" s="191"/>
      <x:c r="AD63" s="191"/>
      <x:c r="AE63" s="191"/>
      <x:c r="AF63" s="191"/>
      <x:c r="AG63" s="191"/>
      <x:c r="AH63" s="191"/>
      <x:c r="AI63" s="191"/>
      <x:c r="AJ63" s="191"/>
      <x:c r="AK63" s="191"/>
    </x:row>
    <x:row r="64">
      <x:c r="A64" s="191" t="n">
        <x:v>50</x:v>
      </x:c>
      <x:c r="B64" s="274"/>
      <x:c r="C64" s="275"/>
      <x:c r="D64" s="275"/>
      <x:c r="E64" s="275"/>
      <x:c r="F64" s="275"/>
      <x:c r="G64" s="272" t="str">
        <x:f>IF(C64="","",RANK.EQ(C64,$C$15:$C$264,1))</x:f>
      </x:c>
      <x:c r="H64" s="272" t="str">
        <x:f>IF(G64="","",IF(G64&lt;=$B$10,"TAIL",""))</x:f>
      </x:c>
      <x:c r="I64" s="254" t="str">
        <x:f>IF(C64="","",-C64)</x:f>
      </x:c>
      <x:c r="J64" s="191" t="str">
        <x:v>Enter scenario date and link final reval P&amp;L</x:v>
      </x:c>
      <x:c r="K64" s="191"/>
      <x:c r="L64" s="191"/>
      <x:c r="M64" s="191"/>
      <x:c r="N64" s="191"/>
      <x:c r="O64" s="191"/>
      <x:c r="P64" s="191"/>
      <x:c r="Q64" s="191"/>
      <x:c r="R64" s="191"/>
      <x:c r="S64" s="191"/>
      <x:c r="T64" s="191"/>
      <x:c r="U64" s="191"/>
      <x:c r="V64" s="191"/>
      <x:c r="W64" s="191"/>
      <x:c r="X64" s="191"/>
      <x:c r="Y64" s="191"/>
      <x:c r="Z64" s="191"/>
      <x:c r="AA64" s="191"/>
      <x:c r="AB64" s="191"/>
      <x:c r="AC64" s="191"/>
      <x:c r="AD64" s="191"/>
      <x:c r="AE64" s="191"/>
      <x:c r="AF64" s="191"/>
      <x:c r="AG64" s="191"/>
      <x:c r="AH64" s="191"/>
      <x:c r="AI64" s="191"/>
      <x:c r="AJ64" s="191"/>
      <x:c r="AK64" s="191"/>
    </x:row>
    <x:row r="65">
      <x:c r="A65" s="191" t="n">
        <x:v>51</x:v>
      </x:c>
      <x:c r="B65" s="274"/>
      <x:c r="C65" s="275"/>
      <x:c r="D65" s="275"/>
      <x:c r="E65" s="275"/>
      <x:c r="F65" s="275"/>
      <x:c r="G65" s="272" t="str">
        <x:f>IF(C65="","",RANK.EQ(C65,$C$15:$C$264,1))</x:f>
      </x:c>
      <x:c r="H65" s="272" t="str">
        <x:f>IF(G65="","",IF(G65&lt;=$B$10,"TAIL",""))</x:f>
      </x:c>
      <x:c r="I65" s="254" t="str">
        <x:f>IF(C65="","",-C65)</x:f>
      </x:c>
      <x:c r="J65" s="191" t="str">
        <x:v>Enter scenario date and link final reval P&amp;L</x:v>
      </x:c>
      <x:c r="K65" s="191"/>
      <x:c r="L65" s="191"/>
      <x:c r="M65" s="191"/>
      <x:c r="N65" s="191"/>
      <x:c r="O65" s="191"/>
      <x:c r="P65" s="191"/>
      <x:c r="Q65" s="191"/>
      <x:c r="R65" s="191"/>
      <x:c r="S65" s="191"/>
      <x:c r="T65" s="191"/>
      <x:c r="U65" s="191"/>
      <x:c r="V65" s="191"/>
      <x:c r="W65" s="191"/>
      <x:c r="X65" s="191"/>
      <x:c r="Y65" s="191"/>
      <x:c r="Z65" s="191"/>
      <x:c r="AA65" s="191"/>
      <x:c r="AB65" s="191"/>
      <x:c r="AC65" s="191"/>
      <x:c r="AD65" s="191"/>
      <x:c r="AE65" s="191"/>
      <x:c r="AF65" s="191"/>
      <x:c r="AG65" s="191"/>
      <x:c r="AH65" s="191"/>
      <x:c r="AI65" s="191"/>
      <x:c r="AJ65" s="191"/>
      <x:c r="AK65" s="191"/>
    </x:row>
    <x:row r="66">
      <x:c r="A66" s="191" t="n">
        <x:v>52</x:v>
      </x:c>
      <x:c r="B66" s="274"/>
      <x:c r="C66" s="275"/>
      <x:c r="D66" s="275"/>
      <x:c r="E66" s="275"/>
      <x:c r="F66" s="275"/>
      <x:c r="G66" s="272" t="str">
        <x:f>IF(C66="","",RANK.EQ(C66,$C$15:$C$264,1))</x:f>
      </x:c>
      <x:c r="H66" s="272" t="str">
        <x:f>IF(G66="","",IF(G66&lt;=$B$10,"TAIL",""))</x:f>
      </x:c>
      <x:c r="I66" s="254" t="str">
        <x:f>IF(C66="","",-C66)</x:f>
      </x:c>
      <x:c r="J66" s="191" t="str">
        <x:v>Enter scenario date and link final reval P&amp;L</x:v>
      </x:c>
      <x:c r="K66" s="191"/>
      <x:c r="L66" s="191"/>
      <x:c r="M66" s="191"/>
      <x:c r="N66" s="191"/>
      <x:c r="O66" s="191"/>
      <x:c r="P66" s="191"/>
      <x:c r="Q66" s="191"/>
      <x:c r="R66" s="191"/>
      <x:c r="S66" s="191"/>
      <x:c r="T66" s="191"/>
      <x:c r="U66" s="191"/>
      <x:c r="V66" s="191"/>
      <x:c r="W66" s="191"/>
      <x:c r="X66" s="191"/>
      <x:c r="Y66" s="191"/>
      <x:c r="Z66" s="191"/>
      <x:c r="AA66" s="191"/>
      <x:c r="AB66" s="191"/>
      <x:c r="AC66" s="191"/>
      <x:c r="AD66" s="191"/>
      <x:c r="AE66" s="191"/>
      <x:c r="AF66" s="191"/>
      <x:c r="AG66" s="191"/>
      <x:c r="AH66" s="191"/>
      <x:c r="AI66" s="191"/>
      <x:c r="AJ66" s="191"/>
      <x:c r="AK66" s="191"/>
    </x:row>
    <x:row r="67">
      <x:c r="A67" s="191" t="n">
        <x:v>53</x:v>
      </x:c>
      <x:c r="B67" s="274"/>
      <x:c r="C67" s="275"/>
      <x:c r="D67" s="275"/>
      <x:c r="E67" s="275"/>
      <x:c r="F67" s="275"/>
      <x:c r="G67" s="272" t="str">
        <x:f>IF(C67="","",RANK.EQ(C67,$C$15:$C$264,1))</x:f>
      </x:c>
      <x:c r="H67" s="272" t="str">
        <x:f>IF(G67="","",IF(G67&lt;=$B$10,"TAIL",""))</x:f>
      </x:c>
      <x:c r="I67" s="254" t="str">
        <x:f>IF(C67="","",-C67)</x:f>
      </x:c>
      <x:c r="J67" s="191" t="str">
        <x:v>Enter scenario date and link final reval P&amp;L</x:v>
      </x:c>
      <x:c r="K67" s="191"/>
      <x:c r="L67" s="191"/>
      <x:c r="M67" s="191"/>
      <x:c r="N67" s="191"/>
      <x:c r="O67" s="191"/>
      <x:c r="P67" s="191"/>
      <x:c r="Q67" s="191"/>
      <x:c r="R67" s="191"/>
      <x:c r="S67" s="191"/>
      <x:c r="T67" s="191"/>
      <x:c r="U67" s="191"/>
      <x:c r="V67" s="191"/>
      <x:c r="W67" s="191"/>
      <x:c r="X67" s="191"/>
      <x:c r="Y67" s="191"/>
      <x:c r="Z67" s="191"/>
      <x:c r="AA67" s="191"/>
      <x:c r="AB67" s="191"/>
      <x:c r="AC67" s="191"/>
      <x:c r="AD67" s="191"/>
      <x:c r="AE67" s="191"/>
      <x:c r="AF67" s="191"/>
      <x:c r="AG67" s="191"/>
      <x:c r="AH67" s="191"/>
      <x:c r="AI67" s="191"/>
      <x:c r="AJ67" s="191"/>
      <x:c r="AK67" s="191"/>
    </x:row>
    <x:row r="68">
      <x:c r="A68" s="191" t="n">
        <x:v>54</x:v>
      </x:c>
      <x:c r="B68" s="274"/>
      <x:c r="C68" s="275"/>
      <x:c r="D68" s="275"/>
      <x:c r="E68" s="275"/>
      <x:c r="F68" s="275"/>
      <x:c r="G68" s="272" t="str">
        <x:f>IF(C68="","",RANK.EQ(C68,$C$15:$C$264,1))</x:f>
      </x:c>
      <x:c r="H68" s="272" t="str">
        <x:f>IF(G68="","",IF(G68&lt;=$B$10,"TAIL",""))</x:f>
      </x:c>
      <x:c r="I68" s="254" t="str">
        <x:f>IF(C68="","",-C68)</x:f>
      </x:c>
      <x:c r="J68" s="191" t="str">
        <x:v>Enter scenario date and link final reval P&amp;L</x:v>
      </x:c>
      <x:c r="K68" s="191"/>
      <x:c r="L68" s="191"/>
      <x:c r="M68" s="191"/>
      <x:c r="N68" s="191"/>
      <x:c r="O68" s="191"/>
      <x:c r="P68" s="191"/>
      <x:c r="Q68" s="191"/>
      <x:c r="R68" s="191"/>
      <x:c r="S68" s="191"/>
      <x:c r="T68" s="191"/>
      <x:c r="U68" s="191"/>
      <x:c r="V68" s="191"/>
      <x:c r="W68" s="191"/>
      <x:c r="X68" s="191"/>
      <x:c r="Y68" s="191"/>
      <x:c r="Z68" s="191"/>
      <x:c r="AA68" s="191"/>
      <x:c r="AB68" s="191"/>
      <x:c r="AC68" s="191"/>
      <x:c r="AD68" s="191"/>
      <x:c r="AE68" s="191"/>
      <x:c r="AF68" s="191"/>
      <x:c r="AG68" s="191"/>
      <x:c r="AH68" s="191"/>
      <x:c r="AI68" s="191"/>
      <x:c r="AJ68" s="191"/>
      <x:c r="AK68" s="191"/>
    </x:row>
    <x:row r="69">
      <x:c r="A69" s="191" t="n">
        <x:v>55</x:v>
      </x:c>
      <x:c r="B69" s="274"/>
      <x:c r="C69" s="275"/>
      <x:c r="D69" s="275"/>
      <x:c r="E69" s="275"/>
      <x:c r="F69" s="275"/>
      <x:c r="G69" s="272" t="str">
        <x:f>IF(C69="","",RANK.EQ(C69,$C$15:$C$264,1))</x:f>
      </x:c>
      <x:c r="H69" s="272" t="str">
        <x:f>IF(G69="","",IF(G69&lt;=$B$10,"TAIL",""))</x:f>
      </x:c>
      <x:c r="I69" s="254" t="str">
        <x:f>IF(C69="","",-C69)</x:f>
      </x:c>
      <x:c r="J69" s="191" t="str">
        <x:v>Enter scenario date and link final reval P&amp;L</x:v>
      </x:c>
      <x:c r="K69" s="191"/>
      <x:c r="L69" s="191"/>
      <x:c r="M69" s="191"/>
      <x:c r="N69" s="191"/>
      <x:c r="O69" s="191"/>
      <x:c r="P69" s="191"/>
      <x:c r="Q69" s="191"/>
      <x:c r="R69" s="191"/>
      <x:c r="S69" s="191"/>
      <x:c r="T69" s="191"/>
      <x:c r="U69" s="191"/>
      <x:c r="V69" s="191"/>
      <x:c r="W69" s="191"/>
      <x:c r="X69" s="191"/>
      <x:c r="Y69" s="191"/>
      <x:c r="Z69" s="191"/>
      <x:c r="AA69" s="191"/>
      <x:c r="AB69" s="191"/>
      <x:c r="AC69" s="191"/>
      <x:c r="AD69" s="191"/>
      <x:c r="AE69" s="191"/>
      <x:c r="AF69" s="191"/>
      <x:c r="AG69" s="191"/>
      <x:c r="AH69" s="191"/>
      <x:c r="AI69" s="191"/>
      <x:c r="AJ69" s="191"/>
      <x:c r="AK69" s="191"/>
    </x:row>
    <x:row r="70">
      <x:c r="A70" s="191" t="n">
        <x:v>56</x:v>
      </x:c>
      <x:c r="B70" s="274"/>
      <x:c r="C70" s="275"/>
      <x:c r="D70" s="275"/>
      <x:c r="E70" s="275"/>
      <x:c r="F70" s="275"/>
      <x:c r="G70" s="272" t="str">
        <x:f>IF(C70="","",RANK.EQ(C70,$C$15:$C$264,1))</x:f>
      </x:c>
      <x:c r="H70" s="272" t="str">
        <x:f>IF(G70="","",IF(G70&lt;=$B$10,"TAIL",""))</x:f>
      </x:c>
      <x:c r="I70" s="254" t="str">
        <x:f>IF(C70="","",-C70)</x:f>
      </x:c>
      <x:c r="J70" s="191" t="str">
        <x:v>Enter scenario date and link final reval P&amp;L</x:v>
      </x:c>
      <x:c r="K70" s="191"/>
      <x:c r="L70" s="191"/>
      <x:c r="M70" s="191"/>
      <x:c r="N70" s="191"/>
      <x:c r="O70" s="191"/>
      <x:c r="P70" s="191"/>
      <x:c r="Q70" s="191"/>
      <x:c r="R70" s="191"/>
      <x:c r="S70" s="191"/>
      <x:c r="T70" s="191"/>
      <x:c r="U70" s="191"/>
      <x:c r="V70" s="191"/>
      <x:c r="W70" s="191"/>
      <x:c r="X70" s="191"/>
      <x:c r="Y70" s="191"/>
      <x:c r="Z70" s="191"/>
      <x:c r="AA70" s="191"/>
      <x:c r="AB70" s="191"/>
      <x:c r="AC70" s="191"/>
      <x:c r="AD70" s="191"/>
      <x:c r="AE70" s="191"/>
      <x:c r="AF70" s="191"/>
      <x:c r="AG70" s="191"/>
      <x:c r="AH70" s="191"/>
      <x:c r="AI70" s="191"/>
      <x:c r="AJ70" s="191"/>
      <x:c r="AK70" s="191"/>
    </x:row>
    <x:row r="71">
      <x:c r="A71" s="191" t="n">
        <x:v>57</x:v>
      </x:c>
      <x:c r="B71" s="274"/>
      <x:c r="C71" s="275"/>
      <x:c r="D71" s="275"/>
      <x:c r="E71" s="275"/>
      <x:c r="F71" s="275"/>
      <x:c r="G71" s="272" t="str">
        <x:f>IF(C71="","",RANK.EQ(C71,$C$15:$C$264,1))</x:f>
      </x:c>
      <x:c r="H71" s="272" t="str">
        <x:f>IF(G71="","",IF(G71&lt;=$B$10,"TAIL",""))</x:f>
      </x:c>
      <x:c r="I71" s="254" t="str">
        <x:f>IF(C71="","",-C71)</x:f>
      </x:c>
      <x:c r="J71" s="191" t="str">
        <x:v>Enter scenario date and link final reval P&amp;L</x:v>
      </x:c>
      <x:c r="K71" s="191"/>
      <x:c r="L71" s="191"/>
      <x:c r="M71" s="191"/>
      <x:c r="N71" s="191"/>
      <x:c r="O71" s="191"/>
      <x:c r="P71" s="191"/>
      <x:c r="Q71" s="191"/>
      <x:c r="R71" s="191"/>
      <x:c r="S71" s="191"/>
      <x:c r="T71" s="191"/>
      <x:c r="U71" s="191"/>
      <x:c r="V71" s="191"/>
      <x:c r="W71" s="191"/>
      <x:c r="X71" s="191"/>
      <x:c r="Y71" s="191"/>
      <x:c r="Z71" s="191"/>
      <x:c r="AA71" s="191"/>
      <x:c r="AB71" s="191"/>
      <x:c r="AC71" s="191"/>
      <x:c r="AD71" s="191"/>
      <x:c r="AE71" s="191"/>
      <x:c r="AF71" s="191"/>
      <x:c r="AG71" s="191"/>
      <x:c r="AH71" s="191"/>
      <x:c r="AI71" s="191"/>
      <x:c r="AJ71" s="191"/>
      <x:c r="AK71" s="191"/>
    </x:row>
    <x:row r="72">
      <x:c r="A72" s="191" t="n">
        <x:v>58</x:v>
      </x:c>
      <x:c r="B72" s="274"/>
      <x:c r="C72" s="275"/>
      <x:c r="D72" s="275"/>
      <x:c r="E72" s="275"/>
      <x:c r="F72" s="275"/>
      <x:c r="G72" s="272" t="str">
        <x:f>IF(C72="","",RANK.EQ(C72,$C$15:$C$264,1))</x:f>
      </x:c>
      <x:c r="H72" s="272" t="str">
        <x:f>IF(G72="","",IF(G72&lt;=$B$10,"TAIL",""))</x:f>
      </x:c>
      <x:c r="I72" s="254" t="str">
        <x:f>IF(C72="","",-C72)</x:f>
      </x:c>
      <x:c r="J72" s="191" t="str">
        <x:v>Enter scenario date and link final reval P&amp;L</x:v>
      </x:c>
      <x:c r="K72" s="191"/>
      <x:c r="L72" s="191"/>
      <x:c r="M72" s="191"/>
      <x:c r="N72" s="191"/>
      <x:c r="O72" s="191"/>
      <x:c r="P72" s="191"/>
      <x:c r="Q72" s="191"/>
      <x:c r="R72" s="191"/>
      <x:c r="S72" s="191"/>
      <x:c r="T72" s="191"/>
      <x:c r="U72" s="191"/>
      <x:c r="V72" s="191"/>
      <x:c r="W72" s="191"/>
      <x:c r="X72" s="191"/>
      <x:c r="Y72" s="191"/>
      <x:c r="Z72" s="191"/>
      <x:c r="AA72" s="191"/>
      <x:c r="AB72" s="191"/>
      <x:c r="AC72" s="191"/>
      <x:c r="AD72" s="191"/>
      <x:c r="AE72" s="191"/>
      <x:c r="AF72" s="191"/>
      <x:c r="AG72" s="191"/>
      <x:c r="AH72" s="191"/>
      <x:c r="AI72" s="191"/>
      <x:c r="AJ72" s="191"/>
      <x:c r="AK72" s="191"/>
    </x:row>
    <x:row r="73">
      <x:c r="A73" s="191" t="n">
        <x:v>59</x:v>
      </x:c>
      <x:c r="B73" s="274"/>
      <x:c r="C73" s="275"/>
      <x:c r="D73" s="275"/>
      <x:c r="E73" s="275"/>
      <x:c r="F73" s="275"/>
      <x:c r="G73" s="272" t="str">
        <x:f>IF(C73="","",RANK.EQ(C73,$C$15:$C$264,1))</x:f>
      </x:c>
      <x:c r="H73" s="272" t="str">
        <x:f>IF(G73="","",IF(G73&lt;=$B$10,"TAIL",""))</x:f>
      </x:c>
      <x:c r="I73" s="254" t="str">
        <x:f>IF(C73="","",-C73)</x:f>
      </x:c>
      <x:c r="J73" s="191" t="str">
        <x:v>Enter scenario date and link final reval P&amp;L</x:v>
      </x:c>
      <x:c r="K73" s="191"/>
      <x:c r="L73" s="191"/>
      <x:c r="M73" s="191"/>
      <x:c r="N73" s="191"/>
      <x:c r="O73" s="191"/>
      <x:c r="P73" s="191"/>
      <x:c r="Q73" s="191"/>
      <x:c r="R73" s="191"/>
      <x:c r="S73" s="191"/>
      <x:c r="T73" s="191"/>
      <x:c r="U73" s="191"/>
      <x:c r="V73" s="191"/>
      <x:c r="W73" s="191"/>
      <x:c r="X73" s="191"/>
      <x:c r="Y73" s="191"/>
      <x:c r="Z73" s="191"/>
      <x:c r="AA73" s="191"/>
      <x:c r="AB73" s="191"/>
      <x:c r="AC73" s="191"/>
      <x:c r="AD73" s="191"/>
      <x:c r="AE73" s="191"/>
      <x:c r="AF73" s="191"/>
      <x:c r="AG73" s="191"/>
      <x:c r="AH73" s="191"/>
      <x:c r="AI73" s="191"/>
      <x:c r="AJ73" s="191"/>
      <x:c r="AK73" s="191"/>
    </x:row>
    <x:row r="74">
      <x:c r="A74" s="191" t="n">
        <x:v>60</x:v>
      </x:c>
      <x:c r="B74" s="274"/>
      <x:c r="C74" s="275"/>
      <x:c r="D74" s="275"/>
      <x:c r="E74" s="275"/>
      <x:c r="F74" s="275"/>
      <x:c r="G74" s="272" t="str">
        <x:f>IF(C74="","",RANK.EQ(C74,$C$15:$C$264,1))</x:f>
      </x:c>
      <x:c r="H74" s="272" t="str">
        <x:f>IF(G74="","",IF(G74&lt;=$B$10,"TAIL",""))</x:f>
      </x:c>
      <x:c r="I74" s="254" t="str">
        <x:f>IF(C74="","",-C74)</x:f>
      </x:c>
      <x:c r="J74" s="191" t="str">
        <x:v>Enter scenario date and link final reval P&amp;L</x:v>
      </x:c>
      <x:c r="K74" s="191"/>
      <x:c r="L74" s="191"/>
      <x:c r="M74" s="191"/>
      <x:c r="N74" s="191"/>
      <x:c r="O74" s="191"/>
      <x:c r="P74" s="191"/>
      <x:c r="Q74" s="191"/>
      <x:c r="R74" s="191"/>
      <x:c r="S74" s="191"/>
      <x:c r="T74" s="191"/>
      <x:c r="U74" s="191"/>
      <x:c r="V74" s="191"/>
      <x:c r="W74" s="191"/>
      <x:c r="X74" s="191"/>
      <x:c r="Y74" s="191"/>
      <x:c r="Z74" s="191"/>
      <x:c r="AA74" s="191"/>
      <x:c r="AB74" s="191"/>
      <x:c r="AC74" s="191"/>
      <x:c r="AD74" s="191"/>
      <x:c r="AE74" s="191"/>
      <x:c r="AF74" s="191"/>
      <x:c r="AG74" s="191"/>
      <x:c r="AH74" s="191"/>
      <x:c r="AI74" s="191"/>
      <x:c r="AJ74" s="191"/>
      <x:c r="AK74" s="191"/>
    </x:row>
    <x:row r="75">
      <x:c r="A75" s="191" t="n">
        <x:v>61</x:v>
      </x:c>
      <x:c r="B75" s="274"/>
      <x:c r="C75" s="275"/>
      <x:c r="D75" s="275"/>
      <x:c r="E75" s="275"/>
      <x:c r="F75" s="275"/>
      <x:c r="G75" s="272" t="str">
        <x:f>IF(C75="","",RANK.EQ(C75,$C$15:$C$264,1))</x:f>
      </x:c>
      <x:c r="H75" s="272" t="str">
        <x:f>IF(G75="","",IF(G75&lt;=$B$10,"TAIL",""))</x:f>
      </x:c>
      <x:c r="I75" s="254" t="str">
        <x:f>IF(C75="","",-C75)</x:f>
      </x:c>
      <x:c r="J75" s="191" t="str">
        <x:v>Enter scenario date and link final reval P&amp;L</x:v>
      </x:c>
      <x:c r="K75" s="191"/>
      <x:c r="L75" s="191"/>
      <x:c r="M75" s="191"/>
      <x:c r="N75" s="191"/>
      <x:c r="O75" s="191"/>
      <x:c r="P75" s="191"/>
      <x:c r="Q75" s="191"/>
      <x:c r="R75" s="191"/>
      <x:c r="S75" s="191"/>
      <x:c r="T75" s="191"/>
      <x:c r="U75" s="191"/>
      <x:c r="V75" s="191"/>
      <x:c r="W75" s="191"/>
      <x:c r="X75" s="191"/>
      <x:c r="Y75" s="191"/>
      <x:c r="Z75" s="191"/>
      <x:c r="AA75" s="191"/>
      <x:c r="AB75" s="191"/>
      <x:c r="AC75" s="191"/>
      <x:c r="AD75" s="191"/>
      <x:c r="AE75" s="191"/>
      <x:c r="AF75" s="191"/>
      <x:c r="AG75" s="191"/>
      <x:c r="AH75" s="191"/>
      <x:c r="AI75" s="191"/>
      <x:c r="AJ75" s="191"/>
      <x:c r="AK75" s="191"/>
    </x:row>
    <x:row r="76">
      <x:c r="A76" s="191" t="n">
        <x:v>62</x:v>
      </x:c>
      <x:c r="B76" s="274"/>
      <x:c r="C76" s="275"/>
      <x:c r="D76" s="275"/>
      <x:c r="E76" s="275"/>
      <x:c r="F76" s="275"/>
      <x:c r="G76" s="272" t="str">
        <x:f>IF(C76="","",RANK.EQ(C76,$C$15:$C$264,1))</x:f>
      </x:c>
      <x:c r="H76" s="272" t="str">
        <x:f>IF(G76="","",IF(G76&lt;=$B$10,"TAIL",""))</x:f>
      </x:c>
      <x:c r="I76" s="254" t="str">
        <x:f>IF(C76="","",-C76)</x:f>
      </x:c>
      <x:c r="J76" s="191" t="str">
        <x:v>Enter scenario date and link final reval P&amp;L</x:v>
      </x:c>
      <x:c r="K76" s="191"/>
      <x:c r="L76" s="191"/>
      <x:c r="M76" s="191"/>
      <x:c r="N76" s="191"/>
      <x:c r="O76" s="191"/>
      <x:c r="P76" s="191"/>
      <x:c r="Q76" s="191"/>
      <x:c r="R76" s="191"/>
      <x:c r="S76" s="191"/>
      <x:c r="T76" s="191"/>
      <x:c r="U76" s="191"/>
      <x:c r="V76" s="191"/>
      <x:c r="W76" s="191"/>
      <x:c r="X76" s="191"/>
      <x:c r="Y76" s="191"/>
      <x:c r="Z76" s="191"/>
      <x:c r="AA76" s="191"/>
      <x:c r="AB76" s="191"/>
      <x:c r="AC76" s="191"/>
      <x:c r="AD76" s="191"/>
      <x:c r="AE76" s="191"/>
      <x:c r="AF76" s="191"/>
      <x:c r="AG76" s="191"/>
      <x:c r="AH76" s="191"/>
      <x:c r="AI76" s="191"/>
      <x:c r="AJ76" s="191"/>
      <x:c r="AK76" s="191"/>
    </x:row>
    <x:row r="77">
      <x:c r="A77" s="191" t="n">
        <x:v>63</x:v>
      </x:c>
      <x:c r="B77" s="274"/>
      <x:c r="C77" s="275"/>
      <x:c r="D77" s="275"/>
      <x:c r="E77" s="275"/>
      <x:c r="F77" s="275"/>
      <x:c r="G77" s="272" t="str">
        <x:f>IF(C77="","",RANK.EQ(C77,$C$15:$C$264,1))</x:f>
      </x:c>
      <x:c r="H77" s="272" t="str">
        <x:f>IF(G77="","",IF(G77&lt;=$B$10,"TAIL",""))</x:f>
      </x:c>
      <x:c r="I77" s="254" t="str">
        <x:f>IF(C77="","",-C77)</x:f>
      </x:c>
      <x:c r="J77" s="191" t="str">
        <x:v>Enter scenario date and link final reval P&amp;L</x:v>
      </x:c>
      <x:c r="K77" s="191"/>
      <x:c r="L77" s="191"/>
      <x:c r="M77" s="191"/>
      <x:c r="N77" s="191"/>
      <x:c r="O77" s="191"/>
      <x:c r="P77" s="191"/>
      <x:c r="Q77" s="191"/>
      <x:c r="R77" s="191"/>
      <x:c r="S77" s="191"/>
      <x:c r="T77" s="191"/>
      <x:c r="U77" s="191"/>
      <x:c r="V77" s="191"/>
      <x:c r="W77" s="191"/>
      <x:c r="X77" s="191"/>
      <x:c r="Y77" s="191"/>
      <x:c r="Z77" s="191"/>
      <x:c r="AA77" s="191"/>
      <x:c r="AB77" s="191"/>
      <x:c r="AC77" s="191"/>
      <x:c r="AD77" s="191"/>
      <x:c r="AE77" s="191"/>
      <x:c r="AF77" s="191"/>
      <x:c r="AG77" s="191"/>
      <x:c r="AH77" s="191"/>
      <x:c r="AI77" s="191"/>
      <x:c r="AJ77" s="191"/>
      <x:c r="AK77" s="191"/>
    </x:row>
    <x:row r="78">
      <x:c r="A78" s="191" t="n">
        <x:v>64</x:v>
      </x:c>
      <x:c r="B78" s="274"/>
      <x:c r="C78" s="275"/>
      <x:c r="D78" s="275"/>
      <x:c r="E78" s="275"/>
      <x:c r="F78" s="275"/>
      <x:c r="G78" s="272" t="str">
        <x:f>IF(C78="","",RANK.EQ(C78,$C$15:$C$264,1))</x:f>
      </x:c>
      <x:c r="H78" s="272" t="str">
        <x:f>IF(G78="","",IF(G78&lt;=$B$10,"TAIL",""))</x:f>
      </x:c>
      <x:c r="I78" s="254" t="str">
        <x:f>IF(C78="","",-C78)</x:f>
      </x:c>
      <x:c r="J78" s="191" t="str">
        <x:v>Enter scenario date and link final reval P&amp;L</x:v>
      </x:c>
      <x:c r="K78" s="191"/>
      <x:c r="L78" s="191"/>
      <x:c r="M78" s="191"/>
      <x:c r="N78" s="191"/>
      <x:c r="O78" s="191"/>
      <x:c r="P78" s="191"/>
      <x:c r="Q78" s="191"/>
      <x:c r="R78" s="191"/>
      <x:c r="S78" s="191"/>
      <x:c r="T78" s="191"/>
      <x:c r="U78" s="191"/>
      <x:c r="V78" s="191"/>
      <x:c r="W78" s="191"/>
      <x:c r="X78" s="191"/>
      <x:c r="Y78" s="191"/>
      <x:c r="Z78" s="191"/>
      <x:c r="AA78" s="191"/>
      <x:c r="AB78" s="191"/>
      <x:c r="AC78" s="191"/>
      <x:c r="AD78" s="191"/>
      <x:c r="AE78" s="191"/>
      <x:c r="AF78" s="191"/>
      <x:c r="AG78" s="191"/>
      <x:c r="AH78" s="191"/>
      <x:c r="AI78" s="191"/>
      <x:c r="AJ78" s="191"/>
      <x:c r="AK78" s="191"/>
    </x:row>
    <x:row r="79">
      <x:c r="A79" s="191" t="n">
        <x:v>65</x:v>
      </x:c>
      <x:c r="B79" s="274"/>
      <x:c r="C79" s="275"/>
      <x:c r="D79" s="275"/>
      <x:c r="E79" s="275"/>
      <x:c r="F79" s="275"/>
      <x:c r="G79" s="272" t="str">
        <x:f>IF(C79="","",RANK.EQ(C79,$C$15:$C$264,1))</x:f>
      </x:c>
      <x:c r="H79" s="272" t="str">
        <x:f>IF(G79="","",IF(G79&lt;=$B$10,"TAIL",""))</x:f>
      </x:c>
      <x:c r="I79" s="254" t="str">
        <x:f>IF(C79="","",-C79)</x:f>
      </x:c>
      <x:c r="J79" s="191" t="str">
        <x:v>Enter scenario date and link final reval P&amp;L</x:v>
      </x:c>
      <x:c r="K79" s="191"/>
      <x:c r="L79" s="191"/>
      <x:c r="M79" s="191"/>
      <x:c r="N79" s="191"/>
      <x:c r="O79" s="191"/>
      <x:c r="P79" s="191"/>
      <x:c r="Q79" s="191"/>
      <x:c r="R79" s="191"/>
      <x:c r="S79" s="191"/>
      <x:c r="T79" s="191"/>
      <x:c r="U79" s="191"/>
      <x:c r="V79" s="191"/>
      <x:c r="W79" s="191"/>
      <x:c r="X79" s="191"/>
      <x:c r="Y79" s="191"/>
      <x:c r="Z79" s="191"/>
      <x:c r="AA79" s="191"/>
      <x:c r="AB79" s="191"/>
      <x:c r="AC79" s="191"/>
      <x:c r="AD79" s="191"/>
      <x:c r="AE79" s="191"/>
      <x:c r="AF79" s="191"/>
      <x:c r="AG79" s="191"/>
      <x:c r="AH79" s="191"/>
      <x:c r="AI79" s="191"/>
      <x:c r="AJ79" s="191"/>
      <x:c r="AK79" s="191"/>
    </x:row>
    <x:row r="80">
      <x:c r="A80" s="191" t="n">
        <x:v>66</x:v>
      </x:c>
      <x:c r="B80" s="274"/>
      <x:c r="C80" s="275"/>
      <x:c r="D80" s="275"/>
      <x:c r="E80" s="275"/>
      <x:c r="F80" s="275"/>
      <x:c r="G80" s="272" t="str">
        <x:f>IF(C80="","",RANK.EQ(C80,$C$15:$C$264,1))</x:f>
      </x:c>
      <x:c r="H80" s="272" t="str">
        <x:f>IF(G80="","",IF(G80&lt;=$B$10,"TAIL",""))</x:f>
      </x:c>
      <x:c r="I80" s="254" t="str">
        <x:f>IF(C80="","",-C80)</x:f>
      </x:c>
      <x:c r="J80" s="191" t="str">
        <x:v>Enter scenario date and link final reval P&amp;L</x:v>
      </x:c>
      <x:c r="K80" s="191"/>
      <x:c r="L80" s="191"/>
      <x:c r="M80" s="191"/>
      <x:c r="N80" s="191"/>
      <x:c r="O80" s="191"/>
      <x:c r="P80" s="191"/>
      <x:c r="Q80" s="191"/>
      <x:c r="R80" s="191"/>
      <x:c r="S80" s="191"/>
      <x:c r="T80" s="191"/>
      <x:c r="U80" s="191"/>
      <x:c r="V80" s="191"/>
      <x:c r="W80" s="191"/>
      <x:c r="X80" s="191"/>
      <x:c r="Y80" s="191"/>
      <x:c r="Z80" s="191"/>
      <x:c r="AA80" s="191"/>
      <x:c r="AB80" s="191"/>
      <x:c r="AC80" s="191"/>
      <x:c r="AD80" s="191"/>
      <x:c r="AE80" s="191"/>
      <x:c r="AF80" s="191"/>
      <x:c r="AG80" s="191"/>
      <x:c r="AH80" s="191"/>
      <x:c r="AI80" s="191"/>
      <x:c r="AJ80" s="191"/>
      <x:c r="AK80" s="191"/>
    </x:row>
    <x:row r="81">
      <x:c r="A81" s="191" t="n">
        <x:v>67</x:v>
      </x:c>
      <x:c r="B81" s="274"/>
      <x:c r="C81" s="275"/>
      <x:c r="D81" s="275"/>
      <x:c r="E81" s="275"/>
      <x:c r="F81" s="275"/>
      <x:c r="G81" s="272" t="str">
        <x:f>IF(C81="","",RANK.EQ(C81,$C$15:$C$264,1))</x:f>
      </x:c>
      <x:c r="H81" s="272" t="str">
        <x:f>IF(G81="","",IF(G81&lt;=$B$10,"TAIL",""))</x:f>
      </x:c>
      <x:c r="I81" s="254" t="str">
        <x:f>IF(C81="","",-C81)</x:f>
      </x:c>
      <x:c r="J81" s="191" t="str">
        <x:v>Enter scenario date and link final reval P&amp;L</x:v>
      </x:c>
      <x:c r="K81" s="191"/>
      <x:c r="L81" s="191"/>
      <x:c r="M81" s="191"/>
      <x:c r="N81" s="191"/>
      <x:c r="O81" s="191"/>
      <x:c r="P81" s="191"/>
      <x:c r="Q81" s="191"/>
      <x:c r="R81" s="191"/>
      <x:c r="S81" s="191"/>
      <x:c r="T81" s="191"/>
      <x:c r="U81" s="191"/>
      <x:c r="V81" s="191"/>
      <x:c r="W81" s="191"/>
      <x:c r="X81" s="191"/>
      <x:c r="Y81" s="191"/>
      <x:c r="Z81" s="191"/>
      <x:c r="AA81" s="191"/>
      <x:c r="AB81" s="191"/>
      <x:c r="AC81" s="191"/>
      <x:c r="AD81" s="191"/>
      <x:c r="AE81" s="191"/>
      <x:c r="AF81" s="191"/>
      <x:c r="AG81" s="191"/>
      <x:c r="AH81" s="191"/>
      <x:c r="AI81" s="191"/>
      <x:c r="AJ81" s="191"/>
      <x:c r="AK81" s="191"/>
    </x:row>
    <x:row r="82">
      <x:c r="A82" s="191" t="n">
        <x:v>68</x:v>
      </x:c>
      <x:c r="B82" s="274"/>
      <x:c r="C82" s="275"/>
      <x:c r="D82" s="275"/>
      <x:c r="E82" s="275"/>
      <x:c r="F82" s="275"/>
      <x:c r="G82" s="272" t="str">
        <x:f>IF(C82="","",RANK.EQ(C82,$C$15:$C$264,1))</x:f>
      </x:c>
      <x:c r="H82" s="272" t="str">
        <x:f>IF(G82="","",IF(G82&lt;=$B$10,"TAIL",""))</x:f>
      </x:c>
      <x:c r="I82" s="254" t="str">
        <x:f>IF(C82="","",-C82)</x:f>
      </x:c>
      <x:c r="J82" s="191" t="str">
        <x:v>Enter scenario date and link final reval P&amp;L</x:v>
      </x:c>
      <x:c r="K82" s="191"/>
      <x:c r="L82" s="191"/>
      <x:c r="M82" s="191"/>
      <x:c r="N82" s="191"/>
      <x:c r="O82" s="191"/>
      <x:c r="P82" s="191"/>
      <x:c r="Q82" s="191"/>
      <x:c r="R82" s="191"/>
      <x:c r="S82" s="191"/>
      <x:c r="T82" s="191"/>
      <x:c r="U82" s="191"/>
      <x:c r="V82" s="191"/>
      <x:c r="W82" s="191"/>
      <x:c r="X82" s="191"/>
      <x:c r="Y82" s="191"/>
      <x:c r="Z82" s="191"/>
      <x:c r="AA82" s="191"/>
      <x:c r="AB82" s="191"/>
      <x:c r="AC82" s="191"/>
      <x:c r="AD82" s="191"/>
      <x:c r="AE82" s="191"/>
      <x:c r="AF82" s="191"/>
      <x:c r="AG82" s="191"/>
      <x:c r="AH82" s="191"/>
      <x:c r="AI82" s="191"/>
      <x:c r="AJ82" s="191"/>
      <x:c r="AK82" s="191"/>
    </x:row>
    <x:row r="83">
      <x:c r="A83" s="191" t="n">
        <x:v>69</x:v>
      </x:c>
      <x:c r="B83" s="274"/>
      <x:c r="C83" s="275"/>
      <x:c r="D83" s="275"/>
      <x:c r="E83" s="275"/>
      <x:c r="F83" s="275"/>
      <x:c r="G83" s="272" t="str">
        <x:f>IF(C83="","",RANK.EQ(C83,$C$15:$C$264,1))</x:f>
      </x:c>
      <x:c r="H83" s="272" t="str">
        <x:f>IF(G83="","",IF(G83&lt;=$B$10,"TAIL",""))</x:f>
      </x:c>
      <x:c r="I83" s="254" t="str">
        <x:f>IF(C83="","",-C83)</x:f>
      </x:c>
      <x:c r="J83" s="191" t="str">
        <x:v>Enter scenario date and link final reval P&amp;L</x:v>
      </x:c>
      <x:c r="K83" s="191"/>
      <x:c r="L83" s="191"/>
      <x:c r="M83" s="191"/>
      <x:c r="N83" s="191"/>
      <x:c r="O83" s="191"/>
      <x:c r="P83" s="191"/>
      <x:c r="Q83" s="191"/>
      <x:c r="R83" s="191"/>
      <x:c r="S83" s="191"/>
      <x:c r="T83" s="191"/>
      <x:c r="U83" s="191"/>
      <x:c r="V83" s="191"/>
      <x:c r="W83" s="191"/>
      <x:c r="X83" s="191"/>
      <x:c r="Y83" s="191"/>
      <x:c r="Z83" s="191"/>
      <x:c r="AA83" s="191"/>
      <x:c r="AB83" s="191"/>
      <x:c r="AC83" s="191"/>
      <x:c r="AD83" s="191"/>
      <x:c r="AE83" s="191"/>
      <x:c r="AF83" s="191"/>
      <x:c r="AG83" s="191"/>
      <x:c r="AH83" s="191"/>
      <x:c r="AI83" s="191"/>
      <x:c r="AJ83" s="191"/>
      <x:c r="AK83" s="191"/>
    </x:row>
    <x:row r="84">
      <x:c r="A84" s="191" t="n">
        <x:v>70</x:v>
      </x:c>
      <x:c r="B84" s="274"/>
      <x:c r="C84" s="275"/>
      <x:c r="D84" s="275"/>
      <x:c r="E84" s="275"/>
      <x:c r="F84" s="275"/>
      <x:c r="G84" s="272" t="str">
        <x:f>IF(C84="","",RANK.EQ(C84,$C$15:$C$264,1))</x:f>
      </x:c>
      <x:c r="H84" s="272" t="str">
        <x:f>IF(G84="","",IF(G84&lt;=$B$10,"TAIL",""))</x:f>
      </x:c>
      <x:c r="I84" s="254" t="str">
        <x:f>IF(C84="","",-C84)</x:f>
      </x:c>
      <x:c r="J84" s="191" t="str">
        <x:v>Enter scenario date and link final reval P&amp;L</x:v>
      </x:c>
      <x:c r="K84" s="191"/>
      <x:c r="L84" s="191"/>
      <x:c r="M84" s="191"/>
      <x:c r="N84" s="191"/>
      <x:c r="O84" s="191"/>
      <x:c r="P84" s="191"/>
      <x:c r="Q84" s="191"/>
      <x:c r="R84" s="191"/>
      <x:c r="S84" s="191"/>
      <x:c r="T84" s="191"/>
      <x:c r="U84" s="191"/>
      <x:c r="V84" s="191"/>
      <x:c r="W84" s="191"/>
      <x:c r="X84" s="191"/>
      <x:c r="Y84" s="191"/>
      <x:c r="Z84" s="191"/>
      <x:c r="AA84" s="191"/>
      <x:c r="AB84" s="191"/>
      <x:c r="AC84" s="191"/>
      <x:c r="AD84" s="191"/>
      <x:c r="AE84" s="191"/>
      <x:c r="AF84" s="191"/>
      <x:c r="AG84" s="191"/>
      <x:c r="AH84" s="191"/>
      <x:c r="AI84" s="191"/>
      <x:c r="AJ84" s="191"/>
      <x:c r="AK84" s="191"/>
    </x:row>
    <x:row r="85">
      <x:c r="A85" s="191" t="n">
        <x:v>71</x:v>
      </x:c>
      <x:c r="B85" s="274"/>
      <x:c r="C85" s="275"/>
      <x:c r="D85" s="275"/>
      <x:c r="E85" s="275"/>
      <x:c r="F85" s="275"/>
      <x:c r="G85" s="272" t="str">
        <x:f>IF(C85="","",RANK.EQ(C85,$C$15:$C$264,1))</x:f>
      </x:c>
      <x:c r="H85" s="272" t="str">
        <x:f>IF(G85="","",IF(G85&lt;=$B$10,"TAIL",""))</x:f>
      </x:c>
      <x:c r="I85" s="254" t="str">
        <x:f>IF(C85="","",-C85)</x:f>
      </x:c>
      <x:c r="J85" s="191" t="str">
        <x:v>Enter scenario date and link final reval P&amp;L</x:v>
      </x:c>
      <x:c r="K85" s="191"/>
      <x:c r="L85" s="191"/>
      <x:c r="M85" s="191"/>
      <x:c r="N85" s="191"/>
      <x:c r="O85" s="191"/>
      <x:c r="P85" s="191"/>
      <x:c r="Q85" s="191"/>
      <x:c r="R85" s="191"/>
      <x:c r="S85" s="191"/>
      <x:c r="T85" s="191"/>
      <x:c r="U85" s="191"/>
      <x:c r="V85" s="191"/>
      <x:c r="W85" s="191"/>
      <x:c r="X85" s="191"/>
      <x:c r="Y85" s="191"/>
      <x:c r="Z85" s="191"/>
      <x:c r="AA85" s="191"/>
      <x:c r="AB85" s="191"/>
      <x:c r="AC85" s="191"/>
      <x:c r="AD85" s="191"/>
      <x:c r="AE85" s="191"/>
      <x:c r="AF85" s="191"/>
      <x:c r="AG85" s="191"/>
      <x:c r="AH85" s="191"/>
      <x:c r="AI85" s="191"/>
      <x:c r="AJ85" s="191"/>
      <x:c r="AK85" s="191"/>
    </x:row>
    <x:row r="86">
      <x:c r="A86" s="191" t="n">
        <x:v>72</x:v>
      </x:c>
      <x:c r="B86" s="274"/>
      <x:c r="C86" s="275"/>
      <x:c r="D86" s="275"/>
      <x:c r="E86" s="275"/>
      <x:c r="F86" s="275"/>
      <x:c r="G86" s="272" t="str">
        <x:f>IF(C86="","",RANK.EQ(C86,$C$15:$C$264,1))</x:f>
      </x:c>
      <x:c r="H86" s="272" t="str">
        <x:f>IF(G86="","",IF(G86&lt;=$B$10,"TAIL",""))</x:f>
      </x:c>
      <x:c r="I86" s="254" t="str">
        <x:f>IF(C86="","",-C86)</x:f>
      </x:c>
      <x:c r="J86" s="191" t="str">
        <x:v>Enter scenario date and link final reval P&amp;L</x:v>
      </x:c>
      <x:c r="K86" s="191"/>
      <x:c r="L86" s="191"/>
      <x:c r="M86" s="191"/>
      <x:c r="N86" s="191"/>
      <x:c r="O86" s="191"/>
      <x:c r="P86" s="191"/>
      <x:c r="Q86" s="191"/>
      <x:c r="R86" s="191"/>
      <x:c r="S86" s="191"/>
      <x:c r="T86" s="191"/>
      <x:c r="U86" s="191"/>
      <x:c r="V86" s="191"/>
      <x:c r="W86" s="191"/>
      <x:c r="X86" s="191"/>
      <x:c r="Y86" s="191"/>
      <x:c r="Z86" s="191"/>
      <x:c r="AA86" s="191"/>
      <x:c r="AB86" s="191"/>
      <x:c r="AC86" s="191"/>
      <x:c r="AD86" s="191"/>
      <x:c r="AE86" s="191"/>
      <x:c r="AF86" s="191"/>
      <x:c r="AG86" s="191"/>
      <x:c r="AH86" s="191"/>
      <x:c r="AI86" s="191"/>
      <x:c r="AJ86" s="191"/>
      <x:c r="AK86" s="191"/>
    </x:row>
    <x:row r="87">
      <x:c r="A87" s="191" t="n">
        <x:v>73</x:v>
      </x:c>
      <x:c r="B87" s="274"/>
      <x:c r="C87" s="275"/>
      <x:c r="D87" s="275"/>
      <x:c r="E87" s="275"/>
      <x:c r="F87" s="275"/>
      <x:c r="G87" s="272" t="str">
        <x:f>IF(C87="","",RANK.EQ(C87,$C$15:$C$264,1))</x:f>
      </x:c>
      <x:c r="H87" s="272" t="str">
        <x:f>IF(G87="","",IF(G87&lt;=$B$10,"TAIL",""))</x:f>
      </x:c>
      <x:c r="I87" s="254" t="str">
        <x:f>IF(C87="","",-C87)</x:f>
      </x:c>
      <x:c r="J87" s="191" t="str">
        <x:v>Enter scenario date and link final reval P&amp;L</x:v>
      </x:c>
      <x:c r="K87" s="191"/>
      <x:c r="L87" s="191"/>
      <x:c r="M87" s="191"/>
      <x:c r="N87" s="191"/>
      <x:c r="O87" s="191"/>
      <x:c r="P87" s="191"/>
      <x:c r="Q87" s="191"/>
      <x:c r="R87" s="191"/>
      <x:c r="S87" s="191"/>
      <x:c r="T87" s="191"/>
      <x:c r="U87" s="191"/>
      <x:c r="V87" s="191"/>
      <x:c r="W87" s="191"/>
      <x:c r="X87" s="191"/>
      <x:c r="Y87" s="191"/>
      <x:c r="Z87" s="191"/>
      <x:c r="AA87" s="191"/>
      <x:c r="AB87" s="191"/>
      <x:c r="AC87" s="191"/>
      <x:c r="AD87" s="191"/>
      <x:c r="AE87" s="191"/>
      <x:c r="AF87" s="191"/>
      <x:c r="AG87" s="191"/>
      <x:c r="AH87" s="191"/>
      <x:c r="AI87" s="191"/>
      <x:c r="AJ87" s="191"/>
      <x:c r="AK87" s="191"/>
    </x:row>
    <x:row r="88">
      <x:c r="A88" s="191" t="n">
        <x:v>74</x:v>
      </x:c>
      <x:c r="B88" s="274"/>
      <x:c r="C88" s="275"/>
      <x:c r="D88" s="275"/>
      <x:c r="E88" s="275"/>
      <x:c r="F88" s="275"/>
      <x:c r="G88" s="272" t="str">
        <x:f>IF(C88="","",RANK.EQ(C88,$C$15:$C$264,1))</x:f>
      </x:c>
      <x:c r="H88" s="272" t="str">
        <x:f>IF(G88="","",IF(G88&lt;=$B$10,"TAIL",""))</x:f>
      </x:c>
      <x:c r="I88" s="254" t="str">
        <x:f>IF(C88="","",-C88)</x:f>
      </x:c>
      <x:c r="J88" s="191" t="str">
        <x:v>Enter scenario date and link final reval P&amp;L</x:v>
      </x:c>
      <x:c r="K88" s="191"/>
      <x:c r="L88" s="191"/>
      <x:c r="M88" s="191"/>
      <x:c r="N88" s="191"/>
      <x:c r="O88" s="191"/>
      <x:c r="P88" s="191"/>
      <x:c r="Q88" s="191"/>
      <x:c r="R88" s="191"/>
      <x:c r="S88" s="191"/>
      <x:c r="T88" s="191"/>
      <x:c r="U88" s="191"/>
      <x:c r="V88" s="191"/>
      <x:c r="W88" s="191"/>
      <x:c r="X88" s="191"/>
      <x:c r="Y88" s="191"/>
      <x:c r="Z88" s="191"/>
      <x:c r="AA88" s="191"/>
      <x:c r="AB88" s="191"/>
      <x:c r="AC88" s="191"/>
      <x:c r="AD88" s="191"/>
      <x:c r="AE88" s="191"/>
      <x:c r="AF88" s="191"/>
      <x:c r="AG88" s="191"/>
      <x:c r="AH88" s="191"/>
      <x:c r="AI88" s="191"/>
      <x:c r="AJ88" s="191"/>
      <x:c r="AK88" s="191"/>
    </x:row>
    <x:row r="89">
      <x:c r="A89" s="191" t="n">
        <x:v>75</x:v>
      </x:c>
      <x:c r="B89" s="274"/>
      <x:c r="C89" s="275"/>
      <x:c r="D89" s="275"/>
      <x:c r="E89" s="275"/>
      <x:c r="F89" s="275"/>
      <x:c r="G89" s="272" t="str">
        <x:f>IF(C89="","",RANK.EQ(C89,$C$15:$C$264,1))</x:f>
      </x:c>
      <x:c r="H89" s="272" t="str">
        <x:f>IF(G89="","",IF(G89&lt;=$B$10,"TAIL",""))</x:f>
      </x:c>
      <x:c r="I89" s="254" t="str">
        <x:f>IF(C89="","",-C89)</x:f>
      </x:c>
      <x:c r="J89" s="191" t="str">
        <x:v>Enter scenario date and link final reval P&amp;L</x:v>
      </x:c>
      <x:c r="K89" s="191"/>
      <x:c r="L89" s="191"/>
      <x:c r="M89" s="191"/>
      <x:c r="N89" s="191"/>
      <x:c r="O89" s="191"/>
      <x:c r="P89" s="191"/>
      <x:c r="Q89" s="191"/>
      <x:c r="R89" s="191"/>
      <x:c r="S89" s="191"/>
      <x:c r="T89" s="191"/>
      <x:c r="U89" s="191"/>
      <x:c r="V89" s="191"/>
      <x:c r="W89" s="191"/>
      <x:c r="X89" s="191"/>
      <x:c r="Y89" s="191"/>
      <x:c r="Z89" s="191"/>
      <x:c r="AA89" s="191"/>
      <x:c r="AB89" s="191"/>
      <x:c r="AC89" s="191"/>
      <x:c r="AD89" s="191"/>
      <x:c r="AE89" s="191"/>
      <x:c r="AF89" s="191"/>
      <x:c r="AG89" s="191"/>
      <x:c r="AH89" s="191"/>
      <x:c r="AI89" s="191"/>
      <x:c r="AJ89" s="191"/>
      <x:c r="AK89" s="191"/>
    </x:row>
    <x:row r="90">
      <x:c r="A90" s="191" t="n">
        <x:v>76</x:v>
      </x:c>
      <x:c r="B90" s="274"/>
      <x:c r="C90" s="275"/>
      <x:c r="D90" s="275"/>
      <x:c r="E90" s="275"/>
      <x:c r="F90" s="275"/>
      <x:c r="G90" s="272" t="str">
        <x:f>IF(C90="","",RANK.EQ(C90,$C$15:$C$264,1))</x:f>
      </x:c>
      <x:c r="H90" s="272" t="str">
        <x:f>IF(G90="","",IF(G90&lt;=$B$10,"TAIL",""))</x:f>
      </x:c>
      <x:c r="I90" s="254" t="str">
        <x:f>IF(C90="","",-C90)</x:f>
      </x:c>
      <x:c r="J90" s="191" t="str">
        <x:v>Enter scenario date and link final reval P&amp;L</x:v>
      </x:c>
      <x:c r="K90" s="191"/>
      <x:c r="L90" s="191"/>
      <x:c r="M90" s="191"/>
      <x:c r="N90" s="191"/>
      <x:c r="O90" s="191"/>
      <x:c r="P90" s="191"/>
      <x:c r="Q90" s="191"/>
      <x:c r="R90" s="191"/>
      <x:c r="S90" s="191"/>
      <x:c r="T90" s="191"/>
      <x:c r="U90" s="191"/>
      <x:c r="V90" s="191"/>
      <x:c r="W90" s="191"/>
      <x:c r="X90" s="191"/>
      <x:c r="Y90" s="191"/>
      <x:c r="Z90" s="191"/>
      <x:c r="AA90" s="191"/>
      <x:c r="AB90" s="191"/>
      <x:c r="AC90" s="191"/>
      <x:c r="AD90" s="191"/>
      <x:c r="AE90" s="191"/>
      <x:c r="AF90" s="191"/>
      <x:c r="AG90" s="191"/>
      <x:c r="AH90" s="191"/>
      <x:c r="AI90" s="191"/>
      <x:c r="AJ90" s="191"/>
      <x:c r="AK90" s="191"/>
    </x:row>
    <x:row r="91">
      <x:c r="A91" s="191" t="n">
        <x:v>77</x:v>
      </x:c>
      <x:c r="B91" s="274"/>
      <x:c r="C91" s="275"/>
      <x:c r="D91" s="275"/>
      <x:c r="E91" s="275"/>
      <x:c r="F91" s="275"/>
      <x:c r="G91" s="272" t="str">
        <x:f>IF(C91="","",RANK.EQ(C91,$C$15:$C$264,1))</x:f>
      </x:c>
      <x:c r="H91" s="272" t="str">
        <x:f>IF(G91="","",IF(G91&lt;=$B$10,"TAIL",""))</x:f>
      </x:c>
      <x:c r="I91" s="254" t="str">
        <x:f>IF(C91="","",-C91)</x:f>
      </x:c>
      <x:c r="J91" s="191" t="str">
        <x:v>Enter scenario date and link final reval P&amp;L</x:v>
      </x:c>
      <x:c r="K91" s="191"/>
      <x:c r="L91" s="191"/>
      <x:c r="M91" s="191"/>
      <x:c r="N91" s="191"/>
      <x:c r="O91" s="191"/>
      <x:c r="P91" s="191"/>
      <x:c r="Q91" s="191"/>
      <x:c r="R91" s="191"/>
      <x:c r="S91" s="191"/>
      <x:c r="T91" s="191"/>
      <x:c r="U91" s="191"/>
      <x:c r="V91" s="191"/>
      <x:c r="W91" s="191"/>
      <x:c r="X91" s="191"/>
      <x:c r="Y91" s="191"/>
      <x:c r="Z91" s="191"/>
      <x:c r="AA91" s="191"/>
      <x:c r="AB91" s="191"/>
      <x:c r="AC91" s="191"/>
      <x:c r="AD91" s="191"/>
      <x:c r="AE91" s="191"/>
      <x:c r="AF91" s="191"/>
      <x:c r="AG91" s="191"/>
      <x:c r="AH91" s="191"/>
      <x:c r="AI91" s="191"/>
      <x:c r="AJ91" s="191"/>
      <x:c r="AK91" s="191"/>
    </x:row>
    <x:row r="92">
      <x:c r="A92" s="191" t="n">
        <x:v>78</x:v>
      </x:c>
      <x:c r="B92" s="274"/>
      <x:c r="C92" s="275"/>
      <x:c r="D92" s="275"/>
      <x:c r="E92" s="275"/>
      <x:c r="F92" s="275"/>
      <x:c r="G92" s="272" t="str">
        <x:f>IF(C92="","",RANK.EQ(C92,$C$15:$C$264,1))</x:f>
      </x:c>
      <x:c r="H92" s="272" t="str">
        <x:f>IF(G92="","",IF(G92&lt;=$B$10,"TAIL",""))</x:f>
      </x:c>
      <x:c r="I92" s="254" t="str">
        <x:f>IF(C92="","",-C92)</x:f>
      </x:c>
      <x:c r="J92" s="191" t="str">
        <x:v>Enter scenario date and link final reval P&amp;L</x:v>
      </x:c>
      <x:c r="K92" s="191"/>
      <x:c r="L92" s="191"/>
      <x:c r="M92" s="191"/>
      <x:c r="N92" s="191"/>
      <x:c r="O92" s="191"/>
      <x:c r="P92" s="191"/>
      <x:c r="Q92" s="191"/>
      <x:c r="R92" s="191"/>
      <x:c r="S92" s="191"/>
      <x:c r="T92" s="191"/>
      <x:c r="U92" s="191"/>
      <x:c r="V92" s="191"/>
      <x:c r="W92" s="191"/>
      <x:c r="X92" s="191"/>
      <x:c r="Y92" s="191"/>
      <x:c r="Z92" s="191"/>
      <x:c r="AA92" s="191"/>
      <x:c r="AB92" s="191"/>
      <x:c r="AC92" s="191"/>
      <x:c r="AD92" s="191"/>
      <x:c r="AE92" s="191"/>
      <x:c r="AF92" s="191"/>
      <x:c r="AG92" s="191"/>
      <x:c r="AH92" s="191"/>
      <x:c r="AI92" s="191"/>
      <x:c r="AJ92" s="191"/>
      <x:c r="AK92" s="191"/>
    </x:row>
    <x:row r="93">
      <x:c r="A93" s="191" t="n">
        <x:v>79</x:v>
      </x:c>
      <x:c r="B93" s="274"/>
      <x:c r="C93" s="275"/>
      <x:c r="D93" s="275"/>
      <x:c r="E93" s="275"/>
      <x:c r="F93" s="275"/>
      <x:c r="G93" s="272" t="str">
        <x:f>IF(C93="","",RANK.EQ(C93,$C$15:$C$264,1))</x:f>
      </x:c>
      <x:c r="H93" s="272" t="str">
        <x:f>IF(G93="","",IF(G93&lt;=$B$10,"TAIL",""))</x:f>
      </x:c>
      <x:c r="I93" s="254" t="str">
        <x:f>IF(C93="","",-C93)</x:f>
      </x:c>
      <x:c r="J93" s="191" t="str">
        <x:v>Enter scenario date and link final reval P&amp;L</x:v>
      </x:c>
      <x:c r="K93" s="191"/>
      <x:c r="L93" s="191"/>
      <x:c r="M93" s="191"/>
      <x:c r="N93" s="191"/>
      <x:c r="O93" s="191"/>
      <x:c r="P93" s="191"/>
      <x:c r="Q93" s="191"/>
      <x:c r="R93" s="191"/>
      <x:c r="S93" s="191"/>
      <x:c r="T93" s="191"/>
      <x:c r="U93" s="191"/>
      <x:c r="V93" s="191"/>
      <x:c r="W93" s="191"/>
      <x:c r="X93" s="191"/>
      <x:c r="Y93" s="191"/>
      <x:c r="Z93" s="191"/>
      <x:c r="AA93" s="191"/>
      <x:c r="AB93" s="191"/>
      <x:c r="AC93" s="191"/>
      <x:c r="AD93" s="191"/>
      <x:c r="AE93" s="191"/>
      <x:c r="AF93" s="191"/>
      <x:c r="AG93" s="191"/>
      <x:c r="AH93" s="191"/>
      <x:c r="AI93" s="191"/>
      <x:c r="AJ93" s="191"/>
      <x:c r="AK93" s="191"/>
    </x:row>
    <x:row r="94">
      <x:c r="A94" s="191" t="n">
        <x:v>80</x:v>
      </x:c>
      <x:c r="B94" s="274"/>
      <x:c r="C94" s="275"/>
      <x:c r="D94" s="275"/>
      <x:c r="E94" s="275"/>
      <x:c r="F94" s="275"/>
      <x:c r="G94" s="272" t="str">
        <x:f>IF(C94="","",RANK.EQ(C94,$C$15:$C$264,1))</x:f>
      </x:c>
      <x:c r="H94" s="272" t="str">
        <x:f>IF(G94="","",IF(G94&lt;=$B$10,"TAIL",""))</x:f>
      </x:c>
      <x:c r="I94" s="254" t="str">
        <x:f>IF(C94="","",-C94)</x:f>
      </x:c>
      <x:c r="J94" s="191" t="str">
        <x:v>Enter scenario date and link final reval P&amp;L</x:v>
      </x:c>
      <x:c r="K94" s="191"/>
      <x:c r="L94" s="191"/>
      <x:c r="M94" s="191"/>
      <x:c r="N94" s="191"/>
      <x:c r="O94" s="191"/>
      <x:c r="P94" s="191"/>
      <x:c r="Q94" s="191"/>
      <x:c r="R94" s="191"/>
      <x:c r="S94" s="191"/>
      <x:c r="T94" s="191"/>
      <x:c r="U94" s="191"/>
      <x:c r="V94" s="191"/>
      <x:c r="W94" s="191"/>
      <x:c r="X94" s="191"/>
      <x:c r="Y94" s="191"/>
      <x:c r="Z94" s="191"/>
      <x:c r="AA94" s="191"/>
      <x:c r="AB94" s="191"/>
      <x:c r="AC94" s="191"/>
      <x:c r="AD94" s="191"/>
      <x:c r="AE94" s="191"/>
      <x:c r="AF94" s="191"/>
      <x:c r="AG94" s="191"/>
      <x:c r="AH94" s="191"/>
      <x:c r="AI94" s="191"/>
      <x:c r="AJ94" s="191"/>
      <x:c r="AK94" s="191"/>
    </x:row>
    <x:row r="95">
      <x:c r="A95" s="191" t="n">
        <x:v>81</x:v>
      </x:c>
      <x:c r="B95" s="274"/>
      <x:c r="C95" s="275"/>
      <x:c r="D95" s="275"/>
      <x:c r="E95" s="275"/>
      <x:c r="F95" s="275"/>
      <x:c r="G95" s="272" t="str">
        <x:f>IF(C95="","",RANK.EQ(C95,$C$15:$C$264,1))</x:f>
      </x:c>
      <x:c r="H95" s="272" t="str">
        <x:f>IF(G95="","",IF(G95&lt;=$B$10,"TAIL",""))</x:f>
      </x:c>
      <x:c r="I95" s="254" t="str">
        <x:f>IF(C95="","",-C95)</x:f>
      </x:c>
      <x:c r="J95" s="191" t="str">
        <x:v>Enter scenario date and link final reval P&amp;L</x:v>
      </x:c>
      <x:c r="K95" s="191"/>
      <x:c r="L95" s="191"/>
      <x:c r="M95" s="191"/>
      <x:c r="N95" s="191"/>
      <x:c r="O95" s="191"/>
      <x:c r="P95" s="191"/>
      <x:c r="Q95" s="191"/>
      <x:c r="R95" s="191"/>
      <x:c r="S95" s="191"/>
      <x:c r="T95" s="191"/>
      <x:c r="U95" s="191"/>
      <x:c r="V95" s="191"/>
      <x:c r="W95" s="191"/>
      <x:c r="X95" s="191"/>
      <x:c r="Y95" s="191"/>
      <x:c r="Z95" s="191"/>
      <x:c r="AA95" s="191"/>
      <x:c r="AB95" s="191"/>
      <x:c r="AC95" s="191"/>
      <x:c r="AD95" s="191"/>
      <x:c r="AE95" s="191"/>
      <x:c r="AF95" s="191"/>
      <x:c r="AG95" s="191"/>
      <x:c r="AH95" s="191"/>
      <x:c r="AI95" s="191"/>
      <x:c r="AJ95" s="191"/>
      <x:c r="AK95" s="191"/>
    </x:row>
    <x:row r="96">
      <x:c r="A96" s="191" t="n">
        <x:v>82</x:v>
      </x:c>
      <x:c r="B96" s="274"/>
      <x:c r="C96" s="275"/>
      <x:c r="D96" s="275"/>
      <x:c r="E96" s="275"/>
      <x:c r="F96" s="275"/>
      <x:c r="G96" s="272" t="str">
        <x:f>IF(C96="","",RANK.EQ(C96,$C$15:$C$264,1))</x:f>
      </x:c>
      <x:c r="H96" s="272" t="str">
        <x:f>IF(G96="","",IF(G96&lt;=$B$10,"TAIL",""))</x:f>
      </x:c>
      <x:c r="I96" s="254" t="str">
        <x:f>IF(C96="","",-C96)</x:f>
      </x:c>
      <x:c r="J96" s="191" t="str">
        <x:v>Enter scenario date and link final reval P&amp;L</x:v>
      </x:c>
      <x:c r="K96" s="191"/>
      <x:c r="L96" s="191"/>
      <x:c r="M96" s="191"/>
      <x:c r="N96" s="191"/>
      <x:c r="O96" s="191"/>
      <x:c r="P96" s="191"/>
      <x:c r="Q96" s="191"/>
      <x:c r="R96" s="191"/>
      <x:c r="S96" s="191"/>
      <x:c r="T96" s="191"/>
      <x:c r="U96" s="191"/>
      <x:c r="V96" s="191"/>
      <x:c r="W96" s="191"/>
      <x:c r="X96" s="191"/>
      <x:c r="Y96" s="191"/>
      <x:c r="Z96" s="191"/>
      <x:c r="AA96" s="191"/>
      <x:c r="AB96" s="191"/>
      <x:c r="AC96" s="191"/>
      <x:c r="AD96" s="191"/>
      <x:c r="AE96" s="191"/>
      <x:c r="AF96" s="191"/>
      <x:c r="AG96" s="191"/>
      <x:c r="AH96" s="191"/>
      <x:c r="AI96" s="191"/>
      <x:c r="AJ96" s="191"/>
      <x:c r="AK96" s="191"/>
    </x:row>
    <x:row r="97">
      <x:c r="A97" s="191" t="n">
        <x:v>83</x:v>
      </x:c>
      <x:c r="B97" s="274"/>
      <x:c r="C97" s="275"/>
      <x:c r="D97" s="275"/>
      <x:c r="E97" s="275"/>
      <x:c r="F97" s="275"/>
      <x:c r="G97" s="272" t="str">
        <x:f>IF(C97="","",RANK.EQ(C97,$C$15:$C$264,1))</x:f>
      </x:c>
      <x:c r="H97" s="272" t="str">
        <x:f>IF(G97="","",IF(G97&lt;=$B$10,"TAIL",""))</x:f>
      </x:c>
      <x:c r="I97" s="254" t="str">
        <x:f>IF(C97="","",-C97)</x:f>
      </x:c>
      <x:c r="J97" s="191" t="str">
        <x:v>Enter scenario date and link final reval P&amp;L</x:v>
      </x:c>
      <x:c r="K97" s="191"/>
      <x:c r="L97" s="191"/>
      <x:c r="M97" s="191"/>
      <x:c r="N97" s="191"/>
      <x:c r="O97" s="191"/>
      <x:c r="P97" s="191"/>
      <x:c r="Q97" s="191"/>
      <x:c r="R97" s="191"/>
      <x:c r="S97" s="191"/>
      <x:c r="T97" s="191"/>
      <x:c r="U97" s="191"/>
      <x:c r="V97" s="191"/>
      <x:c r="W97" s="191"/>
      <x:c r="X97" s="191"/>
      <x:c r="Y97" s="191"/>
      <x:c r="Z97" s="191"/>
      <x:c r="AA97" s="191"/>
      <x:c r="AB97" s="191"/>
      <x:c r="AC97" s="191"/>
      <x:c r="AD97" s="191"/>
      <x:c r="AE97" s="191"/>
      <x:c r="AF97" s="191"/>
      <x:c r="AG97" s="191"/>
      <x:c r="AH97" s="191"/>
      <x:c r="AI97" s="191"/>
      <x:c r="AJ97" s="191"/>
      <x:c r="AK97" s="191"/>
    </x:row>
    <x:row r="98">
      <x:c r="A98" s="191" t="n">
        <x:v>84</x:v>
      </x:c>
      <x:c r="B98" s="274"/>
      <x:c r="C98" s="275"/>
      <x:c r="D98" s="275"/>
      <x:c r="E98" s="275"/>
      <x:c r="F98" s="275"/>
      <x:c r="G98" s="272" t="str">
        <x:f>IF(C98="","",RANK.EQ(C98,$C$15:$C$264,1))</x:f>
      </x:c>
      <x:c r="H98" s="272" t="str">
        <x:f>IF(G98="","",IF(G98&lt;=$B$10,"TAIL",""))</x:f>
      </x:c>
      <x:c r="I98" s="254" t="str">
        <x:f>IF(C98="","",-C98)</x:f>
      </x:c>
      <x:c r="J98" s="191" t="str">
        <x:v>Enter scenario date and link final reval P&amp;L</x:v>
      </x:c>
      <x:c r="K98" s="191"/>
      <x:c r="L98" s="191"/>
      <x:c r="M98" s="191"/>
      <x:c r="N98" s="191"/>
      <x:c r="O98" s="191"/>
      <x:c r="P98" s="191"/>
      <x:c r="Q98" s="191"/>
      <x:c r="R98" s="191"/>
      <x:c r="S98" s="191"/>
      <x:c r="T98" s="191"/>
      <x:c r="U98" s="191"/>
      <x:c r="V98" s="191"/>
      <x:c r="W98" s="191"/>
      <x:c r="X98" s="191"/>
      <x:c r="Y98" s="191"/>
      <x:c r="Z98" s="191"/>
      <x:c r="AA98" s="191"/>
      <x:c r="AB98" s="191"/>
      <x:c r="AC98" s="191"/>
      <x:c r="AD98" s="191"/>
      <x:c r="AE98" s="191"/>
      <x:c r="AF98" s="191"/>
      <x:c r="AG98" s="191"/>
      <x:c r="AH98" s="191"/>
      <x:c r="AI98" s="191"/>
      <x:c r="AJ98" s="191"/>
      <x:c r="AK98" s="191"/>
    </x:row>
    <x:row r="99">
      <x:c r="A99" s="191" t="n">
        <x:v>85</x:v>
      </x:c>
      <x:c r="B99" s="274"/>
      <x:c r="C99" s="275"/>
      <x:c r="D99" s="275"/>
      <x:c r="E99" s="275"/>
      <x:c r="F99" s="275"/>
      <x:c r="G99" s="272" t="str">
        <x:f>IF(C99="","",RANK.EQ(C99,$C$15:$C$264,1))</x:f>
      </x:c>
      <x:c r="H99" s="272" t="str">
        <x:f>IF(G99="","",IF(G99&lt;=$B$10,"TAIL",""))</x:f>
      </x:c>
      <x:c r="I99" s="254" t="str">
        <x:f>IF(C99="","",-C99)</x:f>
      </x:c>
      <x:c r="J99" s="191" t="str">
        <x:v>Enter scenario date and link final reval P&amp;L</x:v>
      </x:c>
      <x:c r="K99" s="191"/>
      <x:c r="L99" s="191"/>
      <x:c r="M99" s="191"/>
      <x:c r="N99" s="191"/>
      <x:c r="O99" s="191"/>
      <x:c r="P99" s="191"/>
      <x:c r="Q99" s="191"/>
      <x:c r="R99" s="191"/>
      <x:c r="S99" s="191"/>
      <x:c r="T99" s="191"/>
      <x:c r="U99" s="191"/>
      <x:c r="V99" s="191"/>
      <x:c r="W99" s="191"/>
      <x:c r="X99" s="191"/>
      <x:c r="Y99" s="191"/>
      <x:c r="Z99" s="191"/>
      <x:c r="AA99" s="191"/>
      <x:c r="AB99" s="191"/>
      <x:c r="AC99" s="191"/>
      <x:c r="AD99" s="191"/>
      <x:c r="AE99" s="191"/>
      <x:c r="AF99" s="191"/>
      <x:c r="AG99" s="191"/>
      <x:c r="AH99" s="191"/>
      <x:c r="AI99" s="191"/>
      <x:c r="AJ99" s="191"/>
      <x:c r="AK99" s="191"/>
    </x:row>
    <x:row r="100">
      <x:c r="A100" s="191" t="n">
        <x:v>86</x:v>
      </x:c>
      <x:c r="B100" s="274"/>
      <x:c r="C100" s="275"/>
      <x:c r="D100" s="275"/>
      <x:c r="E100" s="275"/>
      <x:c r="F100" s="275"/>
      <x:c r="G100" s="272" t="str">
        <x:f>IF(C100="","",RANK.EQ(C100,$C$15:$C$264,1))</x:f>
      </x:c>
      <x:c r="H100" s="272" t="str">
        <x:f>IF(G100="","",IF(G100&lt;=$B$10,"TAIL",""))</x:f>
      </x:c>
      <x:c r="I100" s="254" t="str">
        <x:f>IF(C100="","",-C100)</x:f>
      </x:c>
      <x:c r="J100" s="191" t="str">
        <x:v>Enter scenario date and link final reval P&amp;L</x:v>
      </x:c>
      <x:c r="K100" s="191"/>
      <x:c r="L100" s="191"/>
      <x:c r="M100" s="191"/>
      <x:c r="N100" s="191"/>
      <x:c r="O100" s="191"/>
      <x:c r="P100" s="191"/>
      <x:c r="Q100" s="191"/>
      <x:c r="R100" s="191"/>
      <x:c r="S100" s="191"/>
      <x:c r="T100" s="191"/>
      <x:c r="U100" s="191"/>
      <x:c r="V100" s="191"/>
      <x:c r="W100" s="191"/>
      <x:c r="X100" s="191"/>
      <x:c r="Y100" s="191"/>
      <x:c r="Z100" s="191"/>
      <x:c r="AA100" s="191"/>
      <x:c r="AB100" s="191"/>
      <x:c r="AC100" s="191"/>
      <x:c r="AD100" s="191"/>
      <x:c r="AE100" s="191"/>
      <x:c r="AF100" s="191"/>
      <x:c r="AG100" s="191"/>
      <x:c r="AH100" s="191"/>
      <x:c r="AI100" s="191"/>
      <x:c r="AJ100" s="191"/>
      <x:c r="AK100" s="191"/>
    </x:row>
    <x:row r="101">
      <x:c r="A101" s="191" t="n">
        <x:v>87</x:v>
      </x:c>
      <x:c r="B101" s="274"/>
      <x:c r="C101" s="275"/>
      <x:c r="D101" s="275"/>
      <x:c r="E101" s="275"/>
      <x:c r="F101" s="275"/>
      <x:c r="G101" s="272" t="str">
        <x:f>IF(C101="","",RANK.EQ(C101,$C$15:$C$264,1))</x:f>
      </x:c>
      <x:c r="H101" s="272" t="str">
        <x:f>IF(G101="","",IF(G101&lt;=$B$10,"TAIL",""))</x:f>
      </x:c>
      <x:c r="I101" s="254" t="str">
        <x:f>IF(C101="","",-C101)</x:f>
      </x:c>
      <x:c r="J101" s="191" t="str">
        <x:v>Enter scenario date and link final reval P&amp;L</x:v>
      </x:c>
      <x:c r="K101" s="191"/>
      <x:c r="L101" s="191"/>
      <x:c r="M101" s="191"/>
      <x:c r="N101" s="191"/>
      <x:c r="O101" s="191"/>
      <x:c r="P101" s="191"/>
      <x:c r="Q101" s="191"/>
      <x:c r="R101" s="191"/>
      <x:c r="S101" s="191"/>
      <x:c r="T101" s="191"/>
      <x:c r="U101" s="191"/>
      <x:c r="V101" s="191"/>
      <x:c r="W101" s="191"/>
      <x:c r="X101" s="191"/>
      <x:c r="Y101" s="191"/>
      <x:c r="Z101" s="191"/>
      <x:c r="AA101" s="191"/>
      <x:c r="AB101" s="191"/>
      <x:c r="AC101" s="191"/>
      <x:c r="AD101" s="191"/>
      <x:c r="AE101" s="191"/>
      <x:c r="AF101" s="191"/>
      <x:c r="AG101" s="191"/>
      <x:c r="AH101" s="191"/>
      <x:c r="AI101" s="191"/>
      <x:c r="AJ101" s="191"/>
      <x:c r="AK101" s="191"/>
    </x:row>
    <x:row r="102">
      <x:c r="A102" s="191" t="n">
        <x:v>88</x:v>
      </x:c>
      <x:c r="B102" s="274"/>
      <x:c r="C102" s="275"/>
      <x:c r="D102" s="275"/>
      <x:c r="E102" s="275"/>
      <x:c r="F102" s="275"/>
      <x:c r="G102" s="272" t="str">
        <x:f>IF(C102="","",RANK.EQ(C102,$C$15:$C$264,1))</x:f>
      </x:c>
      <x:c r="H102" s="272" t="str">
        <x:f>IF(G102="","",IF(G102&lt;=$B$10,"TAIL",""))</x:f>
      </x:c>
      <x:c r="I102" s="254" t="str">
        <x:f>IF(C102="","",-C102)</x:f>
      </x:c>
      <x:c r="J102" s="191" t="str">
        <x:v>Enter scenario date and link final reval P&amp;L</x:v>
      </x:c>
      <x:c r="K102" s="191"/>
      <x:c r="L102" s="191"/>
      <x:c r="M102" s="191"/>
      <x:c r="N102" s="191"/>
      <x:c r="O102" s="191"/>
      <x:c r="P102" s="191"/>
      <x:c r="Q102" s="191"/>
      <x:c r="R102" s="191"/>
      <x:c r="S102" s="191"/>
      <x:c r="T102" s="191"/>
      <x:c r="U102" s="191"/>
      <x:c r="V102" s="191"/>
      <x:c r="W102" s="191"/>
      <x:c r="X102" s="191"/>
      <x:c r="Y102" s="191"/>
      <x:c r="Z102" s="191"/>
      <x:c r="AA102" s="191"/>
      <x:c r="AB102" s="191"/>
      <x:c r="AC102" s="191"/>
      <x:c r="AD102" s="191"/>
      <x:c r="AE102" s="191"/>
      <x:c r="AF102" s="191"/>
      <x:c r="AG102" s="191"/>
      <x:c r="AH102" s="191"/>
      <x:c r="AI102" s="191"/>
      <x:c r="AJ102" s="191"/>
      <x:c r="AK102" s="191"/>
    </x:row>
    <x:row r="103">
      <x:c r="A103" s="191" t="n">
        <x:v>89</x:v>
      </x:c>
      <x:c r="B103" s="274"/>
      <x:c r="C103" s="275"/>
      <x:c r="D103" s="275"/>
      <x:c r="E103" s="275"/>
      <x:c r="F103" s="275"/>
      <x:c r="G103" s="272" t="str">
        <x:f>IF(C103="","",RANK.EQ(C103,$C$15:$C$264,1))</x:f>
      </x:c>
      <x:c r="H103" s="272" t="str">
        <x:f>IF(G103="","",IF(G103&lt;=$B$10,"TAIL",""))</x:f>
      </x:c>
      <x:c r="I103" s="254" t="str">
        <x:f>IF(C103="","",-C103)</x:f>
      </x:c>
      <x:c r="J103" s="191" t="str">
        <x:v>Enter scenario date and link final reval P&amp;L</x:v>
      </x:c>
      <x:c r="K103" s="191"/>
      <x:c r="L103" s="191"/>
      <x:c r="M103" s="191"/>
      <x:c r="N103" s="191"/>
      <x:c r="O103" s="191"/>
      <x:c r="P103" s="191"/>
      <x:c r="Q103" s="191"/>
      <x:c r="R103" s="191"/>
      <x:c r="S103" s="191"/>
      <x:c r="T103" s="191"/>
      <x:c r="U103" s="191"/>
      <x:c r="V103" s="191"/>
      <x:c r="W103" s="191"/>
      <x:c r="X103" s="191"/>
      <x:c r="Y103" s="191"/>
      <x:c r="Z103" s="191"/>
      <x:c r="AA103" s="191"/>
      <x:c r="AB103" s="191"/>
      <x:c r="AC103" s="191"/>
      <x:c r="AD103" s="191"/>
      <x:c r="AE103" s="191"/>
      <x:c r="AF103" s="191"/>
      <x:c r="AG103" s="191"/>
      <x:c r="AH103" s="191"/>
      <x:c r="AI103" s="191"/>
      <x:c r="AJ103" s="191"/>
      <x:c r="AK103" s="191"/>
    </x:row>
    <x:row r="104">
      <x:c r="A104" s="191" t="n">
        <x:v>90</x:v>
      </x:c>
      <x:c r="B104" s="274"/>
      <x:c r="C104" s="275"/>
      <x:c r="D104" s="275"/>
      <x:c r="E104" s="275"/>
      <x:c r="F104" s="275"/>
      <x:c r="G104" s="272" t="str">
        <x:f>IF(C104="","",RANK.EQ(C104,$C$15:$C$264,1))</x:f>
      </x:c>
      <x:c r="H104" s="272" t="str">
        <x:f>IF(G104="","",IF(G104&lt;=$B$10,"TAIL",""))</x:f>
      </x:c>
      <x:c r="I104" s="254" t="str">
        <x:f>IF(C104="","",-C104)</x:f>
      </x:c>
      <x:c r="J104" s="191" t="str">
        <x:v>Enter scenario date and link final reval P&amp;L</x:v>
      </x:c>
      <x:c r="K104" s="191"/>
      <x:c r="L104" s="191"/>
      <x:c r="M104" s="191"/>
      <x:c r="N104" s="191"/>
      <x:c r="O104" s="191"/>
      <x:c r="P104" s="191"/>
      <x:c r="Q104" s="191"/>
      <x:c r="R104" s="191"/>
      <x:c r="S104" s="191"/>
      <x:c r="T104" s="191"/>
      <x:c r="U104" s="191"/>
      <x:c r="V104" s="191"/>
      <x:c r="W104" s="191"/>
      <x:c r="X104" s="191"/>
      <x:c r="Y104" s="191"/>
      <x:c r="Z104" s="191"/>
      <x:c r="AA104" s="191"/>
      <x:c r="AB104" s="191"/>
      <x:c r="AC104" s="191"/>
      <x:c r="AD104" s="191"/>
      <x:c r="AE104" s="191"/>
      <x:c r="AF104" s="191"/>
      <x:c r="AG104" s="191"/>
      <x:c r="AH104" s="191"/>
      <x:c r="AI104" s="191"/>
      <x:c r="AJ104" s="191"/>
      <x:c r="AK104" s="191"/>
    </x:row>
    <x:row r="105">
      <x:c r="A105" s="191" t="n">
        <x:v>91</x:v>
      </x:c>
      <x:c r="B105" s="274"/>
      <x:c r="C105" s="275"/>
      <x:c r="D105" s="275"/>
      <x:c r="E105" s="275"/>
      <x:c r="F105" s="275"/>
      <x:c r="G105" s="272" t="str">
        <x:f>IF(C105="","",RANK.EQ(C105,$C$15:$C$264,1))</x:f>
      </x:c>
      <x:c r="H105" s="272" t="str">
        <x:f>IF(G105="","",IF(G105&lt;=$B$10,"TAIL",""))</x:f>
      </x:c>
      <x:c r="I105" s="254" t="str">
        <x:f>IF(C105="","",-C105)</x:f>
      </x:c>
      <x:c r="J105" s="191" t="str">
        <x:v>Enter scenario date and link final reval P&amp;L</x:v>
      </x:c>
      <x:c r="K105" s="191"/>
      <x:c r="L105" s="191"/>
      <x:c r="M105" s="191"/>
      <x:c r="N105" s="191"/>
      <x:c r="O105" s="191"/>
      <x:c r="P105" s="191"/>
      <x:c r="Q105" s="191"/>
      <x:c r="R105" s="191"/>
      <x:c r="S105" s="191"/>
      <x:c r="T105" s="191"/>
      <x:c r="U105" s="191"/>
      <x:c r="V105" s="191"/>
      <x:c r="W105" s="191"/>
      <x:c r="X105" s="191"/>
      <x:c r="Y105" s="191"/>
      <x:c r="Z105" s="191"/>
      <x:c r="AA105" s="191"/>
      <x:c r="AB105" s="191"/>
      <x:c r="AC105" s="191"/>
      <x:c r="AD105" s="191"/>
      <x:c r="AE105" s="191"/>
      <x:c r="AF105" s="191"/>
      <x:c r="AG105" s="191"/>
      <x:c r="AH105" s="191"/>
      <x:c r="AI105" s="191"/>
      <x:c r="AJ105" s="191"/>
      <x:c r="AK105" s="191"/>
    </x:row>
    <x:row r="106">
      <x:c r="A106" s="191" t="n">
        <x:v>92</x:v>
      </x:c>
      <x:c r="B106" s="274"/>
      <x:c r="C106" s="275"/>
      <x:c r="D106" s="275"/>
      <x:c r="E106" s="275"/>
      <x:c r="F106" s="275"/>
      <x:c r="G106" s="272" t="str">
        <x:f>IF(C106="","",RANK.EQ(C106,$C$15:$C$264,1))</x:f>
      </x:c>
      <x:c r="H106" s="272" t="str">
        <x:f>IF(G106="","",IF(G106&lt;=$B$10,"TAIL",""))</x:f>
      </x:c>
      <x:c r="I106" s="254" t="str">
        <x:f>IF(C106="","",-C106)</x:f>
      </x:c>
      <x:c r="J106" s="191" t="str">
        <x:v>Enter scenario date and link final reval P&amp;L</x:v>
      </x:c>
      <x:c r="K106" s="191"/>
      <x:c r="L106" s="191"/>
      <x:c r="M106" s="191"/>
      <x:c r="N106" s="191"/>
      <x:c r="O106" s="191"/>
      <x:c r="P106" s="191"/>
      <x:c r="Q106" s="191"/>
      <x:c r="R106" s="191"/>
      <x:c r="S106" s="191"/>
      <x:c r="T106" s="191"/>
      <x:c r="U106" s="191"/>
      <x:c r="V106" s="191"/>
      <x:c r="W106" s="191"/>
      <x:c r="X106" s="191"/>
      <x:c r="Y106" s="191"/>
      <x:c r="Z106" s="191"/>
      <x:c r="AA106" s="191"/>
      <x:c r="AB106" s="191"/>
      <x:c r="AC106" s="191"/>
      <x:c r="AD106" s="191"/>
      <x:c r="AE106" s="191"/>
      <x:c r="AF106" s="191"/>
      <x:c r="AG106" s="191"/>
      <x:c r="AH106" s="191"/>
      <x:c r="AI106" s="191"/>
      <x:c r="AJ106" s="191"/>
      <x:c r="AK106" s="191"/>
    </x:row>
    <x:row r="107">
      <x:c r="A107" s="191" t="n">
        <x:v>93</x:v>
      </x:c>
      <x:c r="B107" s="274"/>
      <x:c r="C107" s="275"/>
      <x:c r="D107" s="275"/>
      <x:c r="E107" s="275"/>
      <x:c r="F107" s="275"/>
      <x:c r="G107" s="272" t="str">
        <x:f>IF(C107="","",RANK.EQ(C107,$C$15:$C$264,1))</x:f>
      </x:c>
      <x:c r="H107" s="272" t="str">
        <x:f>IF(G107="","",IF(G107&lt;=$B$10,"TAIL",""))</x:f>
      </x:c>
      <x:c r="I107" s="254" t="str">
        <x:f>IF(C107="","",-C107)</x:f>
      </x:c>
      <x:c r="J107" s="191" t="str">
        <x:v>Enter scenario date and link final reval P&amp;L</x:v>
      </x:c>
      <x:c r="K107" s="191"/>
      <x:c r="L107" s="191"/>
      <x:c r="M107" s="191"/>
      <x:c r="N107" s="191"/>
      <x:c r="O107" s="191"/>
      <x:c r="P107" s="191"/>
      <x:c r="Q107" s="191"/>
      <x:c r="R107" s="191"/>
      <x:c r="S107" s="191"/>
      <x:c r="T107" s="191"/>
      <x:c r="U107" s="191"/>
      <x:c r="V107" s="191"/>
      <x:c r="W107" s="191"/>
      <x:c r="X107" s="191"/>
      <x:c r="Y107" s="191"/>
      <x:c r="Z107" s="191"/>
      <x:c r="AA107" s="191"/>
      <x:c r="AB107" s="191"/>
      <x:c r="AC107" s="191"/>
      <x:c r="AD107" s="191"/>
      <x:c r="AE107" s="191"/>
      <x:c r="AF107" s="191"/>
      <x:c r="AG107" s="191"/>
      <x:c r="AH107" s="191"/>
      <x:c r="AI107" s="191"/>
      <x:c r="AJ107" s="191"/>
      <x:c r="AK107" s="191"/>
    </x:row>
    <x:row r="108">
      <x:c r="A108" s="191" t="n">
        <x:v>94</x:v>
      </x:c>
      <x:c r="B108" s="274"/>
      <x:c r="C108" s="275"/>
      <x:c r="D108" s="275"/>
      <x:c r="E108" s="275"/>
      <x:c r="F108" s="275"/>
      <x:c r="G108" s="272" t="str">
        <x:f>IF(C108="","",RANK.EQ(C108,$C$15:$C$264,1))</x:f>
      </x:c>
      <x:c r="H108" s="272" t="str">
        <x:f>IF(G108="","",IF(G108&lt;=$B$10,"TAIL",""))</x:f>
      </x:c>
      <x:c r="I108" s="254" t="str">
        <x:f>IF(C108="","",-C108)</x:f>
      </x:c>
      <x:c r="J108" s="191" t="str">
        <x:v>Enter scenario date and link final reval P&amp;L</x:v>
      </x:c>
      <x:c r="K108" s="191"/>
      <x:c r="L108" s="191"/>
      <x:c r="M108" s="191"/>
      <x:c r="N108" s="191"/>
      <x:c r="O108" s="191"/>
      <x:c r="P108" s="191"/>
      <x:c r="Q108" s="191"/>
      <x:c r="R108" s="191"/>
      <x:c r="S108" s="191"/>
      <x:c r="T108" s="191"/>
      <x:c r="U108" s="191"/>
      <x:c r="V108" s="191"/>
      <x:c r="W108" s="191"/>
      <x:c r="X108" s="191"/>
      <x:c r="Y108" s="191"/>
      <x:c r="Z108" s="191"/>
      <x:c r="AA108" s="191"/>
      <x:c r="AB108" s="191"/>
      <x:c r="AC108" s="191"/>
      <x:c r="AD108" s="191"/>
      <x:c r="AE108" s="191"/>
      <x:c r="AF108" s="191"/>
      <x:c r="AG108" s="191"/>
      <x:c r="AH108" s="191"/>
      <x:c r="AI108" s="191"/>
      <x:c r="AJ108" s="191"/>
      <x:c r="AK108" s="191"/>
    </x:row>
    <x:row r="109">
      <x:c r="A109" s="191" t="n">
        <x:v>95</x:v>
      </x:c>
      <x:c r="B109" s="274"/>
      <x:c r="C109" s="275"/>
      <x:c r="D109" s="275"/>
      <x:c r="E109" s="275"/>
      <x:c r="F109" s="275"/>
      <x:c r="G109" s="272" t="str">
        <x:f>IF(C109="","",RANK.EQ(C109,$C$15:$C$264,1))</x:f>
      </x:c>
      <x:c r="H109" s="272" t="str">
        <x:f>IF(G109="","",IF(G109&lt;=$B$10,"TAIL",""))</x:f>
      </x:c>
      <x:c r="I109" s="254" t="str">
        <x:f>IF(C109="","",-C109)</x:f>
      </x:c>
      <x:c r="J109" s="191" t="str">
        <x:v>Enter scenario date and link final reval P&amp;L</x:v>
      </x:c>
      <x:c r="K109" s="191"/>
      <x:c r="L109" s="191"/>
      <x:c r="M109" s="191"/>
      <x:c r="N109" s="191"/>
      <x:c r="O109" s="191"/>
      <x:c r="P109" s="191"/>
      <x:c r="Q109" s="191"/>
      <x:c r="R109" s="191"/>
      <x:c r="S109" s="191"/>
      <x:c r="T109" s="191"/>
      <x:c r="U109" s="191"/>
      <x:c r="V109" s="191"/>
      <x:c r="W109" s="191"/>
      <x:c r="X109" s="191"/>
      <x:c r="Y109" s="191"/>
      <x:c r="Z109" s="191"/>
      <x:c r="AA109" s="191"/>
      <x:c r="AB109" s="191"/>
      <x:c r="AC109" s="191"/>
      <x:c r="AD109" s="191"/>
      <x:c r="AE109" s="191"/>
      <x:c r="AF109" s="191"/>
      <x:c r="AG109" s="191"/>
      <x:c r="AH109" s="191"/>
      <x:c r="AI109" s="191"/>
      <x:c r="AJ109" s="191"/>
      <x:c r="AK109" s="191"/>
    </x:row>
    <x:row r="110">
      <x:c r="A110" s="191" t="n">
        <x:v>96</x:v>
      </x:c>
      <x:c r="B110" s="274"/>
      <x:c r="C110" s="275"/>
      <x:c r="D110" s="275"/>
      <x:c r="E110" s="275"/>
      <x:c r="F110" s="275"/>
      <x:c r="G110" s="272" t="str">
        <x:f>IF(C110="","",RANK.EQ(C110,$C$15:$C$264,1))</x:f>
      </x:c>
      <x:c r="H110" s="272" t="str">
        <x:f>IF(G110="","",IF(G110&lt;=$B$10,"TAIL",""))</x:f>
      </x:c>
      <x:c r="I110" s="254" t="str">
        <x:f>IF(C110="","",-C110)</x:f>
      </x:c>
      <x:c r="J110" s="191" t="str">
        <x:v>Enter scenario date and link final reval P&amp;L</x:v>
      </x:c>
      <x:c r="K110" s="191"/>
      <x:c r="L110" s="191"/>
      <x:c r="M110" s="191"/>
      <x:c r="N110" s="191"/>
      <x:c r="O110" s="191"/>
      <x:c r="P110" s="191"/>
      <x:c r="Q110" s="191"/>
      <x:c r="R110" s="191"/>
      <x:c r="S110" s="191"/>
      <x:c r="T110" s="191"/>
      <x:c r="U110" s="191"/>
      <x:c r="V110" s="191"/>
      <x:c r="W110" s="191"/>
      <x:c r="X110" s="191"/>
      <x:c r="Y110" s="191"/>
      <x:c r="Z110" s="191"/>
      <x:c r="AA110" s="191"/>
      <x:c r="AB110" s="191"/>
      <x:c r="AC110" s="191"/>
      <x:c r="AD110" s="191"/>
      <x:c r="AE110" s="191"/>
      <x:c r="AF110" s="191"/>
      <x:c r="AG110" s="191"/>
      <x:c r="AH110" s="191"/>
      <x:c r="AI110" s="191"/>
      <x:c r="AJ110" s="191"/>
      <x:c r="AK110" s="191"/>
    </x:row>
    <x:row r="111">
      <x:c r="A111" s="191" t="n">
        <x:v>97</x:v>
      </x:c>
      <x:c r="B111" s="274"/>
      <x:c r="C111" s="275"/>
      <x:c r="D111" s="275"/>
      <x:c r="E111" s="275"/>
      <x:c r="F111" s="275"/>
      <x:c r="G111" s="272" t="str">
        <x:f>IF(C111="","",RANK.EQ(C111,$C$15:$C$264,1))</x:f>
      </x:c>
      <x:c r="H111" s="272" t="str">
        <x:f>IF(G111="","",IF(G111&lt;=$B$10,"TAIL",""))</x:f>
      </x:c>
      <x:c r="I111" s="254" t="str">
        <x:f>IF(C111="","",-C111)</x:f>
      </x:c>
      <x:c r="J111" s="191" t="str">
        <x:v>Enter scenario date and link final reval P&amp;L</x:v>
      </x:c>
      <x:c r="K111" s="191"/>
      <x:c r="L111" s="191"/>
      <x:c r="M111" s="191"/>
      <x:c r="N111" s="191"/>
      <x:c r="O111" s="191"/>
      <x:c r="P111" s="191"/>
      <x:c r="Q111" s="191"/>
      <x:c r="R111" s="191"/>
      <x:c r="S111" s="191"/>
      <x:c r="T111" s="191"/>
      <x:c r="U111" s="191"/>
      <x:c r="V111" s="191"/>
      <x:c r="W111" s="191"/>
      <x:c r="X111" s="191"/>
      <x:c r="Y111" s="191"/>
      <x:c r="Z111" s="191"/>
      <x:c r="AA111" s="191"/>
      <x:c r="AB111" s="191"/>
      <x:c r="AC111" s="191"/>
      <x:c r="AD111" s="191"/>
      <x:c r="AE111" s="191"/>
      <x:c r="AF111" s="191"/>
      <x:c r="AG111" s="191"/>
      <x:c r="AH111" s="191"/>
      <x:c r="AI111" s="191"/>
      <x:c r="AJ111" s="191"/>
      <x:c r="AK111" s="191"/>
    </x:row>
    <x:row r="112">
      <x:c r="A112" s="191" t="n">
        <x:v>98</x:v>
      </x:c>
      <x:c r="B112" s="274"/>
      <x:c r="C112" s="275"/>
      <x:c r="D112" s="275"/>
      <x:c r="E112" s="275"/>
      <x:c r="F112" s="275"/>
      <x:c r="G112" s="272" t="str">
        <x:f>IF(C112="","",RANK.EQ(C112,$C$15:$C$264,1))</x:f>
      </x:c>
      <x:c r="H112" s="272" t="str">
        <x:f>IF(G112="","",IF(G112&lt;=$B$10,"TAIL",""))</x:f>
      </x:c>
      <x:c r="I112" s="254" t="str">
        <x:f>IF(C112="","",-C112)</x:f>
      </x:c>
      <x:c r="J112" s="191" t="str">
        <x:v>Enter scenario date and link final reval P&amp;L</x:v>
      </x:c>
      <x:c r="K112" s="191"/>
      <x:c r="L112" s="191"/>
      <x:c r="M112" s="191"/>
      <x:c r="N112" s="191"/>
      <x:c r="O112" s="191"/>
      <x:c r="P112" s="191"/>
      <x:c r="Q112" s="191"/>
      <x:c r="R112" s="191"/>
      <x:c r="S112" s="191"/>
      <x:c r="T112" s="191"/>
      <x:c r="U112" s="191"/>
      <x:c r="V112" s="191"/>
      <x:c r="W112" s="191"/>
      <x:c r="X112" s="191"/>
      <x:c r="Y112" s="191"/>
      <x:c r="Z112" s="191"/>
      <x:c r="AA112" s="191"/>
      <x:c r="AB112" s="191"/>
      <x:c r="AC112" s="191"/>
      <x:c r="AD112" s="191"/>
      <x:c r="AE112" s="191"/>
      <x:c r="AF112" s="191"/>
      <x:c r="AG112" s="191"/>
      <x:c r="AH112" s="191"/>
      <x:c r="AI112" s="191"/>
      <x:c r="AJ112" s="191"/>
      <x:c r="AK112" s="191"/>
    </x:row>
    <x:row r="113">
      <x:c r="A113" s="191" t="n">
        <x:v>99</x:v>
      </x:c>
      <x:c r="B113" s="274"/>
      <x:c r="C113" s="275"/>
      <x:c r="D113" s="275"/>
      <x:c r="E113" s="275"/>
      <x:c r="F113" s="275"/>
      <x:c r="G113" s="272" t="str">
        <x:f>IF(C113="","",RANK.EQ(C113,$C$15:$C$264,1))</x:f>
      </x:c>
      <x:c r="H113" s="272" t="str">
        <x:f>IF(G113="","",IF(G113&lt;=$B$10,"TAIL",""))</x:f>
      </x:c>
      <x:c r="I113" s="254" t="str">
        <x:f>IF(C113="","",-C113)</x:f>
      </x:c>
      <x:c r="J113" s="191" t="str">
        <x:v>Enter scenario date and link final reval P&amp;L</x:v>
      </x:c>
      <x:c r="K113" s="191"/>
      <x:c r="L113" s="191"/>
      <x:c r="M113" s="191"/>
      <x:c r="N113" s="191"/>
      <x:c r="O113" s="191"/>
      <x:c r="P113" s="191"/>
      <x:c r="Q113" s="191"/>
      <x:c r="R113" s="191"/>
      <x:c r="S113" s="191"/>
      <x:c r="T113" s="191"/>
      <x:c r="U113" s="191"/>
      <x:c r="V113" s="191"/>
      <x:c r="W113" s="191"/>
      <x:c r="X113" s="191"/>
      <x:c r="Y113" s="191"/>
      <x:c r="Z113" s="191"/>
      <x:c r="AA113" s="191"/>
      <x:c r="AB113" s="191"/>
      <x:c r="AC113" s="191"/>
      <x:c r="AD113" s="191"/>
      <x:c r="AE113" s="191"/>
      <x:c r="AF113" s="191"/>
      <x:c r="AG113" s="191"/>
      <x:c r="AH113" s="191"/>
      <x:c r="AI113" s="191"/>
      <x:c r="AJ113" s="191"/>
      <x:c r="AK113" s="191"/>
    </x:row>
    <x:row r="114">
      <x:c r="A114" s="191" t="n">
        <x:v>100</x:v>
      </x:c>
      <x:c r="B114" s="274"/>
      <x:c r="C114" s="275"/>
      <x:c r="D114" s="275"/>
      <x:c r="E114" s="275"/>
      <x:c r="F114" s="275"/>
      <x:c r="G114" s="272" t="str">
        <x:f>IF(C114="","",RANK.EQ(C114,$C$15:$C$264,1))</x:f>
      </x:c>
      <x:c r="H114" s="272" t="str">
        <x:f>IF(G114="","",IF(G114&lt;=$B$10,"TAIL",""))</x:f>
      </x:c>
      <x:c r="I114" s="254" t="str">
        <x:f>IF(C114="","",-C114)</x:f>
      </x:c>
      <x:c r="J114" s="191" t="str">
        <x:v>Enter scenario date and link final reval P&amp;L</x:v>
      </x:c>
      <x:c r="K114" s="191"/>
      <x:c r="L114" s="191"/>
      <x:c r="M114" s="191"/>
      <x:c r="N114" s="191"/>
      <x:c r="O114" s="191"/>
      <x:c r="P114" s="191"/>
      <x:c r="Q114" s="191"/>
      <x:c r="R114" s="191"/>
      <x:c r="S114" s="191"/>
      <x:c r="T114" s="191"/>
      <x:c r="U114" s="191"/>
      <x:c r="V114" s="191"/>
      <x:c r="W114" s="191"/>
      <x:c r="X114" s="191"/>
      <x:c r="Y114" s="191"/>
      <x:c r="Z114" s="191"/>
      <x:c r="AA114" s="191"/>
      <x:c r="AB114" s="191"/>
      <x:c r="AC114" s="191"/>
      <x:c r="AD114" s="191"/>
      <x:c r="AE114" s="191"/>
      <x:c r="AF114" s="191"/>
      <x:c r="AG114" s="191"/>
      <x:c r="AH114" s="191"/>
      <x:c r="AI114" s="191"/>
      <x:c r="AJ114" s="191"/>
      <x:c r="AK114" s="191"/>
    </x:row>
    <x:row r="115">
      <x:c r="A115" s="191" t="n">
        <x:v>101</x:v>
      </x:c>
      <x:c r="B115" s="274"/>
      <x:c r="C115" s="275"/>
      <x:c r="D115" s="275"/>
      <x:c r="E115" s="275"/>
      <x:c r="F115" s="275"/>
      <x:c r="G115" s="272" t="str">
        <x:f>IF(C115="","",RANK.EQ(C115,$C$15:$C$264,1))</x:f>
      </x:c>
      <x:c r="H115" s="272" t="str">
        <x:f>IF(G115="","",IF(G115&lt;=$B$10,"TAIL",""))</x:f>
      </x:c>
      <x:c r="I115" s="254" t="str">
        <x:f>IF(C115="","",-C115)</x:f>
      </x:c>
      <x:c r="J115" s="191" t="str">
        <x:v>Enter scenario date and link final reval P&amp;L</x:v>
      </x:c>
      <x:c r="K115" s="191"/>
      <x:c r="L115" s="191"/>
      <x:c r="M115" s="191"/>
      <x:c r="N115" s="191"/>
      <x:c r="O115" s="191"/>
      <x:c r="P115" s="191"/>
      <x:c r="Q115" s="191"/>
      <x:c r="R115" s="191"/>
      <x:c r="S115" s="191"/>
      <x:c r="T115" s="191"/>
      <x:c r="U115" s="191"/>
      <x:c r="V115" s="191"/>
      <x:c r="W115" s="191"/>
      <x:c r="X115" s="191"/>
      <x:c r="Y115" s="191"/>
      <x:c r="Z115" s="191"/>
      <x:c r="AA115" s="191"/>
      <x:c r="AB115" s="191"/>
      <x:c r="AC115" s="191"/>
      <x:c r="AD115" s="191"/>
      <x:c r="AE115" s="191"/>
      <x:c r="AF115" s="191"/>
      <x:c r="AG115" s="191"/>
      <x:c r="AH115" s="191"/>
      <x:c r="AI115" s="191"/>
      <x:c r="AJ115" s="191"/>
      <x:c r="AK115" s="191"/>
    </x:row>
    <x:row r="116">
      <x:c r="A116" s="191" t="n">
        <x:v>102</x:v>
      </x:c>
      <x:c r="B116" s="274"/>
      <x:c r="C116" s="275"/>
      <x:c r="D116" s="275"/>
      <x:c r="E116" s="275"/>
      <x:c r="F116" s="275"/>
      <x:c r="G116" s="272" t="str">
        <x:f>IF(C116="","",RANK.EQ(C116,$C$15:$C$264,1))</x:f>
      </x:c>
      <x:c r="H116" s="272" t="str">
        <x:f>IF(G116="","",IF(G116&lt;=$B$10,"TAIL",""))</x:f>
      </x:c>
      <x:c r="I116" s="254" t="str">
        <x:f>IF(C116="","",-C116)</x:f>
      </x:c>
      <x:c r="J116" s="191" t="str">
        <x:v>Enter scenario date and link final reval P&amp;L</x:v>
      </x:c>
      <x:c r="K116" s="191"/>
      <x:c r="L116" s="191"/>
      <x:c r="M116" s="191"/>
      <x:c r="N116" s="191"/>
      <x:c r="O116" s="191"/>
      <x:c r="P116" s="191"/>
      <x:c r="Q116" s="191"/>
      <x:c r="R116" s="191"/>
      <x:c r="S116" s="191"/>
      <x:c r="T116" s="191"/>
      <x:c r="U116" s="191"/>
      <x:c r="V116" s="191"/>
      <x:c r="W116" s="191"/>
      <x:c r="X116" s="191"/>
      <x:c r="Y116" s="191"/>
      <x:c r="Z116" s="191"/>
      <x:c r="AA116" s="191"/>
      <x:c r="AB116" s="191"/>
      <x:c r="AC116" s="191"/>
      <x:c r="AD116" s="191"/>
      <x:c r="AE116" s="191"/>
      <x:c r="AF116" s="191"/>
      <x:c r="AG116" s="191"/>
      <x:c r="AH116" s="191"/>
      <x:c r="AI116" s="191"/>
      <x:c r="AJ116" s="191"/>
      <x:c r="AK116" s="191"/>
    </x:row>
    <x:row r="117">
      <x:c r="A117" s="191" t="n">
        <x:v>103</x:v>
      </x:c>
      <x:c r="B117" s="274"/>
      <x:c r="C117" s="275"/>
      <x:c r="D117" s="275"/>
      <x:c r="E117" s="275"/>
      <x:c r="F117" s="275"/>
      <x:c r="G117" s="272" t="str">
        <x:f>IF(C117="","",RANK.EQ(C117,$C$15:$C$264,1))</x:f>
      </x:c>
      <x:c r="H117" s="272" t="str">
        <x:f>IF(G117="","",IF(G117&lt;=$B$10,"TAIL",""))</x:f>
      </x:c>
      <x:c r="I117" s="254" t="str">
        <x:f>IF(C117="","",-C117)</x:f>
      </x:c>
      <x:c r="J117" s="191" t="str">
        <x:v>Enter scenario date and link final reval P&amp;L</x:v>
      </x:c>
      <x:c r="K117" s="191"/>
      <x:c r="L117" s="191"/>
      <x:c r="M117" s="191"/>
      <x:c r="N117" s="191"/>
      <x:c r="O117" s="191"/>
      <x:c r="P117" s="191"/>
      <x:c r="Q117" s="191"/>
      <x:c r="R117" s="191"/>
      <x:c r="S117" s="191"/>
      <x:c r="T117" s="191"/>
      <x:c r="U117" s="191"/>
      <x:c r="V117" s="191"/>
      <x:c r="W117" s="191"/>
      <x:c r="X117" s="191"/>
      <x:c r="Y117" s="191"/>
      <x:c r="Z117" s="191"/>
      <x:c r="AA117" s="191"/>
      <x:c r="AB117" s="191"/>
      <x:c r="AC117" s="191"/>
      <x:c r="AD117" s="191"/>
      <x:c r="AE117" s="191"/>
      <x:c r="AF117" s="191"/>
      <x:c r="AG117" s="191"/>
      <x:c r="AH117" s="191"/>
      <x:c r="AI117" s="191"/>
      <x:c r="AJ117" s="191"/>
      <x:c r="AK117" s="191"/>
    </x:row>
    <x:row r="118">
      <x:c r="A118" s="191" t="n">
        <x:v>104</x:v>
      </x:c>
      <x:c r="B118" s="274"/>
      <x:c r="C118" s="275"/>
      <x:c r="D118" s="275"/>
      <x:c r="E118" s="275"/>
      <x:c r="F118" s="275"/>
      <x:c r="G118" s="272" t="str">
        <x:f>IF(C118="","",RANK.EQ(C118,$C$15:$C$264,1))</x:f>
      </x:c>
      <x:c r="H118" s="272" t="str">
        <x:f>IF(G118="","",IF(G118&lt;=$B$10,"TAIL",""))</x:f>
      </x:c>
      <x:c r="I118" s="254" t="str">
        <x:f>IF(C118="","",-C118)</x:f>
      </x:c>
      <x:c r="J118" s="191" t="str">
        <x:v>Enter scenario date and link final reval P&amp;L</x:v>
      </x:c>
      <x:c r="K118" s="191"/>
      <x:c r="L118" s="191"/>
      <x:c r="M118" s="191"/>
      <x:c r="N118" s="191"/>
      <x:c r="O118" s="191"/>
      <x:c r="P118" s="191"/>
      <x:c r="Q118" s="191"/>
      <x:c r="R118" s="191"/>
      <x:c r="S118" s="191"/>
      <x:c r="T118" s="191"/>
      <x:c r="U118" s="191"/>
      <x:c r="V118" s="191"/>
      <x:c r="W118" s="191"/>
      <x:c r="X118" s="191"/>
      <x:c r="Y118" s="191"/>
      <x:c r="Z118" s="191"/>
      <x:c r="AA118" s="191"/>
      <x:c r="AB118" s="191"/>
      <x:c r="AC118" s="191"/>
      <x:c r="AD118" s="191"/>
      <x:c r="AE118" s="191"/>
      <x:c r="AF118" s="191"/>
      <x:c r="AG118" s="191"/>
      <x:c r="AH118" s="191"/>
      <x:c r="AI118" s="191"/>
      <x:c r="AJ118" s="191"/>
      <x:c r="AK118" s="191"/>
    </x:row>
    <x:row r="119">
      <x:c r="A119" s="191" t="n">
        <x:v>105</x:v>
      </x:c>
      <x:c r="B119" s="274"/>
      <x:c r="C119" s="275"/>
      <x:c r="D119" s="275"/>
      <x:c r="E119" s="275"/>
      <x:c r="F119" s="275"/>
      <x:c r="G119" s="272" t="str">
        <x:f>IF(C119="","",RANK.EQ(C119,$C$15:$C$264,1))</x:f>
      </x:c>
      <x:c r="H119" s="272" t="str">
        <x:f>IF(G119="","",IF(G119&lt;=$B$10,"TAIL",""))</x:f>
      </x:c>
      <x:c r="I119" s="254" t="str">
        <x:f>IF(C119="","",-C119)</x:f>
      </x:c>
      <x:c r="J119" s="191" t="str">
        <x:v>Enter scenario date and link final reval P&amp;L</x:v>
      </x:c>
      <x:c r="K119" s="191"/>
      <x:c r="L119" s="191"/>
      <x:c r="M119" s="191"/>
      <x:c r="N119" s="191"/>
      <x:c r="O119" s="191"/>
      <x:c r="P119" s="191"/>
      <x:c r="Q119" s="191"/>
      <x:c r="R119" s="191"/>
      <x:c r="S119" s="191"/>
      <x:c r="T119" s="191"/>
      <x:c r="U119" s="191"/>
      <x:c r="V119" s="191"/>
      <x:c r="W119" s="191"/>
      <x:c r="X119" s="191"/>
      <x:c r="Y119" s="191"/>
      <x:c r="Z119" s="191"/>
      <x:c r="AA119" s="191"/>
      <x:c r="AB119" s="191"/>
      <x:c r="AC119" s="191"/>
      <x:c r="AD119" s="191"/>
      <x:c r="AE119" s="191"/>
      <x:c r="AF119" s="191"/>
      <x:c r="AG119" s="191"/>
      <x:c r="AH119" s="191"/>
      <x:c r="AI119" s="191"/>
      <x:c r="AJ119" s="191"/>
      <x:c r="AK119" s="191"/>
    </x:row>
    <x:row r="120">
      <x:c r="A120" s="191" t="n">
        <x:v>106</x:v>
      </x:c>
      <x:c r="B120" s="274"/>
      <x:c r="C120" s="275"/>
      <x:c r="D120" s="275"/>
      <x:c r="E120" s="275"/>
      <x:c r="F120" s="275"/>
      <x:c r="G120" s="272" t="str">
        <x:f>IF(C120="","",RANK.EQ(C120,$C$15:$C$264,1))</x:f>
      </x:c>
      <x:c r="H120" s="272" t="str">
        <x:f>IF(G120="","",IF(G120&lt;=$B$10,"TAIL",""))</x:f>
      </x:c>
      <x:c r="I120" s="254" t="str">
        <x:f>IF(C120="","",-C120)</x:f>
      </x:c>
      <x:c r="J120" s="191" t="str">
        <x:v>Enter scenario date and link final reval P&amp;L</x:v>
      </x:c>
      <x:c r="K120" s="191"/>
      <x:c r="L120" s="191"/>
      <x:c r="M120" s="191"/>
      <x:c r="N120" s="191"/>
      <x:c r="O120" s="191"/>
      <x:c r="P120" s="191"/>
      <x:c r="Q120" s="191"/>
      <x:c r="R120" s="191"/>
      <x:c r="S120" s="191"/>
      <x:c r="T120" s="191"/>
      <x:c r="U120" s="191"/>
      <x:c r="V120" s="191"/>
      <x:c r="W120" s="191"/>
      <x:c r="X120" s="191"/>
      <x:c r="Y120" s="191"/>
      <x:c r="Z120" s="191"/>
      <x:c r="AA120" s="191"/>
      <x:c r="AB120" s="191"/>
      <x:c r="AC120" s="191"/>
      <x:c r="AD120" s="191"/>
      <x:c r="AE120" s="191"/>
      <x:c r="AF120" s="191"/>
      <x:c r="AG120" s="191"/>
      <x:c r="AH120" s="191"/>
      <x:c r="AI120" s="191"/>
      <x:c r="AJ120" s="191"/>
      <x:c r="AK120" s="191"/>
    </x:row>
    <x:row r="121">
      <x:c r="A121" s="191" t="n">
        <x:v>107</x:v>
      </x:c>
      <x:c r="B121" s="274"/>
      <x:c r="C121" s="275"/>
      <x:c r="D121" s="275"/>
      <x:c r="E121" s="275"/>
      <x:c r="F121" s="275"/>
      <x:c r="G121" s="272" t="str">
        <x:f>IF(C121="","",RANK.EQ(C121,$C$15:$C$264,1))</x:f>
      </x:c>
      <x:c r="H121" s="272" t="str">
        <x:f>IF(G121="","",IF(G121&lt;=$B$10,"TAIL",""))</x:f>
      </x:c>
      <x:c r="I121" s="254" t="str">
        <x:f>IF(C121="","",-C121)</x:f>
      </x:c>
      <x:c r="J121" s="191" t="str">
        <x:v>Enter scenario date and link final reval P&amp;L</x:v>
      </x:c>
      <x:c r="K121" s="191"/>
      <x:c r="L121" s="191"/>
      <x:c r="M121" s="191"/>
      <x:c r="N121" s="191"/>
      <x:c r="O121" s="191"/>
      <x:c r="P121" s="191"/>
      <x:c r="Q121" s="191"/>
      <x:c r="R121" s="191"/>
      <x:c r="S121" s="191"/>
      <x:c r="T121" s="191"/>
      <x:c r="U121" s="191"/>
      <x:c r="V121" s="191"/>
      <x:c r="W121" s="191"/>
      <x:c r="X121" s="191"/>
      <x:c r="Y121" s="191"/>
      <x:c r="Z121" s="191"/>
      <x:c r="AA121" s="191"/>
      <x:c r="AB121" s="191"/>
      <x:c r="AC121" s="191"/>
      <x:c r="AD121" s="191"/>
      <x:c r="AE121" s="191"/>
      <x:c r="AF121" s="191"/>
      <x:c r="AG121" s="191"/>
      <x:c r="AH121" s="191"/>
      <x:c r="AI121" s="191"/>
      <x:c r="AJ121" s="191"/>
      <x:c r="AK121" s="191"/>
    </x:row>
    <x:row r="122">
      <x:c r="A122" s="191" t="n">
        <x:v>108</x:v>
      </x:c>
      <x:c r="B122" s="274"/>
      <x:c r="C122" s="275"/>
      <x:c r="D122" s="275"/>
      <x:c r="E122" s="275"/>
      <x:c r="F122" s="275"/>
      <x:c r="G122" s="272" t="str">
        <x:f>IF(C122="","",RANK.EQ(C122,$C$15:$C$264,1))</x:f>
      </x:c>
      <x:c r="H122" s="272" t="str">
        <x:f>IF(G122="","",IF(G122&lt;=$B$10,"TAIL",""))</x:f>
      </x:c>
      <x:c r="I122" s="254" t="str">
        <x:f>IF(C122="","",-C122)</x:f>
      </x:c>
      <x:c r="J122" s="191" t="str">
        <x:v>Enter scenario date and link final reval P&amp;L</x:v>
      </x:c>
      <x:c r="K122" s="191"/>
      <x:c r="L122" s="191"/>
      <x:c r="M122" s="191"/>
      <x:c r="N122" s="191"/>
      <x:c r="O122" s="191"/>
      <x:c r="P122" s="191"/>
      <x:c r="Q122" s="191"/>
      <x:c r="R122" s="191"/>
      <x:c r="S122" s="191"/>
      <x:c r="T122" s="191"/>
      <x:c r="U122" s="191"/>
      <x:c r="V122" s="191"/>
      <x:c r="W122" s="191"/>
      <x:c r="X122" s="191"/>
      <x:c r="Y122" s="191"/>
      <x:c r="Z122" s="191"/>
      <x:c r="AA122" s="191"/>
      <x:c r="AB122" s="191"/>
      <x:c r="AC122" s="191"/>
      <x:c r="AD122" s="191"/>
      <x:c r="AE122" s="191"/>
      <x:c r="AF122" s="191"/>
      <x:c r="AG122" s="191"/>
      <x:c r="AH122" s="191"/>
      <x:c r="AI122" s="191"/>
      <x:c r="AJ122" s="191"/>
      <x:c r="AK122" s="191"/>
    </x:row>
    <x:row r="123">
      <x:c r="A123" s="191" t="n">
        <x:v>109</x:v>
      </x:c>
      <x:c r="B123" s="274"/>
      <x:c r="C123" s="275"/>
      <x:c r="D123" s="275"/>
      <x:c r="E123" s="275"/>
      <x:c r="F123" s="275"/>
      <x:c r="G123" s="272" t="str">
        <x:f>IF(C123="","",RANK.EQ(C123,$C$15:$C$264,1))</x:f>
      </x:c>
      <x:c r="H123" s="272" t="str">
        <x:f>IF(G123="","",IF(G123&lt;=$B$10,"TAIL",""))</x:f>
      </x:c>
      <x:c r="I123" s="254" t="str">
        <x:f>IF(C123="","",-C123)</x:f>
      </x:c>
      <x:c r="J123" s="191" t="str">
        <x:v>Enter scenario date and link final reval P&amp;L</x:v>
      </x:c>
      <x:c r="K123" s="191"/>
      <x:c r="L123" s="191"/>
      <x:c r="M123" s="191"/>
      <x:c r="N123" s="191"/>
      <x:c r="O123" s="191"/>
      <x:c r="P123" s="191"/>
      <x:c r="Q123" s="191"/>
      <x:c r="R123" s="191"/>
      <x:c r="S123" s="191"/>
      <x:c r="T123" s="191"/>
      <x:c r="U123" s="191"/>
      <x:c r="V123" s="191"/>
      <x:c r="W123" s="191"/>
      <x:c r="X123" s="191"/>
      <x:c r="Y123" s="191"/>
      <x:c r="Z123" s="191"/>
      <x:c r="AA123" s="191"/>
      <x:c r="AB123" s="191"/>
      <x:c r="AC123" s="191"/>
      <x:c r="AD123" s="191"/>
      <x:c r="AE123" s="191"/>
      <x:c r="AF123" s="191"/>
      <x:c r="AG123" s="191"/>
      <x:c r="AH123" s="191"/>
      <x:c r="AI123" s="191"/>
      <x:c r="AJ123" s="191"/>
      <x:c r="AK123" s="191"/>
    </x:row>
    <x:row r="124">
      <x:c r="A124" s="191" t="n">
        <x:v>110</x:v>
      </x:c>
      <x:c r="B124" s="274"/>
      <x:c r="C124" s="275"/>
      <x:c r="D124" s="275"/>
      <x:c r="E124" s="275"/>
      <x:c r="F124" s="275"/>
      <x:c r="G124" s="272" t="str">
        <x:f>IF(C124="","",RANK.EQ(C124,$C$15:$C$264,1))</x:f>
      </x:c>
      <x:c r="H124" s="272" t="str">
        <x:f>IF(G124="","",IF(G124&lt;=$B$10,"TAIL",""))</x:f>
      </x:c>
      <x:c r="I124" s="254" t="str">
        <x:f>IF(C124="","",-C124)</x:f>
      </x:c>
      <x:c r="J124" s="191" t="str">
        <x:v>Enter scenario date and link final reval P&amp;L</x:v>
      </x:c>
      <x:c r="K124" s="191"/>
      <x:c r="L124" s="191"/>
      <x:c r="M124" s="191"/>
      <x:c r="N124" s="191"/>
      <x:c r="O124" s="191"/>
      <x:c r="P124" s="191"/>
      <x:c r="Q124" s="191"/>
      <x:c r="R124" s="191"/>
      <x:c r="S124" s="191"/>
      <x:c r="T124" s="191"/>
      <x:c r="U124" s="191"/>
      <x:c r="V124" s="191"/>
      <x:c r="W124" s="191"/>
      <x:c r="X124" s="191"/>
      <x:c r="Y124" s="191"/>
      <x:c r="Z124" s="191"/>
      <x:c r="AA124" s="191"/>
      <x:c r="AB124" s="191"/>
      <x:c r="AC124" s="191"/>
      <x:c r="AD124" s="191"/>
      <x:c r="AE124" s="191"/>
      <x:c r="AF124" s="191"/>
      <x:c r="AG124" s="191"/>
      <x:c r="AH124" s="191"/>
      <x:c r="AI124" s="191"/>
      <x:c r="AJ124" s="191"/>
      <x:c r="AK124" s="191"/>
    </x:row>
    <x:row r="125">
      <x:c r="A125" s="191" t="n">
        <x:v>111</x:v>
      </x:c>
      <x:c r="B125" s="274"/>
      <x:c r="C125" s="275"/>
      <x:c r="D125" s="275"/>
      <x:c r="E125" s="275"/>
      <x:c r="F125" s="275"/>
      <x:c r="G125" s="272" t="str">
        <x:f>IF(C125="","",RANK.EQ(C125,$C$15:$C$264,1))</x:f>
      </x:c>
      <x:c r="H125" s="272" t="str">
        <x:f>IF(G125="","",IF(G125&lt;=$B$10,"TAIL",""))</x:f>
      </x:c>
      <x:c r="I125" s="254" t="str">
        <x:f>IF(C125="","",-C125)</x:f>
      </x:c>
      <x:c r="J125" s="191" t="str">
        <x:v>Enter scenario date and link final reval P&amp;L</x:v>
      </x:c>
      <x:c r="K125" s="191"/>
      <x:c r="L125" s="191"/>
      <x:c r="M125" s="191"/>
      <x:c r="N125" s="191"/>
      <x:c r="O125" s="191"/>
      <x:c r="P125" s="191"/>
      <x:c r="Q125" s="191"/>
      <x:c r="R125" s="191"/>
      <x:c r="S125" s="191"/>
      <x:c r="T125" s="191"/>
      <x:c r="U125" s="191"/>
      <x:c r="V125" s="191"/>
      <x:c r="W125" s="191"/>
      <x:c r="X125" s="191"/>
      <x:c r="Y125" s="191"/>
      <x:c r="Z125" s="191"/>
      <x:c r="AA125" s="191"/>
      <x:c r="AB125" s="191"/>
      <x:c r="AC125" s="191"/>
      <x:c r="AD125" s="191"/>
      <x:c r="AE125" s="191"/>
      <x:c r="AF125" s="191"/>
      <x:c r="AG125" s="191"/>
      <x:c r="AH125" s="191"/>
      <x:c r="AI125" s="191"/>
      <x:c r="AJ125" s="191"/>
      <x:c r="AK125" s="191"/>
    </x:row>
    <x:row r="126">
      <x:c r="A126" s="191" t="n">
        <x:v>112</x:v>
      </x:c>
      <x:c r="B126" s="274"/>
      <x:c r="C126" s="275"/>
      <x:c r="D126" s="275"/>
      <x:c r="E126" s="275"/>
      <x:c r="F126" s="275"/>
      <x:c r="G126" s="272" t="str">
        <x:f>IF(C126="","",RANK.EQ(C126,$C$15:$C$264,1))</x:f>
      </x:c>
      <x:c r="H126" s="272" t="str">
        <x:f>IF(G126="","",IF(G126&lt;=$B$10,"TAIL",""))</x:f>
      </x:c>
      <x:c r="I126" s="254" t="str">
        <x:f>IF(C126="","",-C126)</x:f>
      </x:c>
      <x:c r="J126" s="191" t="str">
        <x:v>Enter scenario date and link final reval P&amp;L</x:v>
      </x:c>
      <x:c r="K126" s="191"/>
      <x:c r="L126" s="191"/>
      <x:c r="M126" s="191"/>
      <x:c r="N126" s="191"/>
      <x:c r="O126" s="191"/>
      <x:c r="P126" s="191"/>
      <x:c r="Q126" s="191"/>
      <x:c r="R126" s="191"/>
      <x:c r="S126" s="191"/>
      <x:c r="T126" s="191"/>
      <x:c r="U126" s="191"/>
      <x:c r="V126" s="191"/>
      <x:c r="W126" s="191"/>
      <x:c r="X126" s="191"/>
      <x:c r="Y126" s="191"/>
      <x:c r="Z126" s="191"/>
      <x:c r="AA126" s="191"/>
      <x:c r="AB126" s="191"/>
      <x:c r="AC126" s="191"/>
      <x:c r="AD126" s="191"/>
      <x:c r="AE126" s="191"/>
      <x:c r="AF126" s="191"/>
      <x:c r="AG126" s="191"/>
      <x:c r="AH126" s="191"/>
      <x:c r="AI126" s="191"/>
      <x:c r="AJ126" s="191"/>
      <x:c r="AK126" s="191"/>
    </x:row>
    <x:row r="127">
      <x:c r="A127" s="191" t="n">
        <x:v>113</x:v>
      </x:c>
      <x:c r="B127" s="274"/>
      <x:c r="C127" s="275"/>
      <x:c r="D127" s="275"/>
      <x:c r="E127" s="275"/>
      <x:c r="F127" s="275"/>
      <x:c r="G127" s="272" t="str">
        <x:f>IF(C127="","",RANK.EQ(C127,$C$15:$C$264,1))</x:f>
      </x:c>
      <x:c r="H127" s="272" t="str">
        <x:f>IF(G127="","",IF(G127&lt;=$B$10,"TAIL",""))</x:f>
      </x:c>
      <x:c r="I127" s="254" t="str">
        <x:f>IF(C127="","",-C127)</x:f>
      </x:c>
      <x:c r="J127" s="191" t="str">
        <x:v>Enter scenario date and link final reval P&amp;L</x:v>
      </x:c>
      <x:c r="K127" s="191"/>
      <x:c r="L127" s="191"/>
      <x:c r="M127" s="191"/>
      <x:c r="N127" s="191"/>
      <x:c r="O127" s="191"/>
      <x:c r="P127" s="191"/>
      <x:c r="Q127" s="191"/>
      <x:c r="R127" s="191"/>
      <x:c r="S127" s="191"/>
      <x:c r="T127" s="191"/>
      <x:c r="U127" s="191"/>
      <x:c r="V127" s="191"/>
      <x:c r="W127" s="191"/>
      <x:c r="X127" s="191"/>
      <x:c r="Y127" s="191"/>
      <x:c r="Z127" s="191"/>
      <x:c r="AA127" s="191"/>
      <x:c r="AB127" s="191"/>
      <x:c r="AC127" s="191"/>
      <x:c r="AD127" s="191"/>
      <x:c r="AE127" s="191"/>
      <x:c r="AF127" s="191"/>
      <x:c r="AG127" s="191"/>
      <x:c r="AH127" s="191"/>
      <x:c r="AI127" s="191"/>
      <x:c r="AJ127" s="191"/>
      <x:c r="AK127" s="191"/>
    </x:row>
    <x:row r="128">
      <x:c r="A128" s="191" t="n">
        <x:v>114</x:v>
      </x:c>
      <x:c r="B128" s="274"/>
      <x:c r="C128" s="275"/>
      <x:c r="D128" s="275"/>
      <x:c r="E128" s="275"/>
      <x:c r="F128" s="275"/>
      <x:c r="G128" s="272" t="str">
        <x:f>IF(C128="","",RANK.EQ(C128,$C$15:$C$264,1))</x:f>
      </x:c>
      <x:c r="H128" s="272" t="str">
        <x:f>IF(G128="","",IF(G128&lt;=$B$10,"TAIL",""))</x:f>
      </x:c>
      <x:c r="I128" s="254" t="str">
        <x:f>IF(C128="","",-C128)</x:f>
      </x:c>
      <x:c r="J128" s="191" t="str">
        <x:v>Enter scenario date and link final reval P&amp;L</x:v>
      </x:c>
      <x:c r="K128" s="191"/>
      <x:c r="L128" s="191"/>
      <x:c r="M128" s="191"/>
      <x:c r="N128" s="191"/>
      <x:c r="O128" s="191"/>
      <x:c r="P128" s="191"/>
      <x:c r="Q128" s="191"/>
      <x:c r="R128" s="191"/>
      <x:c r="S128" s="191"/>
      <x:c r="T128" s="191"/>
      <x:c r="U128" s="191"/>
      <x:c r="V128" s="191"/>
      <x:c r="W128" s="191"/>
      <x:c r="X128" s="191"/>
      <x:c r="Y128" s="191"/>
      <x:c r="Z128" s="191"/>
      <x:c r="AA128" s="191"/>
      <x:c r="AB128" s="191"/>
      <x:c r="AC128" s="191"/>
      <x:c r="AD128" s="191"/>
      <x:c r="AE128" s="191"/>
      <x:c r="AF128" s="191"/>
      <x:c r="AG128" s="191"/>
      <x:c r="AH128" s="191"/>
      <x:c r="AI128" s="191"/>
      <x:c r="AJ128" s="191"/>
      <x:c r="AK128" s="191"/>
    </x:row>
    <x:row r="129">
      <x:c r="A129" s="191" t="n">
        <x:v>115</x:v>
      </x:c>
      <x:c r="B129" s="274"/>
      <x:c r="C129" s="275"/>
      <x:c r="D129" s="275"/>
      <x:c r="E129" s="275"/>
      <x:c r="F129" s="275"/>
      <x:c r="G129" s="272" t="str">
        <x:f>IF(C129="","",RANK.EQ(C129,$C$15:$C$264,1))</x:f>
      </x:c>
      <x:c r="H129" s="272" t="str">
        <x:f>IF(G129="","",IF(G129&lt;=$B$10,"TAIL",""))</x:f>
      </x:c>
      <x:c r="I129" s="254" t="str">
        <x:f>IF(C129="","",-C129)</x:f>
      </x:c>
      <x:c r="J129" s="191" t="str">
        <x:v>Enter scenario date and link final reval P&amp;L</x:v>
      </x:c>
      <x:c r="K129" s="191"/>
      <x:c r="L129" s="191"/>
      <x:c r="M129" s="191"/>
      <x:c r="N129" s="191"/>
      <x:c r="O129" s="191"/>
      <x:c r="P129" s="191"/>
      <x:c r="Q129" s="191"/>
      <x:c r="R129" s="191"/>
      <x:c r="S129" s="191"/>
      <x:c r="T129" s="191"/>
      <x:c r="U129" s="191"/>
      <x:c r="V129" s="191"/>
      <x:c r="W129" s="191"/>
      <x:c r="X129" s="191"/>
      <x:c r="Y129" s="191"/>
      <x:c r="Z129" s="191"/>
      <x:c r="AA129" s="191"/>
      <x:c r="AB129" s="191"/>
      <x:c r="AC129" s="191"/>
      <x:c r="AD129" s="191"/>
      <x:c r="AE129" s="191"/>
      <x:c r="AF129" s="191"/>
      <x:c r="AG129" s="191"/>
      <x:c r="AH129" s="191"/>
      <x:c r="AI129" s="191"/>
      <x:c r="AJ129" s="191"/>
      <x:c r="AK129" s="191"/>
    </x:row>
    <x:row r="130">
      <x:c r="A130" s="191" t="n">
        <x:v>116</x:v>
      </x:c>
      <x:c r="B130" s="274"/>
      <x:c r="C130" s="275"/>
      <x:c r="D130" s="275"/>
      <x:c r="E130" s="275"/>
      <x:c r="F130" s="275"/>
      <x:c r="G130" s="272" t="str">
        <x:f>IF(C130="","",RANK.EQ(C130,$C$15:$C$264,1))</x:f>
      </x:c>
      <x:c r="H130" s="272" t="str">
        <x:f>IF(G130="","",IF(G130&lt;=$B$10,"TAIL",""))</x:f>
      </x:c>
      <x:c r="I130" s="254" t="str">
        <x:f>IF(C130="","",-C130)</x:f>
      </x:c>
      <x:c r="J130" s="191" t="str">
        <x:v>Enter scenario date and link final reval P&amp;L</x:v>
      </x:c>
      <x:c r="K130" s="191"/>
      <x:c r="L130" s="191"/>
      <x:c r="M130" s="191"/>
      <x:c r="N130" s="191"/>
      <x:c r="O130" s="191"/>
      <x:c r="P130" s="191"/>
      <x:c r="Q130" s="191"/>
      <x:c r="R130" s="191"/>
      <x:c r="S130" s="191"/>
      <x:c r="T130" s="191"/>
      <x:c r="U130" s="191"/>
      <x:c r="V130" s="191"/>
      <x:c r="W130" s="191"/>
      <x:c r="X130" s="191"/>
      <x:c r="Y130" s="191"/>
      <x:c r="Z130" s="191"/>
      <x:c r="AA130" s="191"/>
      <x:c r="AB130" s="191"/>
      <x:c r="AC130" s="191"/>
      <x:c r="AD130" s="191"/>
      <x:c r="AE130" s="191"/>
      <x:c r="AF130" s="191"/>
      <x:c r="AG130" s="191"/>
      <x:c r="AH130" s="191"/>
      <x:c r="AI130" s="191"/>
      <x:c r="AJ130" s="191"/>
      <x:c r="AK130" s="191"/>
    </x:row>
    <x:row r="131">
      <x:c r="A131" s="191" t="n">
        <x:v>117</x:v>
      </x:c>
      <x:c r="B131" s="274"/>
      <x:c r="C131" s="275"/>
      <x:c r="D131" s="275"/>
      <x:c r="E131" s="275"/>
      <x:c r="F131" s="275"/>
      <x:c r="G131" s="272" t="str">
        <x:f>IF(C131="","",RANK.EQ(C131,$C$15:$C$264,1))</x:f>
      </x:c>
      <x:c r="H131" s="272" t="str">
        <x:f>IF(G131="","",IF(G131&lt;=$B$10,"TAIL",""))</x:f>
      </x:c>
      <x:c r="I131" s="254" t="str">
        <x:f>IF(C131="","",-C131)</x:f>
      </x:c>
      <x:c r="J131" s="191" t="str">
        <x:v>Enter scenario date and link final reval P&amp;L</x:v>
      </x:c>
      <x:c r="K131" s="191"/>
      <x:c r="L131" s="191"/>
      <x:c r="M131" s="191"/>
      <x:c r="N131" s="191"/>
      <x:c r="O131" s="191"/>
      <x:c r="P131" s="191"/>
      <x:c r="Q131" s="191"/>
      <x:c r="R131" s="191"/>
      <x:c r="S131" s="191"/>
      <x:c r="T131" s="191"/>
      <x:c r="U131" s="191"/>
      <x:c r="V131" s="191"/>
      <x:c r="W131" s="191"/>
      <x:c r="X131" s="191"/>
      <x:c r="Y131" s="191"/>
      <x:c r="Z131" s="191"/>
      <x:c r="AA131" s="191"/>
      <x:c r="AB131" s="191"/>
      <x:c r="AC131" s="191"/>
      <x:c r="AD131" s="191"/>
      <x:c r="AE131" s="191"/>
      <x:c r="AF131" s="191"/>
      <x:c r="AG131" s="191"/>
      <x:c r="AH131" s="191"/>
      <x:c r="AI131" s="191"/>
      <x:c r="AJ131" s="191"/>
      <x:c r="AK131" s="191"/>
    </x:row>
    <x:row r="132">
      <x:c r="A132" s="191" t="n">
        <x:v>118</x:v>
      </x:c>
      <x:c r="B132" s="274"/>
      <x:c r="C132" s="275"/>
      <x:c r="D132" s="275"/>
      <x:c r="E132" s="275"/>
      <x:c r="F132" s="275"/>
      <x:c r="G132" s="272" t="str">
        <x:f>IF(C132="","",RANK.EQ(C132,$C$15:$C$264,1))</x:f>
      </x:c>
      <x:c r="H132" s="272" t="str">
        <x:f>IF(G132="","",IF(G132&lt;=$B$10,"TAIL",""))</x:f>
      </x:c>
      <x:c r="I132" s="254" t="str">
        <x:f>IF(C132="","",-C132)</x:f>
      </x:c>
      <x:c r="J132" s="191" t="str">
        <x:v>Enter scenario date and link final reval P&amp;L</x:v>
      </x:c>
      <x:c r="K132" s="191"/>
      <x:c r="L132" s="191"/>
      <x:c r="M132" s="191"/>
      <x:c r="N132" s="191"/>
      <x:c r="O132" s="191"/>
      <x:c r="P132" s="191"/>
      <x:c r="Q132" s="191"/>
      <x:c r="R132" s="191"/>
      <x:c r="S132" s="191"/>
      <x:c r="T132" s="191"/>
      <x:c r="U132" s="191"/>
      <x:c r="V132" s="191"/>
      <x:c r="W132" s="191"/>
      <x:c r="X132" s="191"/>
      <x:c r="Y132" s="191"/>
      <x:c r="Z132" s="191"/>
      <x:c r="AA132" s="191"/>
      <x:c r="AB132" s="191"/>
      <x:c r="AC132" s="191"/>
      <x:c r="AD132" s="191"/>
      <x:c r="AE132" s="191"/>
      <x:c r="AF132" s="191"/>
      <x:c r="AG132" s="191"/>
      <x:c r="AH132" s="191"/>
      <x:c r="AI132" s="191"/>
      <x:c r="AJ132" s="191"/>
      <x:c r="AK132" s="191"/>
    </x:row>
    <x:row r="133">
      <x:c r="A133" s="191" t="n">
        <x:v>119</x:v>
      </x:c>
      <x:c r="B133" s="274"/>
      <x:c r="C133" s="275"/>
      <x:c r="D133" s="275"/>
      <x:c r="E133" s="275"/>
      <x:c r="F133" s="275"/>
      <x:c r="G133" s="272" t="str">
        <x:f>IF(C133="","",RANK.EQ(C133,$C$15:$C$264,1))</x:f>
      </x:c>
      <x:c r="H133" s="272" t="str">
        <x:f>IF(G133="","",IF(G133&lt;=$B$10,"TAIL",""))</x:f>
      </x:c>
      <x:c r="I133" s="254" t="str">
        <x:f>IF(C133="","",-C133)</x:f>
      </x:c>
      <x:c r="J133" s="191" t="str">
        <x:v>Enter scenario date and link final reval P&amp;L</x:v>
      </x:c>
      <x:c r="K133" s="191"/>
      <x:c r="L133" s="191"/>
      <x:c r="M133" s="191"/>
      <x:c r="N133" s="191"/>
      <x:c r="O133" s="191"/>
      <x:c r="P133" s="191"/>
      <x:c r="Q133" s="191"/>
      <x:c r="R133" s="191"/>
      <x:c r="S133" s="191"/>
      <x:c r="T133" s="191"/>
      <x:c r="U133" s="191"/>
      <x:c r="V133" s="191"/>
      <x:c r="W133" s="191"/>
      <x:c r="X133" s="191"/>
      <x:c r="Y133" s="191"/>
      <x:c r="Z133" s="191"/>
      <x:c r="AA133" s="191"/>
      <x:c r="AB133" s="191"/>
      <x:c r="AC133" s="191"/>
      <x:c r="AD133" s="191"/>
      <x:c r="AE133" s="191"/>
      <x:c r="AF133" s="191"/>
      <x:c r="AG133" s="191"/>
      <x:c r="AH133" s="191"/>
      <x:c r="AI133" s="191"/>
      <x:c r="AJ133" s="191"/>
      <x:c r="AK133" s="191"/>
    </x:row>
    <x:row r="134">
      <x:c r="A134" s="191" t="n">
        <x:v>120</x:v>
      </x:c>
      <x:c r="B134" s="274"/>
      <x:c r="C134" s="275"/>
      <x:c r="D134" s="275"/>
      <x:c r="E134" s="275"/>
      <x:c r="F134" s="275"/>
      <x:c r="G134" s="272" t="str">
        <x:f>IF(C134="","",RANK.EQ(C134,$C$15:$C$264,1))</x:f>
      </x:c>
      <x:c r="H134" s="272" t="str">
        <x:f>IF(G134="","",IF(G134&lt;=$B$10,"TAIL",""))</x:f>
      </x:c>
      <x:c r="I134" s="254" t="str">
        <x:f>IF(C134="","",-C134)</x:f>
      </x:c>
      <x:c r="J134" s="191" t="str">
        <x:v>Enter scenario date and link final reval P&amp;L</x:v>
      </x:c>
      <x:c r="K134" s="191"/>
      <x:c r="L134" s="191"/>
      <x:c r="M134" s="191"/>
      <x:c r="N134" s="191"/>
      <x:c r="O134" s="191"/>
      <x:c r="P134" s="191"/>
      <x:c r="Q134" s="191"/>
      <x:c r="R134" s="191"/>
      <x:c r="S134" s="191"/>
      <x:c r="T134" s="191"/>
      <x:c r="U134" s="191"/>
      <x:c r="V134" s="191"/>
      <x:c r="W134" s="191"/>
      <x:c r="X134" s="191"/>
      <x:c r="Y134" s="191"/>
      <x:c r="Z134" s="191"/>
      <x:c r="AA134" s="191"/>
      <x:c r="AB134" s="191"/>
      <x:c r="AC134" s="191"/>
      <x:c r="AD134" s="191"/>
      <x:c r="AE134" s="191"/>
      <x:c r="AF134" s="191"/>
      <x:c r="AG134" s="191"/>
      <x:c r="AH134" s="191"/>
      <x:c r="AI134" s="191"/>
      <x:c r="AJ134" s="191"/>
      <x:c r="AK134" s="191"/>
    </x:row>
    <x:row r="135">
      <x:c r="A135" s="191" t="n">
        <x:v>121</x:v>
      </x:c>
      <x:c r="B135" s="274"/>
      <x:c r="C135" s="275"/>
      <x:c r="D135" s="275"/>
      <x:c r="E135" s="275"/>
      <x:c r="F135" s="275"/>
      <x:c r="G135" s="272" t="str">
        <x:f>IF(C135="","",RANK.EQ(C135,$C$15:$C$264,1))</x:f>
      </x:c>
      <x:c r="H135" s="272" t="str">
        <x:f>IF(G135="","",IF(G135&lt;=$B$10,"TAIL",""))</x:f>
      </x:c>
      <x:c r="I135" s="254" t="str">
        <x:f>IF(C135="","",-C135)</x:f>
      </x:c>
      <x:c r="J135" s="191" t="str">
        <x:v>Enter scenario date and link final reval P&amp;L</x:v>
      </x:c>
      <x:c r="K135" s="191"/>
      <x:c r="L135" s="191"/>
      <x:c r="M135" s="191"/>
      <x:c r="N135" s="191"/>
      <x:c r="O135" s="191"/>
      <x:c r="P135" s="191"/>
      <x:c r="Q135" s="191"/>
      <x:c r="R135" s="191"/>
      <x:c r="S135" s="191"/>
      <x:c r="T135" s="191"/>
      <x:c r="U135" s="191"/>
      <x:c r="V135" s="191"/>
      <x:c r="W135" s="191"/>
      <x:c r="X135" s="191"/>
      <x:c r="Y135" s="191"/>
      <x:c r="Z135" s="191"/>
      <x:c r="AA135" s="191"/>
      <x:c r="AB135" s="191"/>
      <x:c r="AC135" s="191"/>
      <x:c r="AD135" s="191"/>
      <x:c r="AE135" s="191"/>
      <x:c r="AF135" s="191"/>
      <x:c r="AG135" s="191"/>
      <x:c r="AH135" s="191"/>
      <x:c r="AI135" s="191"/>
      <x:c r="AJ135" s="191"/>
      <x:c r="AK135" s="191"/>
    </x:row>
    <x:row r="136">
      <x:c r="A136" s="191" t="n">
        <x:v>122</x:v>
      </x:c>
      <x:c r="B136" s="274"/>
      <x:c r="C136" s="275"/>
      <x:c r="D136" s="275"/>
      <x:c r="E136" s="275"/>
      <x:c r="F136" s="275"/>
      <x:c r="G136" s="272" t="str">
        <x:f>IF(C136="","",RANK.EQ(C136,$C$15:$C$264,1))</x:f>
      </x:c>
      <x:c r="H136" s="272" t="str">
        <x:f>IF(G136="","",IF(G136&lt;=$B$10,"TAIL",""))</x:f>
      </x:c>
      <x:c r="I136" s="254" t="str">
        <x:f>IF(C136="","",-C136)</x:f>
      </x:c>
      <x:c r="J136" s="191" t="str">
        <x:v>Enter scenario date and link final reval P&amp;L</x:v>
      </x:c>
      <x:c r="K136" s="191"/>
      <x:c r="L136" s="191"/>
      <x:c r="M136" s="191"/>
      <x:c r="N136" s="191"/>
      <x:c r="O136" s="191"/>
      <x:c r="P136" s="191"/>
      <x:c r="Q136" s="191"/>
      <x:c r="R136" s="191"/>
      <x:c r="S136" s="191"/>
      <x:c r="T136" s="191"/>
      <x:c r="U136" s="191"/>
      <x:c r="V136" s="191"/>
      <x:c r="W136" s="191"/>
      <x:c r="X136" s="191"/>
      <x:c r="Y136" s="191"/>
      <x:c r="Z136" s="191"/>
      <x:c r="AA136" s="191"/>
      <x:c r="AB136" s="191"/>
      <x:c r="AC136" s="191"/>
      <x:c r="AD136" s="191"/>
      <x:c r="AE136" s="191"/>
      <x:c r="AF136" s="191"/>
      <x:c r="AG136" s="191"/>
      <x:c r="AH136" s="191"/>
      <x:c r="AI136" s="191"/>
      <x:c r="AJ136" s="191"/>
      <x:c r="AK136" s="191"/>
    </x:row>
    <x:row r="137">
      <x:c r="A137" s="191" t="n">
        <x:v>123</x:v>
      </x:c>
      <x:c r="B137" s="274"/>
      <x:c r="C137" s="275"/>
      <x:c r="D137" s="275"/>
      <x:c r="E137" s="275"/>
      <x:c r="F137" s="275"/>
      <x:c r="G137" s="272" t="str">
        <x:f>IF(C137="","",RANK.EQ(C137,$C$15:$C$264,1))</x:f>
      </x:c>
      <x:c r="H137" s="272" t="str">
        <x:f>IF(G137="","",IF(G137&lt;=$B$10,"TAIL",""))</x:f>
      </x:c>
      <x:c r="I137" s="254" t="str">
        <x:f>IF(C137="","",-C137)</x:f>
      </x:c>
      <x:c r="J137" s="191" t="str">
        <x:v>Enter scenario date and link final reval P&amp;L</x:v>
      </x:c>
      <x:c r="K137" s="191"/>
      <x:c r="L137" s="191"/>
      <x:c r="M137" s="191"/>
      <x:c r="N137" s="191"/>
      <x:c r="O137" s="191"/>
      <x:c r="P137" s="191"/>
      <x:c r="Q137" s="191"/>
      <x:c r="R137" s="191"/>
      <x:c r="S137" s="191"/>
      <x:c r="T137" s="191"/>
      <x:c r="U137" s="191"/>
      <x:c r="V137" s="191"/>
      <x:c r="W137" s="191"/>
      <x:c r="X137" s="191"/>
      <x:c r="Y137" s="191"/>
      <x:c r="Z137" s="191"/>
      <x:c r="AA137" s="191"/>
      <x:c r="AB137" s="191"/>
      <x:c r="AC137" s="191"/>
      <x:c r="AD137" s="191"/>
      <x:c r="AE137" s="191"/>
      <x:c r="AF137" s="191"/>
      <x:c r="AG137" s="191"/>
      <x:c r="AH137" s="191"/>
      <x:c r="AI137" s="191"/>
      <x:c r="AJ137" s="191"/>
      <x:c r="AK137" s="191"/>
    </x:row>
    <x:row r="138">
      <x:c r="A138" s="191" t="n">
        <x:v>124</x:v>
      </x:c>
      <x:c r="B138" s="274"/>
      <x:c r="C138" s="275"/>
      <x:c r="D138" s="275"/>
      <x:c r="E138" s="275"/>
      <x:c r="F138" s="275"/>
      <x:c r="G138" s="272" t="str">
        <x:f>IF(C138="","",RANK.EQ(C138,$C$15:$C$264,1))</x:f>
      </x:c>
      <x:c r="H138" s="272" t="str">
        <x:f>IF(G138="","",IF(G138&lt;=$B$10,"TAIL",""))</x:f>
      </x:c>
      <x:c r="I138" s="254" t="str">
        <x:f>IF(C138="","",-C138)</x:f>
      </x:c>
      <x:c r="J138" s="191" t="str">
        <x:v>Enter scenario date and link final reval P&amp;L</x:v>
      </x:c>
      <x:c r="K138" s="191"/>
      <x:c r="L138" s="191"/>
      <x:c r="M138" s="191"/>
      <x:c r="N138" s="191"/>
      <x:c r="O138" s="191"/>
      <x:c r="P138" s="191"/>
      <x:c r="Q138" s="191"/>
      <x:c r="R138" s="191"/>
      <x:c r="S138" s="191"/>
      <x:c r="T138" s="191"/>
      <x:c r="U138" s="191"/>
      <x:c r="V138" s="191"/>
      <x:c r="W138" s="191"/>
      <x:c r="X138" s="191"/>
      <x:c r="Y138" s="191"/>
      <x:c r="Z138" s="191"/>
      <x:c r="AA138" s="191"/>
      <x:c r="AB138" s="191"/>
      <x:c r="AC138" s="191"/>
      <x:c r="AD138" s="191"/>
      <x:c r="AE138" s="191"/>
      <x:c r="AF138" s="191"/>
      <x:c r="AG138" s="191"/>
      <x:c r="AH138" s="191"/>
      <x:c r="AI138" s="191"/>
      <x:c r="AJ138" s="191"/>
      <x:c r="AK138" s="191"/>
    </x:row>
    <x:row r="139">
      <x:c r="A139" s="191" t="n">
        <x:v>125</x:v>
      </x:c>
      <x:c r="B139" s="274"/>
      <x:c r="C139" s="275"/>
      <x:c r="D139" s="275"/>
      <x:c r="E139" s="275"/>
      <x:c r="F139" s="275"/>
      <x:c r="G139" s="272" t="str">
        <x:f>IF(C139="","",RANK.EQ(C139,$C$15:$C$264,1))</x:f>
      </x:c>
      <x:c r="H139" s="272" t="str">
        <x:f>IF(G139="","",IF(G139&lt;=$B$10,"TAIL",""))</x:f>
      </x:c>
      <x:c r="I139" s="254" t="str">
        <x:f>IF(C139="","",-C139)</x:f>
      </x:c>
      <x:c r="J139" s="191" t="str">
        <x:v>Enter scenario date and link final reval P&amp;L</x:v>
      </x:c>
      <x:c r="K139" s="191"/>
      <x:c r="L139" s="191"/>
      <x:c r="M139" s="191"/>
      <x:c r="N139" s="191"/>
      <x:c r="O139" s="191"/>
      <x:c r="P139" s="191"/>
      <x:c r="Q139" s="191"/>
      <x:c r="R139" s="191"/>
      <x:c r="S139" s="191"/>
      <x:c r="T139" s="191"/>
      <x:c r="U139" s="191"/>
      <x:c r="V139" s="191"/>
      <x:c r="W139" s="191"/>
      <x:c r="X139" s="191"/>
      <x:c r="Y139" s="191"/>
      <x:c r="Z139" s="191"/>
      <x:c r="AA139" s="191"/>
      <x:c r="AB139" s="191"/>
      <x:c r="AC139" s="191"/>
      <x:c r="AD139" s="191"/>
      <x:c r="AE139" s="191"/>
      <x:c r="AF139" s="191"/>
      <x:c r="AG139" s="191"/>
      <x:c r="AH139" s="191"/>
      <x:c r="AI139" s="191"/>
      <x:c r="AJ139" s="191"/>
      <x:c r="AK139" s="191"/>
    </x:row>
    <x:row r="140">
      <x:c r="A140" s="191" t="n">
        <x:v>126</x:v>
      </x:c>
      <x:c r="B140" s="274"/>
      <x:c r="C140" s="275"/>
      <x:c r="D140" s="275"/>
      <x:c r="E140" s="275"/>
      <x:c r="F140" s="275"/>
      <x:c r="G140" s="272" t="str">
        <x:f>IF(C140="","",RANK.EQ(C140,$C$15:$C$264,1))</x:f>
      </x:c>
      <x:c r="H140" s="272" t="str">
        <x:f>IF(G140="","",IF(G140&lt;=$B$10,"TAIL",""))</x:f>
      </x:c>
      <x:c r="I140" s="254" t="str">
        <x:f>IF(C140="","",-C140)</x:f>
      </x:c>
      <x:c r="J140" s="191" t="str">
        <x:v>Enter scenario date and link final reval P&amp;L</x:v>
      </x:c>
      <x:c r="K140" s="191"/>
      <x:c r="L140" s="191"/>
      <x:c r="M140" s="191"/>
      <x:c r="N140" s="191"/>
      <x:c r="O140" s="191"/>
      <x:c r="P140" s="191"/>
      <x:c r="Q140" s="191"/>
      <x:c r="R140" s="191"/>
      <x:c r="S140" s="191"/>
      <x:c r="T140" s="191"/>
      <x:c r="U140" s="191"/>
      <x:c r="V140" s="191"/>
      <x:c r="W140" s="191"/>
      <x:c r="X140" s="191"/>
      <x:c r="Y140" s="191"/>
      <x:c r="Z140" s="191"/>
      <x:c r="AA140" s="191"/>
      <x:c r="AB140" s="191"/>
      <x:c r="AC140" s="191"/>
      <x:c r="AD140" s="191"/>
      <x:c r="AE140" s="191"/>
      <x:c r="AF140" s="191"/>
      <x:c r="AG140" s="191"/>
      <x:c r="AH140" s="191"/>
      <x:c r="AI140" s="191"/>
      <x:c r="AJ140" s="191"/>
      <x:c r="AK140" s="191"/>
    </x:row>
    <x:row r="141">
      <x:c r="A141" s="191" t="n">
        <x:v>127</x:v>
      </x:c>
      <x:c r="B141" s="274"/>
      <x:c r="C141" s="275"/>
      <x:c r="D141" s="275"/>
      <x:c r="E141" s="275"/>
      <x:c r="F141" s="275"/>
      <x:c r="G141" s="272" t="str">
        <x:f>IF(C141="","",RANK.EQ(C141,$C$15:$C$264,1))</x:f>
      </x:c>
      <x:c r="H141" s="272" t="str">
        <x:f>IF(G141="","",IF(G141&lt;=$B$10,"TAIL",""))</x:f>
      </x:c>
      <x:c r="I141" s="254" t="str">
        <x:f>IF(C141="","",-C141)</x:f>
      </x:c>
      <x:c r="J141" s="191" t="str">
        <x:v>Enter scenario date and link final reval P&amp;L</x:v>
      </x:c>
      <x:c r="K141" s="191"/>
      <x:c r="L141" s="191"/>
      <x:c r="M141" s="191"/>
      <x:c r="N141" s="191"/>
      <x:c r="O141" s="191"/>
      <x:c r="P141" s="191"/>
      <x:c r="Q141" s="191"/>
      <x:c r="R141" s="191"/>
      <x:c r="S141" s="191"/>
      <x:c r="T141" s="191"/>
      <x:c r="U141" s="191"/>
      <x:c r="V141" s="191"/>
      <x:c r="W141" s="191"/>
      <x:c r="X141" s="191"/>
      <x:c r="Y141" s="191"/>
      <x:c r="Z141" s="191"/>
      <x:c r="AA141" s="191"/>
      <x:c r="AB141" s="191"/>
      <x:c r="AC141" s="191"/>
      <x:c r="AD141" s="191"/>
      <x:c r="AE141" s="191"/>
      <x:c r="AF141" s="191"/>
      <x:c r="AG141" s="191"/>
      <x:c r="AH141" s="191"/>
      <x:c r="AI141" s="191"/>
      <x:c r="AJ141" s="191"/>
      <x:c r="AK141" s="191"/>
    </x:row>
    <x:row r="142">
      <x:c r="A142" s="191" t="n">
        <x:v>128</x:v>
      </x:c>
      <x:c r="B142" s="274"/>
      <x:c r="C142" s="275"/>
      <x:c r="D142" s="275"/>
      <x:c r="E142" s="275"/>
      <x:c r="F142" s="275"/>
      <x:c r="G142" s="272" t="str">
        <x:f>IF(C142="","",RANK.EQ(C142,$C$15:$C$264,1))</x:f>
      </x:c>
      <x:c r="H142" s="272" t="str">
        <x:f>IF(G142="","",IF(G142&lt;=$B$10,"TAIL",""))</x:f>
      </x:c>
      <x:c r="I142" s="254" t="str">
        <x:f>IF(C142="","",-C142)</x:f>
      </x:c>
      <x:c r="J142" s="191" t="str">
        <x:v>Enter scenario date and link final reval P&amp;L</x:v>
      </x:c>
      <x:c r="K142" s="191"/>
      <x:c r="L142" s="191"/>
      <x:c r="M142" s="191"/>
      <x:c r="N142" s="191"/>
      <x:c r="O142" s="191"/>
      <x:c r="P142" s="191"/>
      <x:c r="Q142" s="191"/>
      <x:c r="R142" s="191"/>
      <x:c r="S142" s="191"/>
      <x:c r="T142" s="191"/>
      <x:c r="U142" s="191"/>
      <x:c r="V142" s="191"/>
      <x:c r="W142" s="191"/>
      <x:c r="X142" s="191"/>
      <x:c r="Y142" s="191"/>
      <x:c r="Z142" s="191"/>
      <x:c r="AA142" s="191"/>
      <x:c r="AB142" s="191"/>
      <x:c r="AC142" s="191"/>
      <x:c r="AD142" s="191"/>
      <x:c r="AE142" s="191"/>
      <x:c r="AF142" s="191"/>
      <x:c r="AG142" s="191"/>
      <x:c r="AH142" s="191"/>
      <x:c r="AI142" s="191"/>
      <x:c r="AJ142" s="191"/>
      <x:c r="AK142" s="191"/>
    </x:row>
    <x:row r="143">
      <x:c r="A143" s="191" t="n">
        <x:v>129</x:v>
      </x:c>
      <x:c r="B143" s="274"/>
      <x:c r="C143" s="275"/>
      <x:c r="D143" s="275"/>
      <x:c r="E143" s="275"/>
      <x:c r="F143" s="275"/>
      <x:c r="G143" s="272" t="str">
        <x:f>IF(C143="","",RANK.EQ(C143,$C$15:$C$264,1))</x:f>
      </x:c>
      <x:c r="H143" s="272" t="str">
        <x:f>IF(G143="","",IF(G143&lt;=$B$10,"TAIL",""))</x:f>
      </x:c>
      <x:c r="I143" s="254" t="str">
        <x:f>IF(C143="","",-C143)</x:f>
      </x:c>
      <x:c r="J143" s="191" t="str">
        <x:v>Enter scenario date and link final reval P&amp;L</x:v>
      </x:c>
      <x:c r="K143" s="191"/>
      <x:c r="L143" s="191"/>
      <x:c r="M143" s="191"/>
      <x:c r="N143" s="191"/>
      <x:c r="O143" s="191"/>
      <x:c r="P143" s="191"/>
      <x:c r="Q143" s="191"/>
      <x:c r="R143" s="191"/>
      <x:c r="S143" s="191"/>
      <x:c r="T143" s="191"/>
      <x:c r="U143" s="191"/>
      <x:c r="V143" s="191"/>
      <x:c r="W143" s="191"/>
      <x:c r="X143" s="191"/>
      <x:c r="Y143" s="191"/>
      <x:c r="Z143" s="191"/>
      <x:c r="AA143" s="191"/>
      <x:c r="AB143" s="191"/>
      <x:c r="AC143" s="191"/>
      <x:c r="AD143" s="191"/>
      <x:c r="AE143" s="191"/>
      <x:c r="AF143" s="191"/>
      <x:c r="AG143" s="191"/>
      <x:c r="AH143" s="191"/>
      <x:c r="AI143" s="191"/>
      <x:c r="AJ143" s="191"/>
      <x:c r="AK143" s="191"/>
    </x:row>
    <x:row r="144">
      <x:c r="A144" s="191" t="n">
        <x:v>130</x:v>
      </x:c>
      <x:c r="B144" s="274"/>
      <x:c r="C144" s="275"/>
      <x:c r="D144" s="275"/>
      <x:c r="E144" s="275"/>
      <x:c r="F144" s="275"/>
      <x:c r="G144" s="272" t="str">
        <x:f>IF(C144="","",RANK.EQ(C144,$C$15:$C$264,1))</x:f>
      </x:c>
      <x:c r="H144" s="272" t="str">
        <x:f>IF(G144="","",IF(G144&lt;=$B$10,"TAIL",""))</x:f>
      </x:c>
      <x:c r="I144" s="254" t="str">
        <x:f>IF(C144="","",-C144)</x:f>
      </x:c>
      <x:c r="J144" s="191" t="str">
        <x:v>Enter scenario date and link final reval P&amp;L</x:v>
      </x:c>
      <x:c r="K144" s="191"/>
      <x:c r="L144" s="191"/>
      <x:c r="M144" s="191"/>
      <x:c r="N144" s="191"/>
      <x:c r="O144" s="191"/>
      <x:c r="P144" s="191"/>
      <x:c r="Q144" s="191"/>
      <x:c r="R144" s="191"/>
      <x:c r="S144" s="191"/>
      <x:c r="T144" s="191"/>
      <x:c r="U144" s="191"/>
      <x:c r="V144" s="191"/>
      <x:c r="W144" s="191"/>
      <x:c r="X144" s="191"/>
      <x:c r="Y144" s="191"/>
      <x:c r="Z144" s="191"/>
      <x:c r="AA144" s="191"/>
      <x:c r="AB144" s="191"/>
      <x:c r="AC144" s="191"/>
      <x:c r="AD144" s="191"/>
      <x:c r="AE144" s="191"/>
      <x:c r="AF144" s="191"/>
      <x:c r="AG144" s="191"/>
      <x:c r="AH144" s="191"/>
      <x:c r="AI144" s="191"/>
      <x:c r="AJ144" s="191"/>
      <x:c r="AK144" s="191"/>
    </x:row>
    <x:row r="145">
      <x:c r="A145" s="191" t="n">
        <x:v>131</x:v>
      </x:c>
      <x:c r="B145" s="274"/>
      <x:c r="C145" s="275"/>
      <x:c r="D145" s="275"/>
      <x:c r="E145" s="275"/>
      <x:c r="F145" s="275"/>
      <x:c r="G145" s="272" t="str">
        <x:f>IF(C145="","",RANK.EQ(C145,$C$15:$C$264,1))</x:f>
      </x:c>
      <x:c r="H145" s="272" t="str">
        <x:f>IF(G145="","",IF(G145&lt;=$B$10,"TAIL",""))</x:f>
      </x:c>
      <x:c r="I145" s="254" t="str">
        <x:f>IF(C145="","",-C145)</x:f>
      </x:c>
      <x:c r="J145" s="191" t="str">
        <x:v>Enter scenario date and link final reval P&amp;L</x:v>
      </x:c>
      <x:c r="K145" s="191"/>
      <x:c r="L145" s="191"/>
      <x:c r="M145" s="191"/>
      <x:c r="N145" s="191"/>
      <x:c r="O145" s="191"/>
      <x:c r="P145" s="191"/>
      <x:c r="Q145" s="191"/>
      <x:c r="R145" s="191"/>
      <x:c r="S145" s="191"/>
      <x:c r="T145" s="191"/>
      <x:c r="U145" s="191"/>
      <x:c r="V145" s="191"/>
      <x:c r="W145" s="191"/>
      <x:c r="X145" s="191"/>
      <x:c r="Y145" s="191"/>
      <x:c r="Z145" s="191"/>
      <x:c r="AA145" s="191"/>
      <x:c r="AB145" s="191"/>
      <x:c r="AC145" s="191"/>
      <x:c r="AD145" s="191"/>
      <x:c r="AE145" s="191"/>
      <x:c r="AF145" s="191"/>
      <x:c r="AG145" s="191"/>
      <x:c r="AH145" s="191"/>
      <x:c r="AI145" s="191"/>
      <x:c r="AJ145" s="191"/>
      <x:c r="AK145" s="191"/>
    </x:row>
    <x:row r="146">
      <x:c r="A146" s="191" t="n">
        <x:v>132</x:v>
      </x:c>
      <x:c r="B146" s="274"/>
      <x:c r="C146" s="275"/>
      <x:c r="D146" s="275"/>
      <x:c r="E146" s="275"/>
      <x:c r="F146" s="275"/>
      <x:c r="G146" s="272" t="str">
        <x:f>IF(C146="","",RANK.EQ(C146,$C$15:$C$264,1))</x:f>
      </x:c>
      <x:c r="H146" s="272" t="str">
        <x:f>IF(G146="","",IF(G146&lt;=$B$10,"TAIL",""))</x:f>
      </x:c>
      <x:c r="I146" s="254" t="str">
        <x:f>IF(C146="","",-C146)</x:f>
      </x:c>
      <x:c r="J146" s="191" t="str">
        <x:v>Enter scenario date and link final reval P&amp;L</x:v>
      </x:c>
      <x:c r="K146" s="191"/>
      <x:c r="L146" s="191"/>
      <x:c r="M146" s="191"/>
      <x:c r="N146" s="191"/>
      <x:c r="O146" s="191"/>
      <x:c r="P146" s="191"/>
      <x:c r="Q146" s="191"/>
      <x:c r="R146" s="191"/>
      <x:c r="S146" s="191"/>
      <x:c r="T146" s="191"/>
      <x:c r="U146" s="191"/>
      <x:c r="V146" s="191"/>
      <x:c r="W146" s="191"/>
      <x:c r="X146" s="191"/>
      <x:c r="Y146" s="191"/>
      <x:c r="Z146" s="191"/>
      <x:c r="AA146" s="191"/>
      <x:c r="AB146" s="191"/>
      <x:c r="AC146" s="191"/>
      <x:c r="AD146" s="191"/>
      <x:c r="AE146" s="191"/>
      <x:c r="AF146" s="191"/>
      <x:c r="AG146" s="191"/>
      <x:c r="AH146" s="191"/>
      <x:c r="AI146" s="191"/>
      <x:c r="AJ146" s="191"/>
      <x:c r="AK146" s="191"/>
    </x:row>
    <x:row r="147">
      <x:c r="A147" s="191" t="n">
        <x:v>133</x:v>
      </x:c>
      <x:c r="B147" s="274"/>
      <x:c r="C147" s="275"/>
      <x:c r="D147" s="275"/>
      <x:c r="E147" s="275"/>
      <x:c r="F147" s="275"/>
      <x:c r="G147" s="272" t="str">
        <x:f>IF(C147="","",RANK.EQ(C147,$C$15:$C$264,1))</x:f>
      </x:c>
      <x:c r="H147" s="272" t="str">
        <x:f>IF(G147="","",IF(G147&lt;=$B$10,"TAIL",""))</x:f>
      </x:c>
      <x:c r="I147" s="254" t="str">
        <x:f>IF(C147="","",-C147)</x:f>
      </x:c>
      <x:c r="J147" s="191" t="str">
        <x:v>Enter scenario date and link final reval P&amp;L</x:v>
      </x:c>
      <x:c r="K147" s="191"/>
      <x:c r="L147" s="191"/>
      <x:c r="M147" s="191"/>
      <x:c r="N147" s="191"/>
      <x:c r="O147" s="191"/>
      <x:c r="P147" s="191"/>
      <x:c r="Q147" s="191"/>
      <x:c r="R147" s="191"/>
      <x:c r="S147" s="191"/>
      <x:c r="T147" s="191"/>
      <x:c r="U147" s="191"/>
      <x:c r="V147" s="191"/>
      <x:c r="W147" s="191"/>
      <x:c r="X147" s="191"/>
      <x:c r="Y147" s="191"/>
      <x:c r="Z147" s="191"/>
      <x:c r="AA147" s="191"/>
      <x:c r="AB147" s="191"/>
      <x:c r="AC147" s="191"/>
      <x:c r="AD147" s="191"/>
      <x:c r="AE147" s="191"/>
      <x:c r="AF147" s="191"/>
      <x:c r="AG147" s="191"/>
      <x:c r="AH147" s="191"/>
      <x:c r="AI147" s="191"/>
      <x:c r="AJ147" s="191"/>
      <x:c r="AK147" s="191"/>
    </x:row>
    <x:row r="148">
      <x:c r="A148" s="191" t="n">
        <x:v>134</x:v>
      </x:c>
      <x:c r="B148" s="274"/>
      <x:c r="C148" s="275"/>
      <x:c r="D148" s="275"/>
      <x:c r="E148" s="275"/>
      <x:c r="F148" s="275"/>
      <x:c r="G148" s="272" t="str">
        <x:f>IF(C148="","",RANK.EQ(C148,$C$15:$C$264,1))</x:f>
      </x:c>
      <x:c r="H148" s="272" t="str">
        <x:f>IF(G148="","",IF(G148&lt;=$B$10,"TAIL",""))</x:f>
      </x:c>
      <x:c r="I148" s="254" t="str">
        <x:f>IF(C148="","",-C148)</x:f>
      </x:c>
      <x:c r="J148" s="191" t="str">
        <x:v>Enter scenario date and link final reval P&amp;L</x:v>
      </x:c>
      <x:c r="K148" s="191"/>
      <x:c r="L148" s="191"/>
      <x:c r="M148" s="191"/>
      <x:c r="N148" s="191"/>
      <x:c r="O148" s="191"/>
      <x:c r="P148" s="191"/>
      <x:c r="Q148" s="191"/>
      <x:c r="R148" s="191"/>
      <x:c r="S148" s="191"/>
      <x:c r="T148" s="191"/>
      <x:c r="U148" s="191"/>
      <x:c r="V148" s="191"/>
      <x:c r="W148" s="191"/>
      <x:c r="X148" s="191"/>
      <x:c r="Y148" s="191"/>
      <x:c r="Z148" s="191"/>
      <x:c r="AA148" s="191"/>
      <x:c r="AB148" s="191"/>
      <x:c r="AC148" s="191"/>
      <x:c r="AD148" s="191"/>
      <x:c r="AE148" s="191"/>
      <x:c r="AF148" s="191"/>
      <x:c r="AG148" s="191"/>
      <x:c r="AH148" s="191"/>
      <x:c r="AI148" s="191"/>
      <x:c r="AJ148" s="191"/>
      <x:c r="AK148" s="191"/>
    </x:row>
    <x:row r="149">
      <x:c r="A149" s="191" t="n">
        <x:v>135</x:v>
      </x:c>
      <x:c r="B149" s="274"/>
      <x:c r="C149" s="275"/>
      <x:c r="D149" s="275"/>
      <x:c r="E149" s="275"/>
      <x:c r="F149" s="275"/>
      <x:c r="G149" s="272" t="str">
        <x:f>IF(C149="","",RANK.EQ(C149,$C$15:$C$264,1))</x:f>
      </x:c>
      <x:c r="H149" s="272" t="str">
        <x:f>IF(G149="","",IF(G149&lt;=$B$10,"TAIL",""))</x:f>
      </x:c>
      <x:c r="I149" s="254" t="str">
        <x:f>IF(C149="","",-C149)</x:f>
      </x:c>
      <x:c r="J149" s="191" t="str">
        <x:v>Enter scenario date and link final reval P&amp;L</x:v>
      </x:c>
      <x:c r="K149" s="191"/>
      <x:c r="L149" s="191"/>
      <x:c r="M149" s="191"/>
      <x:c r="N149" s="191"/>
      <x:c r="O149" s="191"/>
      <x:c r="P149" s="191"/>
      <x:c r="Q149" s="191"/>
      <x:c r="R149" s="191"/>
      <x:c r="S149" s="191"/>
      <x:c r="T149" s="191"/>
      <x:c r="U149" s="191"/>
      <x:c r="V149" s="191"/>
      <x:c r="W149" s="191"/>
      <x:c r="X149" s="191"/>
      <x:c r="Y149" s="191"/>
      <x:c r="Z149" s="191"/>
      <x:c r="AA149" s="191"/>
      <x:c r="AB149" s="191"/>
      <x:c r="AC149" s="191"/>
      <x:c r="AD149" s="191"/>
      <x:c r="AE149" s="191"/>
      <x:c r="AF149" s="191"/>
      <x:c r="AG149" s="191"/>
      <x:c r="AH149" s="191"/>
      <x:c r="AI149" s="191"/>
      <x:c r="AJ149" s="191"/>
      <x:c r="AK149" s="191"/>
    </x:row>
    <x:row r="150">
      <x:c r="A150" s="191" t="n">
        <x:v>136</x:v>
      </x:c>
      <x:c r="B150" s="274"/>
      <x:c r="C150" s="275"/>
      <x:c r="D150" s="275"/>
      <x:c r="E150" s="275"/>
      <x:c r="F150" s="275"/>
      <x:c r="G150" s="272" t="str">
        <x:f>IF(C150="","",RANK.EQ(C150,$C$15:$C$264,1))</x:f>
      </x:c>
      <x:c r="H150" s="272" t="str">
        <x:f>IF(G150="","",IF(G150&lt;=$B$10,"TAIL",""))</x:f>
      </x:c>
      <x:c r="I150" s="254" t="str">
        <x:f>IF(C150="","",-C150)</x:f>
      </x:c>
      <x:c r="J150" s="191" t="str">
        <x:v>Enter scenario date and link final reval P&amp;L</x:v>
      </x:c>
      <x:c r="K150" s="191"/>
      <x:c r="L150" s="191"/>
      <x:c r="M150" s="191"/>
      <x:c r="N150" s="191"/>
      <x:c r="O150" s="191"/>
      <x:c r="P150" s="191"/>
      <x:c r="Q150" s="191"/>
      <x:c r="R150" s="191"/>
      <x:c r="S150" s="191"/>
      <x:c r="T150" s="191"/>
      <x:c r="U150" s="191"/>
      <x:c r="V150" s="191"/>
      <x:c r="W150" s="191"/>
      <x:c r="X150" s="191"/>
      <x:c r="Y150" s="191"/>
      <x:c r="Z150" s="191"/>
      <x:c r="AA150" s="191"/>
      <x:c r="AB150" s="191"/>
      <x:c r="AC150" s="191"/>
      <x:c r="AD150" s="191"/>
      <x:c r="AE150" s="191"/>
      <x:c r="AF150" s="191"/>
      <x:c r="AG150" s="191"/>
      <x:c r="AH150" s="191"/>
      <x:c r="AI150" s="191"/>
      <x:c r="AJ150" s="191"/>
      <x:c r="AK150" s="191"/>
    </x:row>
    <x:row r="151">
      <x:c r="A151" s="191" t="n">
        <x:v>137</x:v>
      </x:c>
      <x:c r="B151" s="274"/>
      <x:c r="C151" s="275"/>
      <x:c r="D151" s="275"/>
      <x:c r="E151" s="275"/>
      <x:c r="F151" s="275"/>
      <x:c r="G151" s="272" t="str">
        <x:f>IF(C151="","",RANK.EQ(C151,$C$15:$C$264,1))</x:f>
      </x:c>
      <x:c r="H151" s="272" t="str">
        <x:f>IF(G151="","",IF(G151&lt;=$B$10,"TAIL",""))</x:f>
      </x:c>
      <x:c r="I151" s="254" t="str">
        <x:f>IF(C151="","",-C151)</x:f>
      </x:c>
      <x:c r="J151" s="191" t="str">
        <x:v>Enter scenario date and link final reval P&amp;L</x:v>
      </x:c>
      <x:c r="K151" s="191"/>
      <x:c r="L151" s="191"/>
      <x:c r="M151" s="191"/>
      <x:c r="N151" s="191"/>
      <x:c r="O151" s="191"/>
      <x:c r="P151" s="191"/>
      <x:c r="Q151" s="191"/>
      <x:c r="R151" s="191"/>
      <x:c r="S151" s="191"/>
      <x:c r="T151" s="191"/>
      <x:c r="U151" s="191"/>
      <x:c r="V151" s="191"/>
      <x:c r="W151" s="191"/>
      <x:c r="X151" s="191"/>
      <x:c r="Y151" s="191"/>
      <x:c r="Z151" s="191"/>
      <x:c r="AA151" s="191"/>
      <x:c r="AB151" s="191"/>
      <x:c r="AC151" s="191"/>
      <x:c r="AD151" s="191"/>
      <x:c r="AE151" s="191"/>
      <x:c r="AF151" s="191"/>
      <x:c r="AG151" s="191"/>
      <x:c r="AH151" s="191"/>
      <x:c r="AI151" s="191"/>
      <x:c r="AJ151" s="191"/>
      <x:c r="AK151" s="191"/>
    </x:row>
    <x:row r="152">
      <x:c r="A152" s="191" t="n">
        <x:v>138</x:v>
      </x:c>
      <x:c r="B152" s="274"/>
      <x:c r="C152" s="275"/>
      <x:c r="D152" s="275"/>
      <x:c r="E152" s="275"/>
      <x:c r="F152" s="275"/>
      <x:c r="G152" s="272" t="str">
        <x:f>IF(C152="","",RANK.EQ(C152,$C$15:$C$264,1))</x:f>
      </x:c>
      <x:c r="H152" s="272" t="str">
        <x:f>IF(G152="","",IF(G152&lt;=$B$10,"TAIL",""))</x:f>
      </x:c>
      <x:c r="I152" s="254" t="str">
        <x:f>IF(C152="","",-C152)</x:f>
      </x:c>
      <x:c r="J152" s="191" t="str">
        <x:v>Enter scenario date and link final reval P&amp;L</x:v>
      </x:c>
      <x:c r="K152" s="191"/>
      <x:c r="L152" s="191"/>
      <x:c r="M152" s="191"/>
      <x:c r="N152" s="191"/>
      <x:c r="O152" s="191"/>
      <x:c r="P152" s="191"/>
      <x:c r="Q152" s="191"/>
      <x:c r="R152" s="191"/>
      <x:c r="S152" s="191"/>
      <x:c r="T152" s="191"/>
      <x:c r="U152" s="191"/>
      <x:c r="V152" s="191"/>
      <x:c r="W152" s="191"/>
      <x:c r="X152" s="191"/>
      <x:c r="Y152" s="191"/>
      <x:c r="Z152" s="191"/>
      <x:c r="AA152" s="191"/>
      <x:c r="AB152" s="191"/>
      <x:c r="AC152" s="191"/>
      <x:c r="AD152" s="191"/>
      <x:c r="AE152" s="191"/>
      <x:c r="AF152" s="191"/>
      <x:c r="AG152" s="191"/>
      <x:c r="AH152" s="191"/>
      <x:c r="AI152" s="191"/>
      <x:c r="AJ152" s="191"/>
      <x:c r="AK152" s="191"/>
    </x:row>
    <x:row r="153">
      <x:c r="A153" s="191" t="n">
        <x:v>139</x:v>
      </x:c>
      <x:c r="B153" s="274"/>
      <x:c r="C153" s="275"/>
      <x:c r="D153" s="275"/>
      <x:c r="E153" s="275"/>
      <x:c r="F153" s="275"/>
      <x:c r="G153" s="272" t="str">
        <x:f>IF(C153="","",RANK.EQ(C153,$C$15:$C$264,1))</x:f>
      </x:c>
      <x:c r="H153" s="272" t="str">
        <x:f>IF(G153="","",IF(G153&lt;=$B$10,"TAIL",""))</x:f>
      </x:c>
      <x:c r="I153" s="254" t="str">
        <x:f>IF(C153="","",-C153)</x:f>
      </x:c>
      <x:c r="J153" s="191" t="str">
        <x:v>Enter scenario date and link final reval P&amp;L</x:v>
      </x:c>
      <x:c r="K153" s="191"/>
      <x:c r="L153" s="191"/>
      <x:c r="M153" s="191"/>
      <x:c r="N153" s="191"/>
      <x:c r="O153" s="191"/>
      <x:c r="P153" s="191"/>
      <x:c r="Q153" s="191"/>
      <x:c r="R153" s="191"/>
      <x:c r="S153" s="191"/>
      <x:c r="T153" s="191"/>
      <x:c r="U153" s="191"/>
      <x:c r="V153" s="191"/>
      <x:c r="W153" s="191"/>
      <x:c r="X153" s="191"/>
      <x:c r="Y153" s="191"/>
      <x:c r="Z153" s="191"/>
      <x:c r="AA153" s="191"/>
      <x:c r="AB153" s="191"/>
      <x:c r="AC153" s="191"/>
      <x:c r="AD153" s="191"/>
      <x:c r="AE153" s="191"/>
      <x:c r="AF153" s="191"/>
      <x:c r="AG153" s="191"/>
      <x:c r="AH153" s="191"/>
      <x:c r="AI153" s="191"/>
      <x:c r="AJ153" s="191"/>
      <x:c r="AK153" s="191"/>
    </x:row>
    <x:row r="154">
      <x:c r="A154" s="191" t="n">
        <x:v>140</x:v>
      </x:c>
      <x:c r="B154" s="274"/>
      <x:c r="C154" s="275"/>
      <x:c r="D154" s="275"/>
      <x:c r="E154" s="275"/>
      <x:c r="F154" s="275"/>
      <x:c r="G154" s="272" t="str">
        <x:f>IF(C154="","",RANK.EQ(C154,$C$15:$C$264,1))</x:f>
      </x:c>
      <x:c r="H154" s="272" t="str">
        <x:f>IF(G154="","",IF(G154&lt;=$B$10,"TAIL",""))</x:f>
      </x:c>
      <x:c r="I154" s="254" t="str">
        <x:f>IF(C154="","",-C154)</x:f>
      </x:c>
      <x:c r="J154" s="191" t="str">
        <x:v>Enter scenario date and link final reval P&amp;L</x:v>
      </x:c>
      <x:c r="K154" s="191"/>
      <x:c r="L154" s="191"/>
      <x:c r="M154" s="191"/>
      <x:c r="N154" s="191"/>
      <x:c r="O154" s="191"/>
      <x:c r="P154" s="191"/>
      <x:c r="Q154" s="191"/>
      <x:c r="R154" s="191"/>
      <x:c r="S154" s="191"/>
      <x:c r="T154" s="191"/>
      <x:c r="U154" s="191"/>
      <x:c r="V154" s="191"/>
      <x:c r="W154" s="191"/>
      <x:c r="X154" s="191"/>
      <x:c r="Y154" s="191"/>
      <x:c r="Z154" s="191"/>
      <x:c r="AA154" s="191"/>
      <x:c r="AB154" s="191"/>
      <x:c r="AC154" s="191"/>
      <x:c r="AD154" s="191"/>
      <x:c r="AE154" s="191"/>
      <x:c r="AF154" s="191"/>
      <x:c r="AG154" s="191"/>
      <x:c r="AH154" s="191"/>
      <x:c r="AI154" s="191"/>
      <x:c r="AJ154" s="191"/>
      <x:c r="AK154" s="191"/>
    </x:row>
    <x:row r="155">
      <x:c r="A155" s="191" t="n">
        <x:v>141</x:v>
      </x:c>
      <x:c r="B155" s="274"/>
      <x:c r="C155" s="275"/>
      <x:c r="D155" s="275"/>
      <x:c r="E155" s="275"/>
      <x:c r="F155" s="275"/>
      <x:c r="G155" s="272" t="str">
        <x:f>IF(C155="","",RANK.EQ(C155,$C$15:$C$264,1))</x:f>
      </x:c>
      <x:c r="H155" s="272" t="str">
        <x:f>IF(G155="","",IF(G155&lt;=$B$10,"TAIL",""))</x:f>
      </x:c>
      <x:c r="I155" s="254" t="str">
        <x:f>IF(C155="","",-C155)</x:f>
      </x:c>
      <x:c r="J155" s="191" t="str">
        <x:v>Enter scenario date and link final reval P&amp;L</x:v>
      </x:c>
      <x:c r="K155" s="191"/>
      <x:c r="L155" s="191"/>
      <x:c r="M155" s="191"/>
      <x:c r="N155" s="191"/>
      <x:c r="O155" s="191"/>
      <x:c r="P155" s="191"/>
      <x:c r="Q155" s="191"/>
      <x:c r="R155" s="191"/>
      <x:c r="S155" s="191"/>
      <x:c r="T155" s="191"/>
      <x:c r="U155" s="191"/>
      <x:c r="V155" s="191"/>
      <x:c r="W155" s="191"/>
      <x:c r="X155" s="191"/>
      <x:c r="Y155" s="191"/>
      <x:c r="Z155" s="191"/>
      <x:c r="AA155" s="191"/>
      <x:c r="AB155" s="191"/>
      <x:c r="AC155" s="191"/>
      <x:c r="AD155" s="191"/>
      <x:c r="AE155" s="191"/>
      <x:c r="AF155" s="191"/>
      <x:c r="AG155" s="191"/>
      <x:c r="AH155" s="191"/>
      <x:c r="AI155" s="191"/>
      <x:c r="AJ155" s="191"/>
      <x:c r="AK155" s="191"/>
    </x:row>
    <x:row r="156">
      <x:c r="A156" s="191" t="n">
        <x:v>142</x:v>
      </x:c>
      <x:c r="B156" s="274"/>
      <x:c r="C156" s="275"/>
      <x:c r="D156" s="275"/>
      <x:c r="E156" s="275"/>
      <x:c r="F156" s="275"/>
      <x:c r="G156" s="272" t="str">
        <x:f>IF(C156="","",RANK.EQ(C156,$C$15:$C$264,1))</x:f>
      </x:c>
      <x:c r="H156" s="272" t="str">
        <x:f>IF(G156="","",IF(G156&lt;=$B$10,"TAIL",""))</x:f>
      </x:c>
      <x:c r="I156" s="254" t="str">
        <x:f>IF(C156="","",-C156)</x:f>
      </x:c>
      <x:c r="J156" s="191" t="str">
        <x:v>Enter scenario date and link final reval P&amp;L</x:v>
      </x:c>
      <x:c r="K156" s="191"/>
      <x:c r="L156" s="191"/>
      <x:c r="M156" s="191"/>
      <x:c r="N156" s="191"/>
      <x:c r="O156" s="191"/>
      <x:c r="P156" s="191"/>
      <x:c r="Q156" s="191"/>
      <x:c r="R156" s="191"/>
      <x:c r="S156" s="191"/>
      <x:c r="T156" s="191"/>
      <x:c r="U156" s="191"/>
      <x:c r="V156" s="191"/>
      <x:c r="W156" s="191"/>
      <x:c r="X156" s="191"/>
      <x:c r="Y156" s="191"/>
      <x:c r="Z156" s="191"/>
      <x:c r="AA156" s="191"/>
      <x:c r="AB156" s="191"/>
      <x:c r="AC156" s="191"/>
      <x:c r="AD156" s="191"/>
      <x:c r="AE156" s="191"/>
      <x:c r="AF156" s="191"/>
      <x:c r="AG156" s="191"/>
      <x:c r="AH156" s="191"/>
      <x:c r="AI156" s="191"/>
      <x:c r="AJ156" s="191"/>
      <x:c r="AK156" s="191"/>
    </x:row>
    <x:row r="157">
      <x:c r="A157" s="191" t="n">
        <x:v>143</x:v>
      </x:c>
      <x:c r="B157" s="274"/>
      <x:c r="C157" s="275"/>
      <x:c r="D157" s="275"/>
      <x:c r="E157" s="275"/>
      <x:c r="F157" s="275"/>
      <x:c r="G157" s="272" t="str">
        <x:f>IF(C157="","",RANK.EQ(C157,$C$15:$C$264,1))</x:f>
      </x:c>
      <x:c r="H157" s="272" t="str">
        <x:f>IF(G157="","",IF(G157&lt;=$B$10,"TAIL",""))</x:f>
      </x:c>
      <x:c r="I157" s="254" t="str">
        <x:f>IF(C157="","",-C157)</x:f>
      </x:c>
      <x:c r="J157" s="191" t="str">
        <x:v>Enter scenario date and link final reval P&amp;L</x:v>
      </x:c>
      <x:c r="K157" s="191"/>
      <x:c r="L157" s="191"/>
      <x:c r="M157" s="191"/>
      <x:c r="N157" s="191"/>
      <x:c r="O157" s="191"/>
      <x:c r="P157" s="191"/>
      <x:c r="Q157" s="191"/>
      <x:c r="R157" s="191"/>
      <x:c r="S157" s="191"/>
      <x:c r="T157" s="191"/>
      <x:c r="U157" s="191"/>
      <x:c r="V157" s="191"/>
      <x:c r="W157" s="191"/>
      <x:c r="X157" s="191"/>
      <x:c r="Y157" s="191"/>
      <x:c r="Z157" s="191"/>
      <x:c r="AA157" s="191"/>
      <x:c r="AB157" s="191"/>
      <x:c r="AC157" s="191"/>
      <x:c r="AD157" s="191"/>
      <x:c r="AE157" s="191"/>
      <x:c r="AF157" s="191"/>
      <x:c r="AG157" s="191"/>
      <x:c r="AH157" s="191"/>
      <x:c r="AI157" s="191"/>
      <x:c r="AJ157" s="191"/>
      <x:c r="AK157" s="191"/>
    </x:row>
    <x:row r="158">
      <x:c r="A158" s="191" t="n">
        <x:v>144</x:v>
      </x:c>
      <x:c r="B158" s="274"/>
      <x:c r="C158" s="275"/>
      <x:c r="D158" s="275"/>
      <x:c r="E158" s="275"/>
      <x:c r="F158" s="275"/>
      <x:c r="G158" s="272" t="str">
        <x:f>IF(C158="","",RANK.EQ(C158,$C$15:$C$264,1))</x:f>
      </x:c>
      <x:c r="H158" s="272" t="str">
        <x:f>IF(G158="","",IF(G158&lt;=$B$10,"TAIL",""))</x:f>
      </x:c>
      <x:c r="I158" s="254" t="str">
        <x:f>IF(C158="","",-C158)</x:f>
      </x:c>
      <x:c r="J158" s="191" t="str">
        <x:v>Enter scenario date and link final reval P&amp;L</x:v>
      </x:c>
      <x:c r="K158" s="191"/>
      <x:c r="L158" s="191"/>
      <x:c r="M158" s="191"/>
      <x:c r="N158" s="191"/>
      <x:c r="O158" s="191"/>
      <x:c r="P158" s="191"/>
      <x:c r="Q158" s="191"/>
      <x:c r="R158" s="191"/>
      <x:c r="S158" s="191"/>
      <x:c r="T158" s="191"/>
      <x:c r="U158" s="191"/>
      <x:c r="V158" s="191"/>
      <x:c r="W158" s="191"/>
      <x:c r="X158" s="191"/>
      <x:c r="Y158" s="191"/>
      <x:c r="Z158" s="191"/>
      <x:c r="AA158" s="191"/>
      <x:c r="AB158" s="191"/>
      <x:c r="AC158" s="191"/>
      <x:c r="AD158" s="191"/>
      <x:c r="AE158" s="191"/>
      <x:c r="AF158" s="191"/>
      <x:c r="AG158" s="191"/>
      <x:c r="AH158" s="191"/>
      <x:c r="AI158" s="191"/>
      <x:c r="AJ158" s="191"/>
      <x:c r="AK158" s="191"/>
    </x:row>
    <x:row r="159">
      <x:c r="A159" s="191" t="n">
        <x:v>145</x:v>
      </x:c>
      <x:c r="B159" s="274"/>
      <x:c r="C159" s="275"/>
      <x:c r="D159" s="275"/>
      <x:c r="E159" s="275"/>
      <x:c r="F159" s="275"/>
      <x:c r="G159" s="272" t="str">
        <x:f>IF(C159="","",RANK.EQ(C159,$C$15:$C$264,1))</x:f>
      </x:c>
      <x:c r="H159" s="272" t="str">
        <x:f>IF(G159="","",IF(G159&lt;=$B$10,"TAIL",""))</x:f>
      </x:c>
      <x:c r="I159" s="254" t="str">
        <x:f>IF(C159="","",-C159)</x:f>
      </x:c>
      <x:c r="J159" s="191" t="str">
        <x:v>Enter scenario date and link final reval P&amp;L</x:v>
      </x:c>
      <x:c r="K159" s="191"/>
      <x:c r="L159" s="191"/>
      <x:c r="M159" s="191"/>
      <x:c r="N159" s="191"/>
      <x:c r="O159" s="191"/>
      <x:c r="P159" s="191"/>
      <x:c r="Q159" s="191"/>
      <x:c r="R159" s="191"/>
      <x:c r="S159" s="191"/>
      <x:c r="T159" s="191"/>
      <x:c r="U159" s="191"/>
      <x:c r="V159" s="191"/>
      <x:c r="W159" s="191"/>
      <x:c r="X159" s="191"/>
      <x:c r="Y159" s="191"/>
      <x:c r="Z159" s="191"/>
      <x:c r="AA159" s="191"/>
      <x:c r="AB159" s="191"/>
      <x:c r="AC159" s="191"/>
      <x:c r="AD159" s="191"/>
      <x:c r="AE159" s="191"/>
      <x:c r="AF159" s="191"/>
      <x:c r="AG159" s="191"/>
      <x:c r="AH159" s="191"/>
      <x:c r="AI159" s="191"/>
      <x:c r="AJ159" s="191"/>
      <x:c r="AK159" s="191"/>
    </x:row>
    <x:row r="160">
      <x:c r="A160" s="191" t="n">
        <x:v>146</x:v>
      </x:c>
      <x:c r="B160" s="274"/>
      <x:c r="C160" s="275"/>
      <x:c r="D160" s="275"/>
      <x:c r="E160" s="275"/>
      <x:c r="F160" s="275"/>
      <x:c r="G160" s="272" t="str">
        <x:f>IF(C160="","",RANK.EQ(C160,$C$15:$C$264,1))</x:f>
      </x:c>
      <x:c r="H160" s="272" t="str">
        <x:f>IF(G160="","",IF(G160&lt;=$B$10,"TAIL",""))</x:f>
      </x:c>
      <x:c r="I160" s="254" t="str">
        <x:f>IF(C160="","",-C160)</x:f>
      </x:c>
      <x:c r="J160" s="191" t="str">
        <x:v>Enter scenario date and link final reval P&amp;L</x:v>
      </x:c>
      <x:c r="K160" s="191"/>
      <x:c r="L160" s="191"/>
      <x:c r="M160" s="191"/>
      <x:c r="N160" s="191"/>
      <x:c r="O160" s="191"/>
      <x:c r="P160" s="191"/>
      <x:c r="Q160" s="191"/>
      <x:c r="R160" s="191"/>
      <x:c r="S160" s="191"/>
      <x:c r="T160" s="191"/>
      <x:c r="U160" s="191"/>
      <x:c r="V160" s="191"/>
      <x:c r="W160" s="191"/>
      <x:c r="X160" s="191"/>
      <x:c r="Y160" s="191"/>
      <x:c r="Z160" s="191"/>
      <x:c r="AA160" s="191"/>
      <x:c r="AB160" s="191"/>
      <x:c r="AC160" s="191"/>
      <x:c r="AD160" s="191"/>
      <x:c r="AE160" s="191"/>
      <x:c r="AF160" s="191"/>
      <x:c r="AG160" s="191"/>
      <x:c r="AH160" s="191"/>
      <x:c r="AI160" s="191"/>
      <x:c r="AJ160" s="191"/>
      <x:c r="AK160" s="191"/>
    </x:row>
    <x:row r="161">
      <x:c r="A161" s="191" t="n">
        <x:v>147</x:v>
      </x:c>
      <x:c r="B161" s="274"/>
      <x:c r="C161" s="275"/>
      <x:c r="D161" s="275"/>
      <x:c r="E161" s="275"/>
      <x:c r="F161" s="275"/>
      <x:c r="G161" s="272" t="str">
        <x:f>IF(C161="","",RANK.EQ(C161,$C$15:$C$264,1))</x:f>
      </x:c>
      <x:c r="H161" s="272" t="str">
        <x:f>IF(G161="","",IF(G161&lt;=$B$10,"TAIL",""))</x:f>
      </x:c>
      <x:c r="I161" s="254" t="str">
        <x:f>IF(C161="","",-C161)</x:f>
      </x:c>
      <x:c r="J161" s="191" t="str">
        <x:v>Enter scenario date and link final reval P&amp;L</x:v>
      </x:c>
      <x:c r="K161" s="191"/>
      <x:c r="L161" s="191"/>
      <x:c r="M161" s="191"/>
      <x:c r="N161" s="191"/>
      <x:c r="O161" s="191"/>
      <x:c r="P161" s="191"/>
      <x:c r="Q161" s="191"/>
      <x:c r="R161" s="191"/>
      <x:c r="S161" s="191"/>
      <x:c r="T161" s="191"/>
      <x:c r="U161" s="191"/>
      <x:c r="V161" s="191"/>
      <x:c r="W161" s="191"/>
      <x:c r="X161" s="191"/>
      <x:c r="Y161" s="191"/>
      <x:c r="Z161" s="191"/>
      <x:c r="AA161" s="191"/>
      <x:c r="AB161" s="191"/>
      <x:c r="AC161" s="191"/>
      <x:c r="AD161" s="191"/>
      <x:c r="AE161" s="191"/>
      <x:c r="AF161" s="191"/>
      <x:c r="AG161" s="191"/>
      <x:c r="AH161" s="191"/>
      <x:c r="AI161" s="191"/>
      <x:c r="AJ161" s="191"/>
      <x:c r="AK161" s="191"/>
    </x:row>
    <x:row r="162">
      <x:c r="A162" s="191" t="n">
        <x:v>148</x:v>
      </x:c>
      <x:c r="B162" s="274"/>
      <x:c r="C162" s="275"/>
      <x:c r="D162" s="275"/>
      <x:c r="E162" s="275"/>
      <x:c r="F162" s="275"/>
      <x:c r="G162" s="272" t="str">
        <x:f>IF(C162="","",RANK.EQ(C162,$C$15:$C$264,1))</x:f>
      </x:c>
      <x:c r="H162" s="272" t="str">
        <x:f>IF(G162="","",IF(G162&lt;=$B$10,"TAIL",""))</x:f>
      </x:c>
      <x:c r="I162" s="254" t="str">
        <x:f>IF(C162="","",-C162)</x:f>
      </x:c>
      <x:c r="J162" s="191" t="str">
        <x:v>Enter scenario date and link final reval P&amp;L</x:v>
      </x:c>
      <x:c r="K162" s="191"/>
      <x:c r="L162" s="191"/>
      <x:c r="M162" s="191"/>
      <x:c r="N162" s="191"/>
      <x:c r="O162" s="191"/>
      <x:c r="P162" s="191"/>
      <x:c r="Q162" s="191"/>
      <x:c r="R162" s="191"/>
      <x:c r="S162" s="191"/>
      <x:c r="T162" s="191"/>
      <x:c r="U162" s="191"/>
      <x:c r="V162" s="191"/>
      <x:c r="W162" s="191"/>
      <x:c r="X162" s="191"/>
      <x:c r="Y162" s="191"/>
      <x:c r="Z162" s="191"/>
      <x:c r="AA162" s="191"/>
      <x:c r="AB162" s="191"/>
      <x:c r="AC162" s="191"/>
      <x:c r="AD162" s="191"/>
      <x:c r="AE162" s="191"/>
      <x:c r="AF162" s="191"/>
      <x:c r="AG162" s="191"/>
      <x:c r="AH162" s="191"/>
      <x:c r="AI162" s="191"/>
      <x:c r="AJ162" s="191"/>
      <x:c r="AK162" s="191"/>
    </x:row>
    <x:row r="163">
      <x:c r="A163" s="191" t="n">
        <x:v>149</x:v>
      </x:c>
      <x:c r="B163" s="274"/>
      <x:c r="C163" s="275"/>
      <x:c r="D163" s="275"/>
      <x:c r="E163" s="275"/>
      <x:c r="F163" s="275"/>
      <x:c r="G163" s="272" t="str">
        <x:f>IF(C163="","",RANK.EQ(C163,$C$15:$C$264,1))</x:f>
      </x:c>
      <x:c r="H163" s="272" t="str">
        <x:f>IF(G163="","",IF(G163&lt;=$B$10,"TAIL",""))</x:f>
      </x:c>
      <x:c r="I163" s="254" t="str">
        <x:f>IF(C163="","",-C163)</x:f>
      </x:c>
      <x:c r="J163" s="191" t="str">
        <x:v>Enter scenario date and link final reval P&amp;L</x:v>
      </x:c>
      <x:c r="K163" s="191"/>
      <x:c r="L163" s="191"/>
      <x:c r="M163" s="191"/>
      <x:c r="N163" s="191"/>
      <x:c r="O163" s="191"/>
      <x:c r="P163" s="191"/>
      <x:c r="Q163" s="191"/>
      <x:c r="R163" s="191"/>
      <x:c r="S163" s="191"/>
      <x:c r="T163" s="191"/>
      <x:c r="U163" s="191"/>
      <x:c r="V163" s="191"/>
      <x:c r="W163" s="191"/>
      <x:c r="X163" s="191"/>
      <x:c r="Y163" s="191"/>
      <x:c r="Z163" s="191"/>
      <x:c r="AA163" s="191"/>
      <x:c r="AB163" s="191"/>
      <x:c r="AC163" s="191"/>
      <x:c r="AD163" s="191"/>
      <x:c r="AE163" s="191"/>
      <x:c r="AF163" s="191"/>
      <x:c r="AG163" s="191"/>
      <x:c r="AH163" s="191"/>
      <x:c r="AI163" s="191"/>
      <x:c r="AJ163" s="191"/>
      <x:c r="AK163" s="191"/>
    </x:row>
    <x:row r="164">
      <x:c r="A164" s="191" t="n">
        <x:v>150</x:v>
      </x:c>
      <x:c r="B164" s="274"/>
      <x:c r="C164" s="275"/>
      <x:c r="D164" s="275"/>
      <x:c r="E164" s="275"/>
      <x:c r="F164" s="275"/>
      <x:c r="G164" s="272" t="str">
        <x:f>IF(C164="","",RANK.EQ(C164,$C$15:$C$264,1))</x:f>
      </x:c>
      <x:c r="H164" s="272" t="str">
        <x:f>IF(G164="","",IF(G164&lt;=$B$10,"TAIL",""))</x:f>
      </x:c>
      <x:c r="I164" s="254" t="str">
        <x:f>IF(C164="","",-C164)</x:f>
      </x:c>
      <x:c r="J164" s="191" t="str">
        <x:v>Enter scenario date and link final reval P&amp;L</x:v>
      </x:c>
      <x:c r="K164" s="191"/>
      <x:c r="L164" s="191"/>
      <x:c r="M164" s="191"/>
      <x:c r="N164" s="191"/>
      <x:c r="O164" s="191"/>
      <x:c r="P164" s="191"/>
      <x:c r="Q164" s="191"/>
      <x:c r="R164" s="191"/>
      <x:c r="S164" s="191"/>
      <x:c r="T164" s="191"/>
      <x:c r="U164" s="191"/>
      <x:c r="V164" s="191"/>
      <x:c r="W164" s="191"/>
      <x:c r="X164" s="191"/>
      <x:c r="Y164" s="191"/>
      <x:c r="Z164" s="191"/>
      <x:c r="AA164" s="191"/>
      <x:c r="AB164" s="191"/>
      <x:c r="AC164" s="191"/>
      <x:c r="AD164" s="191"/>
      <x:c r="AE164" s="191"/>
      <x:c r="AF164" s="191"/>
      <x:c r="AG164" s="191"/>
      <x:c r="AH164" s="191"/>
      <x:c r="AI164" s="191"/>
      <x:c r="AJ164" s="191"/>
      <x:c r="AK164" s="191"/>
    </x:row>
    <x:row r="165">
      <x:c r="A165" s="191" t="n">
        <x:v>151</x:v>
      </x:c>
      <x:c r="B165" s="274"/>
      <x:c r="C165" s="275"/>
      <x:c r="D165" s="275"/>
      <x:c r="E165" s="275"/>
      <x:c r="F165" s="275"/>
      <x:c r="G165" s="272" t="str">
        <x:f>IF(C165="","",RANK.EQ(C165,$C$15:$C$264,1))</x:f>
      </x:c>
      <x:c r="H165" s="272" t="str">
        <x:f>IF(G165="","",IF(G165&lt;=$B$10,"TAIL",""))</x:f>
      </x:c>
      <x:c r="I165" s="254" t="str">
        <x:f>IF(C165="","",-C165)</x:f>
      </x:c>
      <x:c r="J165" s="191" t="str">
        <x:v>Enter scenario date and link final reval P&amp;L</x:v>
      </x:c>
      <x:c r="K165" s="191"/>
      <x:c r="L165" s="191"/>
      <x:c r="M165" s="191"/>
      <x:c r="N165" s="191"/>
      <x:c r="O165" s="191"/>
      <x:c r="P165" s="191"/>
      <x:c r="Q165" s="191"/>
      <x:c r="R165" s="191"/>
      <x:c r="S165" s="191"/>
      <x:c r="T165" s="191"/>
      <x:c r="U165" s="191"/>
      <x:c r="V165" s="191"/>
      <x:c r="W165" s="191"/>
      <x:c r="X165" s="191"/>
      <x:c r="Y165" s="191"/>
      <x:c r="Z165" s="191"/>
      <x:c r="AA165" s="191"/>
      <x:c r="AB165" s="191"/>
      <x:c r="AC165" s="191"/>
      <x:c r="AD165" s="191"/>
      <x:c r="AE165" s="191"/>
      <x:c r="AF165" s="191"/>
      <x:c r="AG165" s="191"/>
      <x:c r="AH165" s="191"/>
      <x:c r="AI165" s="191"/>
      <x:c r="AJ165" s="191"/>
      <x:c r="AK165" s="191"/>
    </x:row>
    <x:row r="166">
      <x:c r="A166" s="191" t="n">
        <x:v>152</x:v>
      </x:c>
      <x:c r="B166" s="274"/>
      <x:c r="C166" s="275"/>
      <x:c r="D166" s="275"/>
      <x:c r="E166" s="275"/>
      <x:c r="F166" s="275"/>
      <x:c r="G166" s="272" t="str">
        <x:f>IF(C166="","",RANK.EQ(C166,$C$15:$C$264,1))</x:f>
      </x:c>
      <x:c r="H166" s="272" t="str">
        <x:f>IF(G166="","",IF(G166&lt;=$B$10,"TAIL",""))</x:f>
      </x:c>
      <x:c r="I166" s="254" t="str">
        <x:f>IF(C166="","",-C166)</x:f>
      </x:c>
      <x:c r="J166" s="191" t="str">
        <x:v>Enter scenario date and link final reval P&amp;L</x:v>
      </x:c>
      <x:c r="K166" s="191"/>
      <x:c r="L166" s="191"/>
      <x:c r="M166" s="191"/>
      <x:c r="N166" s="191"/>
      <x:c r="O166" s="191"/>
      <x:c r="P166" s="191"/>
      <x:c r="Q166" s="191"/>
      <x:c r="R166" s="191"/>
      <x:c r="S166" s="191"/>
      <x:c r="T166" s="191"/>
      <x:c r="U166" s="191"/>
      <x:c r="V166" s="191"/>
      <x:c r="W166" s="191"/>
      <x:c r="X166" s="191"/>
      <x:c r="Y166" s="191"/>
      <x:c r="Z166" s="191"/>
      <x:c r="AA166" s="191"/>
      <x:c r="AB166" s="191"/>
      <x:c r="AC166" s="191"/>
      <x:c r="AD166" s="191"/>
      <x:c r="AE166" s="191"/>
      <x:c r="AF166" s="191"/>
      <x:c r="AG166" s="191"/>
      <x:c r="AH166" s="191"/>
      <x:c r="AI166" s="191"/>
      <x:c r="AJ166" s="191"/>
      <x:c r="AK166" s="191"/>
    </x:row>
    <x:row r="167">
      <x:c r="A167" s="191" t="n">
        <x:v>153</x:v>
      </x:c>
      <x:c r="B167" s="274"/>
      <x:c r="C167" s="275"/>
      <x:c r="D167" s="275"/>
      <x:c r="E167" s="275"/>
      <x:c r="F167" s="275"/>
      <x:c r="G167" s="272" t="str">
        <x:f>IF(C167="","",RANK.EQ(C167,$C$15:$C$264,1))</x:f>
      </x:c>
      <x:c r="H167" s="272" t="str">
        <x:f>IF(G167="","",IF(G167&lt;=$B$10,"TAIL",""))</x:f>
      </x:c>
      <x:c r="I167" s="254" t="str">
        <x:f>IF(C167="","",-C167)</x:f>
      </x:c>
      <x:c r="J167" s="191" t="str">
        <x:v>Enter scenario date and link final reval P&amp;L</x:v>
      </x:c>
      <x:c r="K167" s="191"/>
      <x:c r="L167" s="191"/>
      <x:c r="M167" s="191"/>
      <x:c r="N167" s="191"/>
      <x:c r="O167" s="191"/>
      <x:c r="P167" s="191"/>
      <x:c r="Q167" s="191"/>
      <x:c r="R167" s="191"/>
      <x:c r="S167" s="191"/>
      <x:c r="T167" s="191"/>
      <x:c r="U167" s="191"/>
      <x:c r="V167" s="191"/>
      <x:c r="W167" s="191"/>
      <x:c r="X167" s="191"/>
      <x:c r="Y167" s="191"/>
      <x:c r="Z167" s="191"/>
      <x:c r="AA167" s="191"/>
      <x:c r="AB167" s="191"/>
      <x:c r="AC167" s="191"/>
      <x:c r="AD167" s="191"/>
      <x:c r="AE167" s="191"/>
      <x:c r="AF167" s="191"/>
      <x:c r="AG167" s="191"/>
      <x:c r="AH167" s="191"/>
      <x:c r="AI167" s="191"/>
      <x:c r="AJ167" s="191"/>
      <x:c r="AK167" s="191"/>
    </x:row>
    <x:row r="168">
      <x:c r="A168" s="191" t="n">
        <x:v>154</x:v>
      </x:c>
      <x:c r="B168" s="274"/>
      <x:c r="C168" s="275"/>
      <x:c r="D168" s="275"/>
      <x:c r="E168" s="275"/>
      <x:c r="F168" s="275"/>
      <x:c r="G168" s="272" t="str">
        <x:f>IF(C168="","",RANK.EQ(C168,$C$15:$C$264,1))</x:f>
      </x:c>
      <x:c r="H168" s="272" t="str">
        <x:f>IF(G168="","",IF(G168&lt;=$B$10,"TAIL",""))</x:f>
      </x:c>
      <x:c r="I168" s="254" t="str">
        <x:f>IF(C168="","",-C168)</x:f>
      </x:c>
      <x:c r="J168" s="191" t="str">
        <x:v>Enter scenario date and link final reval P&amp;L</x:v>
      </x:c>
      <x:c r="K168" s="191"/>
      <x:c r="L168" s="191"/>
      <x:c r="M168" s="191"/>
      <x:c r="N168" s="191"/>
      <x:c r="O168" s="191"/>
      <x:c r="P168" s="191"/>
      <x:c r="Q168" s="191"/>
      <x:c r="R168" s="191"/>
      <x:c r="S168" s="191"/>
      <x:c r="T168" s="191"/>
      <x:c r="U168" s="191"/>
      <x:c r="V168" s="191"/>
      <x:c r="W168" s="191"/>
      <x:c r="X168" s="191"/>
      <x:c r="Y168" s="191"/>
      <x:c r="Z168" s="191"/>
      <x:c r="AA168" s="191"/>
      <x:c r="AB168" s="191"/>
      <x:c r="AC168" s="191"/>
      <x:c r="AD168" s="191"/>
      <x:c r="AE168" s="191"/>
      <x:c r="AF168" s="191"/>
      <x:c r="AG168" s="191"/>
      <x:c r="AH168" s="191"/>
      <x:c r="AI168" s="191"/>
      <x:c r="AJ168" s="191"/>
      <x:c r="AK168" s="191"/>
    </x:row>
    <x:row r="169">
      <x:c r="A169" s="191" t="n">
        <x:v>155</x:v>
      </x:c>
      <x:c r="B169" s="274"/>
      <x:c r="C169" s="275"/>
      <x:c r="D169" s="275"/>
      <x:c r="E169" s="275"/>
      <x:c r="F169" s="275"/>
      <x:c r="G169" s="272" t="str">
        <x:f>IF(C169="","",RANK.EQ(C169,$C$15:$C$264,1))</x:f>
      </x:c>
      <x:c r="H169" s="272" t="str">
        <x:f>IF(G169="","",IF(G169&lt;=$B$10,"TAIL",""))</x:f>
      </x:c>
      <x:c r="I169" s="254" t="str">
        <x:f>IF(C169="","",-C169)</x:f>
      </x:c>
      <x:c r="J169" s="191" t="str">
        <x:v>Enter scenario date and link final reval P&amp;L</x:v>
      </x:c>
      <x:c r="K169" s="191"/>
      <x:c r="L169" s="191"/>
      <x:c r="M169" s="191"/>
      <x:c r="N169" s="191"/>
      <x:c r="O169" s="191"/>
      <x:c r="P169" s="191"/>
      <x:c r="Q169" s="191"/>
      <x:c r="R169" s="191"/>
      <x:c r="S169" s="191"/>
      <x:c r="T169" s="191"/>
      <x:c r="U169" s="191"/>
      <x:c r="V169" s="191"/>
      <x:c r="W169" s="191"/>
      <x:c r="X169" s="191"/>
      <x:c r="Y169" s="191"/>
      <x:c r="Z169" s="191"/>
      <x:c r="AA169" s="191"/>
      <x:c r="AB169" s="191"/>
      <x:c r="AC169" s="191"/>
      <x:c r="AD169" s="191"/>
      <x:c r="AE169" s="191"/>
      <x:c r="AF169" s="191"/>
      <x:c r="AG169" s="191"/>
      <x:c r="AH169" s="191"/>
      <x:c r="AI169" s="191"/>
      <x:c r="AJ169" s="191"/>
      <x:c r="AK169" s="191"/>
    </x:row>
    <x:row r="170">
      <x:c r="A170" s="191" t="n">
        <x:v>156</x:v>
      </x:c>
      <x:c r="B170" s="274"/>
      <x:c r="C170" s="275"/>
      <x:c r="D170" s="275"/>
      <x:c r="E170" s="275"/>
      <x:c r="F170" s="275"/>
      <x:c r="G170" s="272" t="str">
        <x:f>IF(C170="","",RANK.EQ(C170,$C$15:$C$264,1))</x:f>
      </x:c>
      <x:c r="H170" s="272" t="str">
        <x:f>IF(G170="","",IF(G170&lt;=$B$10,"TAIL",""))</x:f>
      </x:c>
      <x:c r="I170" s="254" t="str">
        <x:f>IF(C170="","",-C170)</x:f>
      </x:c>
      <x:c r="J170" s="191" t="str">
        <x:v>Enter scenario date and link final reval P&amp;L</x:v>
      </x:c>
      <x:c r="K170" s="191"/>
      <x:c r="L170" s="191"/>
      <x:c r="M170" s="191"/>
      <x:c r="N170" s="191"/>
      <x:c r="O170" s="191"/>
      <x:c r="P170" s="191"/>
      <x:c r="Q170" s="191"/>
      <x:c r="R170" s="191"/>
      <x:c r="S170" s="191"/>
      <x:c r="T170" s="191"/>
      <x:c r="U170" s="191"/>
      <x:c r="V170" s="191"/>
      <x:c r="W170" s="191"/>
      <x:c r="X170" s="191"/>
      <x:c r="Y170" s="191"/>
      <x:c r="Z170" s="191"/>
      <x:c r="AA170" s="191"/>
      <x:c r="AB170" s="191"/>
      <x:c r="AC170" s="191"/>
      <x:c r="AD170" s="191"/>
      <x:c r="AE170" s="191"/>
      <x:c r="AF170" s="191"/>
      <x:c r="AG170" s="191"/>
      <x:c r="AH170" s="191"/>
      <x:c r="AI170" s="191"/>
      <x:c r="AJ170" s="191"/>
      <x:c r="AK170" s="191"/>
    </x:row>
    <x:row r="171">
      <x:c r="A171" s="191" t="n">
        <x:v>157</x:v>
      </x:c>
      <x:c r="B171" s="274"/>
      <x:c r="C171" s="275"/>
      <x:c r="D171" s="275"/>
      <x:c r="E171" s="275"/>
      <x:c r="F171" s="275"/>
      <x:c r="G171" s="272" t="str">
        <x:f>IF(C171="","",RANK.EQ(C171,$C$15:$C$264,1))</x:f>
      </x:c>
      <x:c r="H171" s="272" t="str">
        <x:f>IF(G171="","",IF(G171&lt;=$B$10,"TAIL",""))</x:f>
      </x:c>
      <x:c r="I171" s="254" t="str">
        <x:f>IF(C171="","",-C171)</x:f>
      </x:c>
      <x:c r="J171" s="191" t="str">
        <x:v>Enter scenario date and link final reval P&amp;L</x:v>
      </x:c>
      <x:c r="K171" s="191"/>
      <x:c r="L171" s="191"/>
      <x:c r="M171" s="191"/>
      <x:c r="N171" s="191"/>
      <x:c r="O171" s="191"/>
      <x:c r="P171" s="191"/>
      <x:c r="Q171" s="191"/>
      <x:c r="R171" s="191"/>
      <x:c r="S171" s="191"/>
      <x:c r="T171" s="191"/>
      <x:c r="U171" s="191"/>
      <x:c r="V171" s="191"/>
      <x:c r="W171" s="191"/>
      <x:c r="X171" s="191"/>
      <x:c r="Y171" s="191"/>
      <x:c r="Z171" s="191"/>
      <x:c r="AA171" s="191"/>
      <x:c r="AB171" s="191"/>
      <x:c r="AC171" s="191"/>
      <x:c r="AD171" s="191"/>
      <x:c r="AE171" s="191"/>
      <x:c r="AF171" s="191"/>
      <x:c r="AG171" s="191"/>
      <x:c r="AH171" s="191"/>
      <x:c r="AI171" s="191"/>
      <x:c r="AJ171" s="191"/>
      <x:c r="AK171" s="191"/>
    </x:row>
    <x:row r="172">
      <x:c r="A172" s="191" t="n">
        <x:v>158</x:v>
      </x:c>
      <x:c r="B172" s="274"/>
      <x:c r="C172" s="275"/>
      <x:c r="D172" s="275"/>
      <x:c r="E172" s="275"/>
      <x:c r="F172" s="275"/>
      <x:c r="G172" s="272" t="str">
        <x:f>IF(C172="","",RANK.EQ(C172,$C$15:$C$264,1))</x:f>
      </x:c>
      <x:c r="H172" s="272" t="str">
        <x:f>IF(G172="","",IF(G172&lt;=$B$10,"TAIL",""))</x:f>
      </x:c>
      <x:c r="I172" s="254" t="str">
        <x:f>IF(C172="","",-C172)</x:f>
      </x:c>
      <x:c r="J172" s="191" t="str">
        <x:v>Enter scenario date and link final reval P&amp;L</x:v>
      </x:c>
      <x:c r="K172" s="191"/>
      <x:c r="L172" s="191"/>
      <x:c r="M172" s="191"/>
      <x:c r="N172" s="191"/>
      <x:c r="O172" s="191"/>
      <x:c r="P172" s="191"/>
      <x:c r="Q172" s="191"/>
      <x:c r="R172" s="191"/>
      <x:c r="S172" s="191"/>
      <x:c r="T172" s="191"/>
      <x:c r="U172" s="191"/>
      <x:c r="V172" s="191"/>
      <x:c r="W172" s="191"/>
      <x:c r="X172" s="191"/>
      <x:c r="Y172" s="191"/>
      <x:c r="Z172" s="191"/>
      <x:c r="AA172" s="191"/>
      <x:c r="AB172" s="191"/>
      <x:c r="AC172" s="191"/>
      <x:c r="AD172" s="191"/>
      <x:c r="AE172" s="191"/>
      <x:c r="AF172" s="191"/>
      <x:c r="AG172" s="191"/>
      <x:c r="AH172" s="191"/>
      <x:c r="AI172" s="191"/>
      <x:c r="AJ172" s="191"/>
      <x:c r="AK172" s="191"/>
    </x:row>
    <x:row r="173">
      <x:c r="A173" s="191" t="n">
        <x:v>159</x:v>
      </x:c>
      <x:c r="B173" s="274"/>
      <x:c r="C173" s="275"/>
      <x:c r="D173" s="275"/>
      <x:c r="E173" s="275"/>
      <x:c r="F173" s="275"/>
      <x:c r="G173" s="272" t="str">
        <x:f>IF(C173="","",RANK.EQ(C173,$C$15:$C$264,1))</x:f>
      </x:c>
      <x:c r="H173" s="272" t="str">
        <x:f>IF(G173="","",IF(G173&lt;=$B$10,"TAIL",""))</x:f>
      </x:c>
      <x:c r="I173" s="254" t="str">
        <x:f>IF(C173="","",-C173)</x:f>
      </x:c>
      <x:c r="J173" s="191" t="str">
        <x:v>Enter scenario date and link final reval P&amp;L</x:v>
      </x:c>
      <x:c r="K173" s="191"/>
      <x:c r="L173" s="191"/>
      <x:c r="M173" s="191"/>
      <x:c r="N173" s="191"/>
      <x:c r="O173" s="191"/>
      <x:c r="P173" s="191"/>
      <x:c r="Q173" s="191"/>
      <x:c r="R173" s="191"/>
      <x:c r="S173" s="191"/>
      <x:c r="T173" s="191"/>
      <x:c r="U173" s="191"/>
      <x:c r="V173" s="191"/>
      <x:c r="W173" s="191"/>
      <x:c r="X173" s="191"/>
      <x:c r="Y173" s="191"/>
      <x:c r="Z173" s="191"/>
      <x:c r="AA173" s="191"/>
      <x:c r="AB173" s="191"/>
      <x:c r="AC173" s="191"/>
      <x:c r="AD173" s="191"/>
      <x:c r="AE173" s="191"/>
      <x:c r="AF173" s="191"/>
      <x:c r="AG173" s="191"/>
      <x:c r="AH173" s="191"/>
      <x:c r="AI173" s="191"/>
      <x:c r="AJ173" s="191"/>
      <x:c r="AK173" s="191"/>
    </x:row>
    <x:row r="174">
      <x:c r="A174" s="191" t="n">
        <x:v>160</x:v>
      </x:c>
      <x:c r="B174" s="274"/>
      <x:c r="C174" s="275"/>
      <x:c r="D174" s="275"/>
      <x:c r="E174" s="275"/>
      <x:c r="F174" s="275"/>
      <x:c r="G174" s="272" t="str">
        <x:f>IF(C174="","",RANK.EQ(C174,$C$15:$C$264,1))</x:f>
      </x:c>
      <x:c r="H174" s="272" t="str">
        <x:f>IF(G174="","",IF(G174&lt;=$B$10,"TAIL",""))</x:f>
      </x:c>
      <x:c r="I174" s="254" t="str">
        <x:f>IF(C174="","",-C174)</x:f>
      </x:c>
      <x:c r="J174" s="191" t="str">
        <x:v>Enter scenario date and link final reval P&amp;L</x:v>
      </x:c>
      <x:c r="K174" s="191"/>
      <x:c r="L174" s="191"/>
      <x:c r="M174" s="191"/>
      <x:c r="N174" s="191"/>
      <x:c r="O174" s="191"/>
      <x:c r="P174" s="191"/>
      <x:c r="Q174" s="191"/>
      <x:c r="R174" s="191"/>
      <x:c r="S174" s="191"/>
      <x:c r="T174" s="191"/>
      <x:c r="U174" s="191"/>
      <x:c r="V174" s="191"/>
      <x:c r="W174" s="191"/>
      <x:c r="X174" s="191"/>
      <x:c r="Y174" s="191"/>
      <x:c r="Z174" s="191"/>
      <x:c r="AA174" s="191"/>
      <x:c r="AB174" s="191"/>
      <x:c r="AC174" s="191"/>
      <x:c r="AD174" s="191"/>
      <x:c r="AE174" s="191"/>
      <x:c r="AF174" s="191"/>
      <x:c r="AG174" s="191"/>
      <x:c r="AH174" s="191"/>
      <x:c r="AI174" s="191"/>
      <x:c r="AJ174" s="191"/>
      <x:c r="AK174" s="191"/>
    </x:row>
    <x:row r="175">
      <x:c r="A175" s="191" t="n">
        <x:v>161</x:v>
      </x:c>
      <x:c r="B175" s="274"/>
      <x:c r="C175" s="275"/>
      <x:c r="D175" s="275"/>
      <x:c r="E175" s="275"/>
      <x:c r="F175" s="275"/>
      <x:c r="G175" s="272" t="str">
        <x:f>IF(C175="","",RANK.EQ(C175,$C$15:$C$264,1))</x:f>
      </x:c>
      <x:c r="H175" s="272" t="str">
        <x:f>IF(G175="","",IF(G175&lt;=$B$10,"TAIL",""))</x:f>
      </x:c>
      <x:c r="I175" s="254" t="str">
        <x:f>IF(C175="","",-C175)</x:f>
      </x:c>
      <x:c r="J175" s="191" t="str">
        <x:v>Enter scenario date and link final reval P&amp;L</x:v>
      </x:c>
      <x:c r="K175" s="191"/>
      <x:c r="L175" s="191"/>
      <x:c r="M175" s="191"/>
      <x:c r="N175" s="191"/>
      <x:c r="O175" s="191"/>
      <x:c r="P175" s="191"/>
      <x:c r="Q175" s="191"/>
      <x:c r="R175" s="191"/>
      <x:c r="S175" s="191"/>
      <x:c r="T175" s="191"/>
      <x:c r="U175" s="191"/>
      <x:c r="V175" s="191"/>
      <x:c r="W175" s="191"/>
      <x:c r="X175" s="191"/>
      <x:c r="Y175" s="191"/>
      <x:c r="Z175" s="191"/>
      <x:c r="AA175" s="191"/>
      <x:c r="AB175" s="191"/>
      <x:c r="AC175" s="191"/>
      <x:c r="AD175" s="191"/>
      <x:c r="AE175" s="191"/>
      <x:c r="AF175" s="191"/>
      <x:c r="AG175" s="191"/>
      <x:c r="AH175" s="191"/>
      <x:c r="AI175" s="191"/>
      <x:c r="AJ175" s="191"/>
      <x:c r="AK175" s="191"/>
    </x:row>
    <x:row r="176">
      <x:c r="A176" s="191" t="n">
        <x:v>162</x:v>
      </x:c>
      <x:c r="B176" s="274"/>
      <x:c r="C176" s="275"/>
      <x:c r="D176" s="275"/>
      <x:c r="E176" s="275"/>
      <x:c r="F176" s="275"/>
      <x:c r="G176" s="272" t="str">
        <x:f>IF(C176="","",RANK.EQ(C176,$C$15:$C$264,1))</x:f>
      </x:c>
      <x:c r="H176" s="272" t="str">
        <x:f>IF(G176="","",IF(G176&lt;=$B$10,"TAIL",""))</x:f>
      </x:c>
      <x:c r="I176" s="254" t="str">
        <x:f>IF(C176="","",-C176)</x:f>
      </x:c>
      <x:c r="J176" s="191" t="str">
        <x:v>Enter scenario date and link final reval P&amp;L</x:v>
      </x:c>
      <x:c r="K176" s="191"/>
      <x:c r="L176" s="191"/>
      <x:c r="M176" s="191"/>
      <x:c r="N176" s="191"/>
      <x:c r="O176" s="191"/>
      <x:c r="P176" s="191"/>
      <x:c r="Q176" s="191"/>
      <x:c r="R176" s="191"/>
      <x:c r="S176" s="191"/>
      <x:c r="T176" s="191"/>
      <x:c r="U176" s="191"/>
      <x:c r="V176" s="191"/>
      <x:c r="W176" s="191"/>
      <x:c r="X176" s="191"/>
      <x:c r="Y176" s="191"/>
      <x:c r="Z176" s="191"/>
      <x:c r="AA176" s="191"/>
      <x:c r="AB176" s="191"/>
      <x:c r="AC176" s="191"/>
      <x:c r="AD176" s="191"/>
      <x:c r="AE176" s="191"/>
      <x:c r="AF176" s="191"/>
      <x:c r="AG176" s="191"/>
      <x:c r="AH176" s="191"/>
      <x:c r="AI176" s="191"/>
      <x:c r="AJ176" s="191"/>
      <x:c r="AK176" s="191"/>
    </x:row>
    <x:row r="177">
      <x:c r="A177" s="191" t="n">
        <x:v>163</x:v>
      </x:c>
      <x:c r="B177" s="274"/>
      <x:c r="C177" s="275"/>
      <x:c r="D177" s="275"/>
      <x:c r="E177" s="275"/>
      <x:c r="F177" s="275"/>
      <x:c r="G177" s="272" t="str">
        <x:f>IF(C177="","",RANK.EQ(C177,$C$15:$C$264,1))</x:f>
      </x:c>
      <x:c r="H177" s="272" t="str">
        <x:f>IF(G177="","",IF(G177&lt;=$B$10,"TAIL",""))</x:f>
      </x:c>
      <x:c r="I177" s="254" t="str">
        <x:f>IF(C177="","",-C177)</x:f>
      </x:c>
      <x:c r="J177" s="191" t="str">
        <x:v>Enter scenario date and link final reval P&amp;L</x:v>
      </x:c>
      <x:c r="K177" s="191"/>
      <x:c r="L177" s="191"/>
      <x:c r="M177" s="191"/>
      <x:c r="N177" s="191"/>
      <x:c r="O177" s="191"/>
      <x:c r="P177" s="191"/>
      <x:c r="Q177" s="191"/>
      <x:c r="R177" s="191"/>
      <x:c r="S177" s="191"/>
      <x:c r="T177" s="191"/>
      <x:c r="U177" s="191"/>
      <x:c r="V177" s="191"/>
      <x:c r="W177" s="191"/>
      <x:c r="X177" s="191"/>
      <x:c r="Y177" s="191"/>
      <x:c r="Z177" s="191"/>
      <x:c r="AA177" s="191"/>
      <x:c r="AB177" s="191"/>
      <x:c r="AC177" s="191"/>
      <x:c r="AD177" s="191"/>
      <x:c r="AE177" s="191"/>
      <x:c r="AF177" s="191"/>
      <x:c r="AG177" s="191"/>
      <x:c r="AH177" s="191"/>
      <x:c r="AI177" s="191"/>
      <x:c r="AJ177" s="191"/>
      <x:c r="AK177" s="191"/>
    </x:row>
    <x:row r="178">
      <x:c r="A178" s="191" t="n">
        <x:v>164</x:v>
      </x:c>
      <x:c r="B178" s="274"/>
      <x:c r="C178" s="275"/>
      <x:c r="D178" s="275"/>
      <x:c r="E178" s="275"/>
      <x:c r="F178" s="275"/>
      <x:c r="G178" s="272" t="str">
        <x:f>IF(C178="","",RANK.EQ(C178,$C$15:$C$264,1))</x:f>
      </x:c>
      <x:c r="H178" s="272" t="str">
        <x:f>IF(G178="","",IF(G178&lt;=$B$10,"TAIL",""))</x:f>
      </x:c>
      <x:c r="I178" s="254" t="str">
        <x:f>IF(C178="","",-C178)</x:f>
      </x:c>
      <x:c r="J178" s="191" t="str">
        <x:v>Enter scenario date and link final reval P&amp;L</x:v>
      </x:c>
      <x:c r="K178" s="191"/>
      <x:c r="L178" s="191"/>
      <x:c r="M178" s="191"/>
      <x:c r="N178" s="191"/>
      <x:c r="O178" s="191"/>
      <x:c r="P178" s="191"/>
      <x:c r="Q178" s="191"/>
      <x:c r="R178" s="191"/>
      <x:c r="S178" s="191"/>
      <x:c r="T178" s="191"/>
      <x:c r="U178" s="191"/>
      <x:c r="V178" s="191"/>
      <x:c r="W178" s="191"/>
      <x:c r="X178" s="191"/>
      <x:c r="Y178" s="191"/>
      <x:c r="Z178" s="191"/>
      <x:c r="AA178" s="191"/>
      <x:c r="AB178" s="191"/>
      <x:c r="AC178" s="191"/>
      <x:c r="AD178" s="191"/>
      <x:c r="AE178" s="191"/>
      <x:c r="AF178" s="191"/>
      <x:c r="AG178" s="191"/>
      <x:c r="AH178" s="191"/>
      <x:c r="AI178" s="191"/>
      <x:c r="AJ178" s="191"/>
      <x:c r="AK178" s="191"/>
    </x:row>
    <x:row r="179">
      <x:c r="A179" s="191" t="n">
        <x:v>165</x:v>
      </x:c>
      <x:c r="B179" s="274"/>
      <x:c r="C179" s="275"/>
      <x:c r="D179" s="275"/>
      <x:c r="E179" s="275"/>
      <x:c r="F179" s="275"/>
      <x:c r="G179" s="272" t="str">
        <x:f>IF(C179="","",RANK.EQ(C179,$C$15:$C$264,1))</x:f>
      </x:c>
      <x:c r="H179" s="272" t="str">
        <x:f>IF(G179="","",IF(G179&lt;=$B$10,"TAIL",""))</x:f>
      </x:c>
      <x:c r="I179" s="254" t="str">
        <x:f>IF(C179="","",-C179)</x:f>
      </x:c>
      <x:c r="J179" s="191" t="str">
        <x:v>Enter scenario date and link final reval P&amp;L</x:v>
      </x:c>
      <x:c r="K179" s="191"/>
      <x:c r="L179" s="191"/>
      <x:c r="M179" s="191"/>
      <x:c r="N179" s="191"/>
      <x:c r="O179" s="191"/>
      <x:c r="P179" s="191"/>
      <x:c r="Q179" s="191"/>
      <x:c r="R179" s="191"/>
      <x:c r="S179" s="191"/>
      <x:c r="T179" s="191"/>
      <x:c r="U179" s="191"/>
      <x:c r="V179" s="191"/>
      <x:c r="W179" s="191"/>
      <x:c r="X179" s="191"/>
      <x:c r="Y179" s="191"/>
      <x:c r="Z179" s="191"/>
      <x:c r="AA179" s="191"/>
      <x:c r="AB179" s="191"/>
      <x:c r="AC179" s="191"/>
      <x:c r="AD179" s="191"/>
      <x:c r="AE179" s="191"/>
      <x:c r="AF179" s="191"/>
      <x:c r="AG179" s="191"/>
      <x:c r="AH179" s="191"/>
      <x:c r="AI179" s="191"/>
      <x:c r="AJ179" s="191"/>
      <x:c r="AK179" s="191"/>
    </x:row>
    <x:row r="180">
      <x:c r="A180" s="191" t="n">
        <x:v>166</x:v>
      </x:c>
      <x:c r="B180" s="274"/>
      <x:c r="C180" s="275"/>
      <x:c r="D180" s="275"/>
      <x:c r="E180" s="275"/>
      <x:c r="F180" s="275"/>
      <x:c r="G180" s="272" t="str">
        <x:f>IF(C180="","",RANK.EQ(C180,$C$15:$C$264,1))</x:f>
      </x:c>
      <x:c r="H180" s="272" t="str">
        <x:f>IF(G180="","",IF(G180&lt;=$B$10,"TAIL",""))</x:f>
      </x:c>
      <x:c r="I180" s="254" t="str">
        <x:f>IF(C180="","",-C180)</x:f>
      </x:c>
      <x:c r="J180" s="191" t="str">
        <x:v>Enter scenario date and link final reval P&amp;L</x:v>
      </x:c>
      <x:c r="K180" s="191"/>
      <x:c r="L180" s="191"/>
      <x:c r="M180" s="191"/>
      <x:c r="N180" s="191"/>
      <x:c r="O180" s="191"/>
      <x:c r="P180" s="191"/>
      <x:c r="Q180" s="191"/>
      <x:c r="R180" s="191"/>
      <x:c r="S180" s="191"/>
      <x:c r="T180" s="191"/>
      <x:c r="U180" s="191"/>
      <x:c r="V180" s="191"/>
      <x:c r="W180" s="191"/>
      <x:c r="X180" s="191"/>
      <x:c r="Y180" s="191"/>
      <x:c r="Z180" s="191"/>
      <x:c r="AA180" s="191"/>
      <x:c r="AB180" s="191"/>
      <x:c r="AC180" s="191"/>
      <x:c r="AD180" s="191"/>
      <x:c r="AE180" s="191"/>
      <x:c r="AF180" s="191"/>
      <x:c r="AG180" s="191"/>
      <x:c r="AH180" s="191"/>
      <x:c r="AI180" s="191"/>
      <x:c r="AJ180" s="191"/>
      <x:c r="AK180" s="191"/>
    </x:row>
    <x:row r="181">
      <x:c r="A181" s="191" t="n">
        <x:v>167</x:v>
      </x:c>
      <x:c r="B181" s="274"/>
      <x:c r="C181" s="275"/>
      <x:c r="D181" s="275"/>
      <x:c r="E181" s="275"/>
      <x:c r="F181" s="275"/>
      <x:c r="G181" s="272" t="str">
        <x:f>IF(C181="","",RANK.EQ(C181,$C$15:$C$264,1))</x:f>
      </x:c>
      <x:c r="H181" s="272" t="str">
        <x:f>IF(G181="","",IF(G181&lt;=$B$10,"TAIL",""))</x:f>
      </x:c>
      <x:c r="I181" s="254" t="str">
        <x:f>IF(C181="","",-C181)</x:f>
      </x:c>
      <x:c r="J181" s="191" t="str">
        <x:v>Enter scenario date and link final reval P&amp;L</x:v>
      </x:c>
      <x:c r="K181" s="191"/>
      <x:c r="L181" s="191"/>
      <x:c r="M181" s="191"/>
      <x:c r="N181" s="191"/>
      <x:c r="O181" s="191"/>
      <x:c r="P181" s="191"/>
      <x:c r="Q181" s="191"/>
      <x:c r="R181" s="191"/>
      <x:c r="S181" s="191"/>
      <x:c r="T181" s="191"/>
      <x:c r="U181" s="191"/>
      <x:c r="V181" s="191"/>
      <x:c r="W181" s="191"/>
      <x:c r="X181" s="191"/>
      <x:c r="Y181" s="191"/>
      <x:c r="Z181" s="191"/>
      <x:c r="AA181" s="191"/>
      <x:c r="AB181" s="191"/>
      <x:c r="AC181" s="191"/>
      <x:c r="AD181" s="191"/>
      <x:c r="AE181" s="191"/>
      <x:c r="AF181" s="191"/>
      <x:c r="AG181" s="191"/>
      <x:c r="AH181" s="191"/>
      <x:c r="AI181" s="191"/>
      <x:c r="AJ181" s="191"/>
      <x:c r="AK181" s="191"/>
    </x:row>
    <x:row r="182">
      <x:c r="A182" s="191" t="n">
        <x:v>168</x:v>
      </x:c>
      <x:c r="B182" s="274"/>
      <x:c r="C182" s="275"/>
      <x:c r="D182" s="275"/>
      <x:c r="E182" s="275"/>
      <x:c r="F182" s="275"/>
      <x:c r="G182" s="272" t="str">
        <x:f>IF(C182="","",RANK.EQ(C182,$C$15:$C$264,1))</x:f>
      </x:c>
      <x:c r="H182" s="272" t="str">
        <x:f>IF(G182="","",IF(G182&lt;=$B$10,"TAIL",""))</x:f>
      </x:c>
      <x:c r="I182" s="254" t="str">
        <x:f>IF(C182="","",-C182)</x:f>
      </x:c>
      <x:c r="J182" s="191" t="str">
        <x:v>Enter scenario date and link final reval P&amp;L</x:v>
      </x:c>
      <x:c r="K182" s="191"/>
      <x:c r="L182" s="191"/>
      <x:c r="M182" s="191"/>
      <x:c r="N182" s="191"/>
      <x:c r="O182" s="191"/>
      <x:c r="P182" s="191"/>
      <x:c r="Q182" s="191"/>
      <x:c r="R182" s="191"/>
      <x:c r="S182" s="191"/>
      <x:c r="T182" s="191"/>
      <x:c r="U182" s="191"/>
      <x:c r="V182" s="191"/>
      <x:c r="W182" s="191"/>
      <x:c r="X182" s="191"/>
      <x:c r="Y182" s="191"/>
      <x:c r="Z182" s="191"/>
      <x:c r="AA182" s="191"/>
      <x:c r="AB182" s="191"/>
      <x:c r="AC182" s="191"/>
      <x:c r="AD182" s="191"/>
      <x:c r="AE182" s="191"/>
      <x:c r="AF182" s="191"/>
      <x:c r="AG182" s="191"/>
      <x:c r="AH182" s="191"/>
      <x:c r="AI182" s="191"/>
      <x:c r="AJ182" s="191"/>
      <x:c r="AK182" s="191"/>
    </x:row>
    <x:row r="183">
      <x:c r="A183" s="191" t="n">
        <x:v>169</x:v>
      </x:c>
      <x:c r="B183" s="274"/>
      <x:c r="C183" s="275"/>
      <x:c r="D183" s="275"/>
      <x:c r="E183" s="275"/>
      <x:c r="F183" s="275"/>
      <x:c r="G183" s="272" t="str">
        <x:f>IF(C183="","",RANK.EQ(C183,$C$15:$C$264,1))</x:f>
      </x:c>
      <x:c r="H183" s="272" t="str">
        <x:f>IF(G183="","",IF(G183&lt;=$B$10,"TAIL",""))</x:f>
      </x:c>
      <x:c r="I183" s="254" t="str">
        <x:f>IF(C183="","",-C183)</x:f>
      </x:c>
      <x:c r="J183" s="191" t="str">
        <x:v>Enter scenario date and link final reval P&amp;L</x:v>
      </x:c>
      <x:c r="K183" s="191"/>
      <x:c r="L183" s="191"/>
      <x:c r="M183" s="191"/>
      <x:c r="N183" s="191"/>
      <x:c r="O183" s="191"/>
      <x:c r="P183" s="191"/>
      <x:c r="Q183" s="191"/>
      <x:c r="R183" s="191"/>
      <x:c r="S183" s="191"/>
      <x:c r="T183" s="191"/>
      <x:c r="U183" s="191"/>
      <x:c r="V183" s="191"/>
      <x:c r="W183" s="191"/>
      <x:c r="X183" s="191"/>
      <x:c r="Y183" s="191"/>
      <x:c r="Z183" s="191"/>
      <x:c r="AA183" s="191"/>
      <x:c r="AB183" s="191"/>
      <x:c r="AC183" s="191"/>
      <x:c r="AD183" s="191"/>
      <x:c r="AE183" s="191"/>
      <x:c r="AF183" s="191"/>
      <x:c r="AG183" s="191"/>
      <x:c r="AH183" s="191"/>
      <x:c r="AI183" s="191"/>
      <x:c r="AJ183" s="191"/>
      <x:c r="AK183" s="191"/>
    </x:row>
    <x:row r="184">
      <x:c r="A184" s="191" t="n">
        <x:v>170</x:v>
      </x:c>
      <x:c r="B184" s="274"/>
      <x:c r="C184" s="275"/>
      <x:c r="D184" s="275"/>
      <x:c r="E184" s="275"/>
      <x:c r="F184" s="275"/>
      <x:c r="G184" s="272" t="str">
        <x:f>IF(C184="","",RANK.EQ(C184,$C$15:$C$264,1))</x:f>
      </x:c>
      <x:c r="H184" s="272" t="str">
        <x:f>IF(G184="","",IF(G184&lt;=$B$10,"TAIL",""))</x:f>
      </x:c>
      <x:c r="I184" s="254" t="str">
        <x:f>IF(C184="","",-C184)</x:f>
      </x:c>
      <x:c r="J184" s="191" t="str">
        <x:v>Enter scenario date and link final reval P&amp;L</x:v>
      </x:c>
      <x:c r="K184" s="191"/>
      <x:c r="L184" s="191"/>
      <x:c r="M184" s="191"/>
      <x:c r="N184" s="191"/>
      <x:c r="O184" s="191"/>
      <x:c r="P184" s="191"/>
      <x:c r="Q184" s="191"/>
      <x:c r="R184" s="191"/>
      <x:c r="S184" s="191"/>
      <x:c r="T184" s="191"/>
      <x:c r="U184" s="191"/>
      <x:c r="V184" s="191"/>
      <x:c r="W184" s="191"/>
      <x:c r="X184" s="191"/>
      <x:c r="Y184" s="191"/>
      <x:c r="Z184" s="191"/>
      <x:c r="AA184" s="191"/>
      <x:c r="AB184" s="191"/>
      <x:c r="AC184" s="191"/>
      <x:c r="AD184" s="191"/>
      <x:c r="AE184" s="191"/>
      <x:c r="AF184" s="191"/>
      <x:c r="AG184" s="191"/>
      <x:c r="AH184" s="191"/>
      <x:c r="AI184" s="191"/>
      <x:c r="AJ184" s="191"/>
      <x:c r="AK184" s="191"/>
    </x:row>
    <x:row r="185">
      <x:c r="A185" s="191" t="n">
        <x:v>171</x:v>
      </x:c>
      <x:c r="B185" s="274"/>
      <x:c r="C185" s="275"/>
      <x:c r="D185" s="275"/>
      <x:c r="E185" s="275"/>
      <x:c r="F185" s="275"/>
      <x:c r="G185" s="272" t="str">
        <x:f>IF(C185="","",RANK.EQ(C185,$C$15:$C$264,1))</x:f>
      </x:c>
      <x:c r="H185" s="272" t="str">
        <x:f>IF(G185="","",IF(G185&lt;=$B$10,"TAIL",""))</x:f>
      </x:c>
      <x:c r="I185" s="254" t="str">
        <x:f>IF(C185="","",-C185)</x:f>
      </x:c>
      <x:c r="J185" s="191" t="str">
        <x:v>Enter scenario date and link final reval P&amp;L</x:v>
      </x:c>
      <x:c r="K185" s="191"/>
      <x:c r="L185" s="191"/>
      <x:c r="M185" s="191"/>
      <x:c r="N185" s="191"/>
      <x:c r="O185" s="191"/>
      <x:c r="P185" s="191"/>
      <x:c r="Q185" s="191"/>
      <x:c r="R185" s="191"/>
      <x:c r="S185" s="191"/>
      <x:c r="T185" s="191"/>
      <x:c r="U185" s="191"/>
      <x:c r="V185" s="191"/>
      <x:c r="W185" s="191"/>
      <x:c r="X185" s="191"/>
      <x:c r="Y185" s="191"/>
      <x:c r="Z185" s="191"/>
      <x:c r="AA185" s="191"/>
      <x:c r="AB185" s="191"/>
      <x:c r="AC185" s="191"/>
      <x:c r="AD185" s="191"/>
      <x:c r="AE185" s="191"/>
      <x:c r="AF185" s="191"/>
      <x:c r="AG185" s="191"/>
      <x:c r="AH185" s="191"/>
      <x:c r="AI185" s="191"/>
      <x:c r="AJ185" s="191"/>
      <x:c r="AK185" s="191"/>
    </x:row>
    <x:row r="186">
      <x:c r="A186" s="191" t="n">
        <x:v>172</x:v>
      </x:c>
      <x:c r="B186" s="274"/>
      <x:c r="C186" s="275"/>
      <x:c r="D186" s="275"/>
      <x:c r="E186" s="275"/>
      <x:c r="F186" s="275"/>
      <x:c r="G186" s="272" t="str">
        <x:f>IF(C186="","",RANK.EQ(C186,$C$15:$C$264,1))</x:f>
      </x:c>
      <x:c r="H186" s="272" t="str">
        <x:f>IF(G186="","",IF(G186&lt;=$B$10,"TAIL",""))</x:f>
      </x:c>
      <x:c r="I186" s="254" t="str">
        <x:f>IF(C186="","",-C186)</x:f>
      </x:c>
      <x:c r="J186" s="191" t="str">
        <x:v>Enter scenario date and link final reval P&amp;L</x:v>
      </x:c>
      <x:c r="K186" s="191"/>
      <x:c r="L186" s="191"/>
      <x:c r="M186" s="191"/>
      <x:c r="N186" s="191"/>
      <x:c r="O186" s="191"/>
      <x:c r="P186" s="191"/>
      <x:c r="Q186" s="191"/>
      <x:c r="R186" s="191"/>
      <x:c r="S186" s="191"/>
      <x:c r="T186" s="191"/>
      <x:c r="U186" s="191"/>
      <x:c r="V186" s="191"/>
      <x:c r="W186" s="191"/>
      <x:c r="X186" s="191"/>
      <x:c r="Y186" s="191"/>
      <x:c r="Z186" s="191"/>
      <x:c r="AA186" s="191"/>
      <x:c r="AB186" s="191"/>
      <x:c r="AC186" s="191"/>
      <x:c r="AD186" s="191"/>
      <x:c r="AE186" s="191"/>
      <x:c r="AF186" s="191"/>
      <x:c r="AG186" s="191"/>
      <x:c r="AH186" s="191"/>
      <x:c r="AI186" s="191"/>
      <x:c r="AJ186" s="191"/>
      <x:c r="AK186" s="191"/>
    </x:row>
    <x:row r="187">
      <x:c r="A187" s="191" t="n">
        <x:v>173</x:v>
      </x:c>
      <x:c r="B187" s="274"/>
      <x:c r="C187" s="275"/>
      <x:c r="D187" s="275"/>
      <x:c r="E187" s="275"/>
      <x:c r="F187" s="275"/>
      <x:c r="G187" s="272" t="str">
        <x:f>IF(C187="","",RANK.EQ(C187,$C$15:$C$264,1))</x:f>
      </x:c>
      <x:c r="H187" s="272" t="str">
        <x:f>IF(G187="","",IF(G187&lt;=$B$10,"TAIL",""))</x:f>
      </x:c>
      <x:c r="I187" s="254" t="str">
        <x:f>IF(C187="","",-C187)</x:f>
      </x:c>
      <x:c r="J187" s="191" t="str">
        <x:v>Enter scenario date and link final reval P&amp;L</x:v>
      </x:c>
      <x:c r="K187" s="191"/>
      <x:c r="L187" s="191"/>
      <x:c r="M187" s="191"/>
      <x:c r="N187" s="191"/>
      <x:c r="O187" s="191"/>
      <x:c r="P187" s="191"/>
      <x:c r="Q187" s="191"/>
      <x:c r="R187" s="191"/>
      <x:c r="S187" s="191"/>
      <x:c r="T187" s="191"/>
      <x:c r="U187" s="191"/>
      <x:c r="V187" s="191"/>
      <x:c r="W187" s="191"/>
      <x:c r="X187" s="191"/>
      <x:c r="Y187" s="191"/>
      <x:c r="Z187" s="191"/>
      <x:c r="AA187" s="191"/>
      <x:c r="AB187" s="191"/>
      <x:c r="AC187" s="191"/>
      <x:c r="AD187" s="191"/>
      <x:c r="AE187" s="191"/>
      <x:c r="AF187" s="191"/>
      <x:c r="AG187" s="191"/>
      <x:c r="AH187" s="191"/>
      <x:c r="AI187" s="191"/>
      <x:c r="AJ187" s="191"/>
      <x:c r="AK187" s="191"/>
    </x:row>
    <x:row r="188">
      <x:c r="A188" s="191" t="n">
        <x:v>174</x:v>
      </x:c>
      <x:c r="B188" s="274"/>
      <x:c r="C188" s="275"/>
      <x:c r="D188" s="275"/>
      <x:c r="E188" s="275"/>
      <x:c r="F188" s="275"/>
      <x:c r="G188" s="272" t="str">
        <x:f>IF(C188="","",RANK.EQ(C188,$C$15:$C$264,1))</x:f>
      </x:c>
      <x:c r="H188" s="272" t="str">
        <x:f>IF(G188="","",IF(G188&lt;=$B$10,"TAIL",""))</x:f>
      </x:c>
      <x:c r="I188" s="254" t="str">
        <x:f>IF(C188="","",-C188)</x:f>
      </x:c>
      <x:c r="J188" s="191" t="str">
        <x:v>Enter scenario date and link final reval P&amp;L</x:v>
      </x:c>
      <x:c r="K188" s="191"/>
      <x:c r="L188" s="191"/>
      <x:c r="M188" s="191"/>
      <x:c r="N188" s="191"/>
      <x:c r="O188" s="191"/>
      <x:c r="P188" s="191"/>
      <x:c r="Q188" s="191"/>
      <x:c r="R188" s="191"/>
      <x:c r="S188" s="191"/>
      <x:c r="T188" s="191"/>
      <x:c r="U188" s="191"/>
      <x:c r="V188" s="191"/>
      <x:c r="W188" s="191"/>
      <x:c r="X188" s="191"/>
      <x:c r="Y188" s="191"/>
      <x:c r="Z188" s="191"/>
      <x:c r="AA188" s="191"/>
      <x:c r="AB188" s="191"/>
      <x:c r="AC188" s="191"/>
      <x:c r="AD188" s="191"/>
      <x:c r="AE188" s="191"/>
      <x:c r="AF188" s="191"/>
      <x:c r="AG188" s="191"/>
      <x:c r="AH188" s="191"/>
      <x:c r="AI188" s="191"/>
      <x:c r="AJ188" s="191"/>
      <x:c r="AK188" s="191"/>
    </x:row>
    <x:row r="189">
      <x:c r="A189" s="191" t="n">
        <x:v>175</x:v>
      </x:c>
      <x:c r="B189" s="274"/>
      <x:c r="C189" s="275"/>
      <x:c r="D189" s="275"/>
      <x:c r="E189" s="275"/>
      <x:c r="F189" s="275"/>
      <x:c r="G189" s="272" t="str">
        <x:f>IF(C189="","",RANK.EQ(C189,$C$15:$C$264,1))</x:f>
      </x:c>
      <x:c r="H189" s="272" t="str">
        <x:f>IF(G189="","",IF(G189&lt;=$B$10,"TAIL",""))</x:f>
      </x:c>
      <x:c r="I189" s="254" t="str">
        <x:f>IF(C189="","",-C189)</x:f>
      </x:c>
      <x:c r="J189" s="191" t="str">
        <x:v>Enter scenario date and link final reval P&amp;L</x:v>
      </x:c>
      <x:c r="K189" s="191"/>
      <x:c r="L189" s="191"/>
      <x:c r="M189" s="191"/>
      <x:c r="N189" s="191"/>
      <x:c r="O189" s="191"/>
      <x:c r="P189" s="191"/>
      <x:c r="Q189" s="191"/>
      <x:c r="R189" s="191"/>
      <x:c r="S189" s="191"/>
      <x:c r="T189" s="191"/>
      <x:c r="U189" s="191"/>
      <x:c r="V189" s="191"/>
      <x:c r="W189" s="191"/>
      <x:c r="X189" s="191"/>
      <x:c r="Y189" s="191"/>
      <x:c r="Z189" s="191"/>
      <x:c r="AA189" s="191"/>
      <x:c r="AB189" s="191"/>
      <x:c r="AC189" s="191"/>
      <x:c r="AD189" s="191"/>
      <x:c r="AE189" s="191"/>
      <x:c r="AF189" s="191"/>
      <x:c r="AG189" s="191"/>
      <x:c r="AH189" s="191"/>
      <x:c r="AI189" s="191"/>
      <x:c r="AJ189" s="191"/>
      <x:c r="AK189" s="191"/>
    </x:row>
    <x:row r="190">
      <x:c r="A190" s="191" t="n">
        <x:v>176</x:v>
      </x:c>
      <x:c r="B190" s="274"/>
      <x:c r="C190" s="275"/>
      <x:c r="D190" s="275"/>
      <x:c r="E190" s="275"/>
      <x:c r="F190" s="275"/>
      <x:c r="G190" s="272" t="str">
        <x:f>IF(C190="","",RANK.EQ(C190,$C$15:$C$264,1))</x:f>
      </x:c>
      <x:c r="H190" s="272" t="str">
        <x:f>IF(G190="","",IF(G190&lt;=$B$10,"TAIL",""))</x:f>
      </x:c>
      <x:c r="I190" s="254" t="str">
        <x:f>IF(C190="","",-C190)</x:f>
      </x:c>
      <x:c r="J190" s="191" t="str">
        <x:v>Enter scenario date and link final reval P&amp;L</x:v>
      </x:c>
      <x:c r="K190" s="191"/>
      <x:c r="L190" s="191"/>
      <x:c r="M190" s="191"/>
      <x:c r="N190" s="191"/>
      <x:c r="O190" s="191"/>
      <x:c r="P190" s="191"/>
      <x:c r="Q190" s="191"/>
      <x:c r="R190" s="191"/>
      <x:c r="S190" s="191"/>
      <x:c r="T190" s="191"/>
      <x:c r="U190" s="191"/>
      <x:c r="V190" s="191"/>
      <x:c r="W190" s="191"/>
      <x:c r="X190" s="191"/>
      <x:c r="Y190" s="191"/>
      <x:c r="Z190" s="191"/>
      <x:c r="AA190" s="191"/>
      <x:c r="AB190" s="191"/>
      <x:c r="AC190" s="191"/>
      <x:c r="AD190" s="191"/>
      <x:c r="AE190" s="191"/>
      <x:c r="AF190" s="191"/>
      <x:c r="AG190" s="191"/>
      <x:c r="AH190" s="191"/>
      <x:c r="AI190" s="191"/>
      <x:c r="AJ190" s="191"/>
      <x:c r="AK190" s="191"/>
    </x:row>
    <x:row r="191">
      <x:c r="A191" s="191" t="n">
        <x:v>177</x:v>
      </x:c>
      <x:c r="B191" s="274"/>
      <x:c r="C191" s="275"/>
      <x:c r="D191" s="275"/>
      <x:c r="E191" s="275"/>
      <x:c r="F191" s="275"/>
      <x:c r="G191" s="272" t="str">
        <x:f>IF(C191="","",RANK.EQ(C191,$C$15:$C$264,1))</x:f>
      </x:c>
      <x:c r="H191" s="272" t="str">
        <x:f>IF(G191="","",IF(G191&lt;=$B$10,"TAIL",""))</x:f>
      </x:c>
      <x:c r="I191" s="254" t="str">
        <x:f>IF(C191="","",-C191)</x:f>
      </x:c>
      <x:c r="J191" s="191" t="str">
        <x:v>Enter scenario date and link final reval P&amp;L</x:v>
      </x:c>
      <x:c r="K191" s="191"/>
      <x:c r="L191" s="191"/>
      <x:c r="M191" s="191"/>
      <x:c r="N191" s="191"/>
      <x:c r="O191" s="191"/>
      <x:c r="P191" s="191"/>
      <x:c r="Q191" s="191"/>
      <x:c r="R191" s="191"/>
      <x:c r="S191" s="191"/>
      <x:c r="T191" s="191"/>
      <x:c r="U191" s="191"/>
      <x:c r="V191" s="191"/>
      <x:c r="W191" s="191"/>
      <x:c r="X191" s="191"/>
      <x:c r="Y191" s="191"/>
      <x:c r="Z191" s="191"/>
      <x:c r="AA191" s="191"/>
      <x:c r="AB191" s="191"/>
      <x:c r="AC191" s="191"/>
      <x:c r="AD191" s="191"/>
      <x:c r="AE191" s="191"/>
      <x:c r="AF191" s="191"/>
      <x:c r="AG191" s="191"/>
      <x:c r="AH191" s="191"/>
      <x:c r="AI191" s="191"/>
      <x:c r="AJ191" s="191"/>
      <x:c r="AK191" s="191"/>
    </x:row>
    <x:row r="192">
      <x:c r="A192" s="191" t="n">
        <x:v>178</x:v>
      </x:c>
      <x:c r="B192" s="274"/>
      <x:c r="C192" s="275"/>
      <x:c r="D192" s="275"/>
      <x:c r="E192" s="275"/>
      <x:c r="F192" s="275"/>
      <x:c r="G192" s="272" t="str">
        <x:f>IF(C192="","",RANK.EQ(C192,$C$15:$C$264,1))</x:f>
      </x:c>
      <x:c r="H192" s="272" t="str">
        <x:f>IF(G192="","",IF(G192&lt;=$B$10,"TAIL",""))</x:f>
      </x:c>
      <x:c r="I192" s="254" t="str">
        <x:f>IF(C192="","",-C192)</x:f>
      </x:c>
      <x:c r="J192" s="191" t="str">
        <x:v>Enter scenario date and link final reval P&amp;L</x:v>
      </x:c>
      <x:c r="K192" s="191"/>
      <x:c r="L192" s="191"/>
      <x:c r="M192" s="191"/>
      <x:c r="N192" s="191"/>
      <x:c r="O192" s="191"/>
      <x:c r="P192" s="191"/>
      <x:c r="Q192" s="191"/>
      <x:c r="R192" s="191"/>
      <x:c r="S192" s="191"/>
      <x:c r="T192" s="191"/>
      <x:c r="U192" s="191"/>
      <x:c r="V192" s="191"/>
      <x:c r="W192" s="191"/>
      <x:c r="X192" s="191"/>
      <x:c r="Y192" s="191"/>
      <x:c r="Z192" s="191"/>
      <x:c r="AA192" s="191"/>
      <x:c r="AB192" s="191"/>
      <x:c r="AC192" s="191"/>
      <x:c r="AD192" s="191"/>
      <x:c r="AE192" s="191"/>
      <x:c r="AF192" s="191"/>
      <x:c r="AG192" s="191"/>
      <x:c r="AH192" s="191"/>
      <x:c r="AI192" s="191"/>
      <x:c r="AJ192" s="191"/>
      <x:c r="AK192" s="191"/>
    </x:row>
    <x:row r="193">
      <x:c r="A193" s="191" t="n">
        <x:v>179</x:v>
      </x:c>
      <x:c r="B193" s="274"/>
      <x:c r="C193" s="275"/>
      <x:c r="D193" s="275"/>
      <x:c r="E193" s="275"/>
      <x:c r="F193" s="275"/>
      <x:c r="G193" s="272" t="str">
        <x:f>IF(C193="","",RANK.EQ(C193,$C$15:$C$264,1))</x:f>
      </x:c>
      <x:c r="H193" s="272" t="str">
        <x:f>IF(G193="","",IF(G193&lt;=$B$10,"TAIL",""))</x:f>
      </x:c>
      <x:c r="I193" s="254" t="str">
        <x:f>IF(C193="","",-C193)</x:f>
      </x:c>
      <x:c r="J193" s="191" t="str">
        <x:v>Enter scenario date and link final reval P&amp;L</x:v>
      </x:c>
      <x:c r="K193" s="191"/>
      <x:c r="L193" s="191"/>
      <x:c r="M193" s="191"/>
      <x:c r="N193" s="191"/>
      <x:c r="O193" s="191"/>
      <x:c r="P193" s="191"/>
      <x:c r="Q193" s="191"/>
      <x:c r="R193" s="191"/>
      <x:c r="S193" s="191"/>
      <x:c r="T193" s="191"/>
      <x:c r="U193" s="191"/>
      <x:c r="V193" s="191"/>
      <x:c r="W193" s="191"/>
      <x:c r="X193" s="191"/>
      <x:c r="Y193" s="191"/>
      <x:c r="Z193" s="191"/>
      <x:c r="AA193" s="191"/>
      <x:c r="AB193" s="191"/>
      <x:c r="AC193" s="191"/>
      <x:c r="AD193" s="191"/>
      <x:c r="AE193" s="191"/>
      <x:c r="AF193" s="191"/>
      <x:c r="AG193" s="191"/>
      <x:c r="AH193" s="191"/>
      <x:c r="AI193" s="191"/>
      <x:c r="AJ193" s="191"/>
      <x:c r="AK193" s="191"/>
    </x:row>
    <x:row r="194">
      <x:c r="A194" s="191" t="n">
        <x:v>180</x:v>
      </x:c>
      <x:c r="B194" s="274"/>
      <x:c r="C194" s="275"/>
      <x:c r="D194" s="275"/>
      <x:c r="E194" s="275"/>
      <x:c r="F194" s="275"/>
      <x:c r="G194" s="272" t="str">
        <x:f>IF(C194="","",RANK.EQ(C194,$C$15:$C$264,1))</x:f>
      </x:c>
      <x:c r="H194" s="272" t="str">
        <x:f>IF(G194="","",IF(G194&lt;=$B$10,"TAIL",""))</x:f>
      </x:c>
      <x:c r="I194" s="254" t="str">
        <x:f>IF(C194="","",-C194)</x:f>
      </x:c>
      <x:c r="J194" s="191" t="str">
        <x:v>Enter scenario date and link final reval P&amp;L</x:v>
      </x:c>
      <x:c r="K194" s="191"/>
      <x:c r="L194" s="191"/>
      <x:c r="M194" s="191"/>
      <x:c r="N194" s="191"/>
      <x:c r="O194" s="191"/>
      <x:c r="P194" s="191"/>
      <x:c r="Q194" s="191"/>
      <x:c r="R194" s="191"/>
      <x:c r="S194" s="191"/>
      <x:c r="T194" s="191"/>
      <x:c r="U194" s="191"/>
      <x:c r="V194" s="191"/>
      <x:c r="W194" s="191"/>
      <x:c r="X194" s="191"/>
      <x:c r="Y194" s="191"/>
      <x:c r="Z194" s="191"/>
      <x:c r="AA194" s="191"/>
      <x:c r="AB194" s="191"/>
      <x:c r="AC194" s="191"/>
      <x:c r="AD194" s="191"/>
      <x:c r="AE194" s="191"/>
      <x:c r="AF194" s="191"/>
      <x:c r="AG194" s="191"/>
      <x:c r="AH194" s="191"/>
      <x:c r="AI194" s="191"/>
      <x:c r="AJ194" s="191"/>
      <x:c r="AK194" s="191"/>
    </x:row>
    <x:row r="195">
      <x:c r="A195" s="191" t="n">
        <x:v>181</x:v>
      </x:c>
      <x:c r="B195" s="274"/>
      <x:c r="C195" s="275"/>
      <x:c r="D195" s="275"/>
      <x:c r="E195" s="275"/>
      <x:c r="F195" s="275"/>
      <x:c r="G195" s="272" t="str">
        <x:f>IF(C195="","",RANK.EQ(C195,$C$15:$C$264,1))</x:f>
      </x:c>
      <x:c r="H195" s="272" t="str">
        <x:f>IF(G195="","",IF(G195&lt;=$B$10,"TAIL",""))</x:f>
      </x:c>
      <x:c r="I195" s="254" t="str">
        <x:f>IF(C195="","",-C195)</x:f>
      </x:c>
      <x:c r="J195" s="191" t="str">
        <x:v>Enter scenario date and link final reval P&amp;L</x:v>
      </x:c>
      <x:c r="K195" s="191"/>
      <x:c r="L195" s="191"/>
      <x:c r="M195" s="191"/>
      <x:c r="N195" s="191"/>
      <x:c r="O195" s="191"/>
      <x:c r="P195" s="191"/>
      <x:c r="Q195" s="191"/>
      <x:c r="R195" s="191"/>
      <x:c r="S195" s="191"/>
      <x:c r="T195" s="191"/>
      <x:c r="U195" s="191"/>
      <x:c r="V195" s="191"/>
      <x:c r="W195" s="191"/>
      <x:c r="X195" s="191"/>
      <x:c r="Y195" s="191"/>
      <x:c r="Z195" s="191"/>
      <x:c r="AA195" s="191"/>
      <x:c r="AB195" s="191"/>
      <x:c r="AC195" s="191"/>
      <x:c r="AD195" s="191"/>
      <x:c r="AE195" s="191"/>
      <x:c r="AF195" s="191"/>
      <x:c r="AG195" s="191"/>
      <x:c r="AH195" s="191"/>
      <x:c r="AI195" s="191"/>
      <x:c r="AJ195" s="191"/>
      <x:c r="AK195" s="191"/>
    </x:row>
    <x:row r="196">
      <x:c r="A196" s="191" t="n">
        <x:v>182</x:v>
      </x:c>
      <x:c r="B196" s="274"/>
      <x:c r="C196" s="275"/>
      <x:c r="D196" s="275"/>
      <x:c r="E196" s="275"/>
      <x:c r="F196" s="275"/>
      <x:c r="G196" s="272" t="str">
        <x:f>IF(C196="","",RANK.EQ(C196,$C$15:$C$264,1))</x:f>
      </x:c>
      <x:c r="H196" s="272" t="str">
        <x:f>IF(G196="","",IF(G196&lt;=$B$10,"TAIL",""))</x:f>
      </x:c>
      <x:c r="I196" s="254" t="str">
        <x:f>IF(C196="","",-C196)</x:f>
      </x:c>
      <x:c r="J196" s="191" t="str">
        <x:v>Enter scenario date and link final reval P&amp;L</x:v>
      </x:c>
      <x:c r="K196" s="191"/>
      <x:c r="L196" s="191"/>
      <x:c r="M196" s="191"/>
      <x:c r="N196" s="191"/>
      <x:c r="O196" s="191"/>
      <x:c r="P196" s="191"/>
      <x:c r="Q196" s="191"/>
      <x:c r="R196" s="191"/>
      <x:c r="S196" s="191"/>
      <x:c r="T196" s="191"/>
      <x:c r="U196" s="191"/>
      <x:c r="V196" s="191"/>
      <x:c r="W196" s="191"/>
      <x:c r="X196" s="191"/>
      <x:c r="Y196" s="191"/>
      <x:c r="Z196" s="191"/>
      <x:c r="AA196" s="191"/>
      <x:c r="AB196" s="191"/>
      <x:c r="AC196" s="191"/>
      <x:c r="AD196" s="191"/>
      <x:c r="AE196" s="191"/>
      <x:c r="AF196" s="191"/>
      <x:c r="AG196" s="191"/>
      <x:c r="AH196" s="191"/>
      <x:c r="AI196" s="191"/>
      <x:c r="AJ196" s="191"/>
      <x:c r="AK196" s="191"/>
    </x:row>
    <x:row r="197">
      <x:c r="A197" s="191" t="n">
        <x:v>183</x:v>
      </x:c>
      <x:c r="B197" s="274"/>
      <x:c r="C197" s="275"/>
      <x:c r="D197" s="275"/>
      <x:c r="E197" s="275"/>
      <x:c r="F197" s="275"/>
      <x:c r="G197" s="272" t="str">
        <x:f>IF(C197="","",RANK.EQ(C197,$C$15:$C$264,1))</x:f>
      </x:c>
      <x:c r="H197" s="272" t="str">
        <x:f>IF(G197="","",IF(G197&lt;=$B$10,"TAIL",""))</x:f>
      </x:c>
      <x:c r="I197" s="254" t="str">
        <x:f>IF(C197="","",-C197)</x:f>
      </x:c>
      <x:c r="J197" s="191" t="str">
        <x:v>Enter scenario date and link final reval P&amp;L</x:v>
      </x:c>
      <x:c r="K197" s="191"/>
      <x:c r="L197" s="191"/>
      <x:c r="M197" s="191"/>
      <x:c r="N197" s="191"/>
      <x:c r="O197" s="191"/>
      <x:c r="P197" s="191"/>
      <x:c r="Q197" s="191"/>
      <x:c r="R197" s="191"/>
      <x:c r="S197" s="191"/>
      <x:c r="T197" s="191"/>
      <x:c r="U197" s="191"/>
      <x:c r="V197" s="191"/>
      <x:c r="W197" s="191"/>
      <x:c r="X197" s="191"/>
      <x:c r="Y197" s="191"/>
      <x:c r="Z197" s="191"/>
      <x:c r="AA197" s="191"/>
      <x:c r="AB197" s="191"/>
      <x:c r="AC197" s="191"/>
      <x:c r="AD197" s="191"/>
      <x:c r="AE197" s="191"/>
      <x:c r="AF197" s="191"/>
      <x:c r="AG197" s="191"/>
      <x:c r="AH197" s="191"/>
      <x:c r="AI197" s="191"/>
      <x:c r="AJ197" s="191"/>
      <x:c r="AK197" s="191"/>
    </x:row>
    <x:row r="198">
      <x:c r="A198" s="191" t="n">
        <x:v>184</x:v>
      </x:c>
      <x:c r="B198" s="274"/>
      <x:c r="C198" s="275"/>
      <x:c r="D198" s="275"/>
      <x:c r="E198" s="275"/>
      <x:c r="F198" s="275"/>
      <x:c r="G198" s="272" t="str">
        <x:f>IF(C198="","",RANK.EQ(C198,$C$15:$C$264,1))</x:f>
      </x:c>
      <x:c r="H198" s="272" t="str">
        <x:f>IF(G198="","",IF(G198&lt;=$B$10,"TAIL",""))</x:f>
      </x:c>
      <x:c r="I198" s="254" t="str">
        <x:f>IF(C198="","",-C198)</x:f>
      </x:c>
      <x:c r="J198" s="191" t="str">
        <x:v>Enter scenario date and link final reval P&amp;L</x:v>
      </x:c>
      <x:c r="K198" s="191"/>
      <x:c r="L198" s="191"/>
      <x:c r="M198" s="191"/>
      <x:c r="N198" s="191"/>
      <x:c r="O198" s="191"/>
      <x:c r="P198" s="191"/>
      <x:c r="Q198" s="191"/>
      <x:c r="R198" s="191"/>
      <x:c r="S198" s="191"/>
      <x:c r="T198" s="191"/>
      <x:c r="U198" s="191"/>
      <x:c r="V198" s="191"/>
      <x:c r="W198" s="191"/>
      <x:c r="X198" s="191"/>
      <x:c r="Y198" s="191"/>
      <x:c r="Z198" s="191"/>
      <x:c r="AA198" s="191"/>
      <x:c r="AB198" s="191"/>
      <x:c r="AC198" s="191"/>
      <x:c r="AD198" s="191"/>
      <x:c r="AE198" s="191"/>
      <x:c r="AF198" s="191"/>
      <x:c r="AG198" s="191"/>
      <x:c r="AH198" s="191"/>
      <x:c r="AI198" s="191"/>
      <x:c r="AJ198" s="191"/>
      <x:c r="AK198" s="191"/>
    </x:row>
    <x:row r="199">
      <x:c r="A199" s="191" t="n">
        <x:v>185</x:v>
      </x:c>
      <x:c r="B199" s="274"/>
      <x:c r="C199" s="275"/>
      <x:c r="D199" s="275"/>
      <x:c r="E199" s="275"/>
      <x:c r="F199" s="275"/>
      <x:c r="G199" s="272" t="str">
        <x:f>IF(C199="","",RANK.EQ(C199,$C$15:$C$264,1))</x:f>
      </x:c>
      <x:c r="H199" s="272" t="str">
        <x:f>IF(G199="","",IF(G199&lt;=$B$10,"TAIL",""))</x:f>
      </x:c>
      <x:c r="I199" s="254" t="str">
        <x:f>IF(C199="","",-C199)</x:f>
      </x:c>
      <x:c r="J199" s="191" t="str">
        <x:v>Enter scenario date and link final reval P&amp;L</x:v>
      </x:c>
      <x:c r="K199" s="191"/>
      <x:c r="L199" s="191"/>
      <x:c r="M199" s="191"/>
      <x:c r="N199" s="191"/>
      <x:c r="O199" s="191"/>
      <x:c r="P199" s="191"/>
      <x:c r="Q199" s="191"/>
      <x:c r="R199" s="191"/>
      <x:c r="S199" s="191"/>
      <x:c r="T199" s="191"/>
      <x:c r="U199" s="191"/>
      <x:c r="V199" s="191"/>
      <x:c r="W199" s="191"/>
      <x:c r="X199" s="191"/>
      <x:c r="Y199" s="191"/>
      <x:c r="Z199" s="191"/>
      <x:c r="AA199" s="191"/>
      <x:c r="AB199" s="191"/>
      <x:c r="AC199" s="191"/>
      <x:c r="AD199" s="191"/>
      <x:c r="AE199" s="191"/>
      <x:c r="AF199" s="191"/>
      <x:c r="AG199" s="191"/>
      <x:c r="AH199" s="191"/>
      <x:c r="AI199" s="191"/>
      <x:c r="AJ199" s="191"/>
      <x:c r="AK199" s="191"/>
    </x:row>
    <x:row r="200">
      <x:c r="A200" s="191" t="n">
        <x:v>186</x:v>
      </x:c>
      <x:c r="B200" s="274"/>
      <x:c r="C200" s="275"/>
      <x:c r="D200" s="275"/>
      <x:c r="E200" s="275"/>
      <x:c r="F200" s="275"/>
      <x:c r="G200" s="272" t="str">
        <x:f>IF(C200="","",RANK.EQ(C200,$C$15:$C$264,1))</x:f>
      </x:c>
      <x:c r="H200" s="272" t="str">
        <x:f>IF(G200="","",IF(G200&lt;=$B$10,"TAIL",""))</x:f>
      </x:c>
      <x:c r="I200" s="254" t="str">
        <x:f>IF(C200="","",-C200)</x:f>
      </x:c>
      <x:c r="J200" s="191" t="str">
        <x:v>Enter scenario date and link final reval P&amp;L</x:v>
      </x:c>
      <x:c r="K200" s="191"/>
      <x:c r="L200" s="191"/>
      <x:c r="M200" s="191"/>
      <x:c r="N200" s="191"/>
      <x:c r="O200" s="191"/>
      <x:c r="P200" s="191"/>
      <x:c r="Q200" s="191"/>
      <x:c r="R200" s="191"/>
      <x:c r="S200" s="191"/>
      <x:c r="T200" s="191"/>
      <x:c r="U200" s="191"/>
      <x:c r="V200" s="191"/>
      <x:c r="W200" s="191"/>
      <x:c r="X200" s="191"/>
      <x:c r="Y200" s="191"/>
      <x:c r="Z200" s="191"/>
      <x:c r="AA200" s="191"/>
      <x:c r="AB200" s="191"/>
      <x:c r="AC200" s="191"/>
      <x:c r="AD200" s="191"/>
      <x:c r="AE200" s="191"/>
      <x:c r="AF200" s="191"/>
      <x:c r="AG200" s="191"/>
      <x:c r="AH200" s="191"/>
      <x:c r="AI200" s="191"/>
      <x:c r="AJ200" s="191"/>
      <x:c r="AK200" s="191"/>
    </x:row>
    <x:row r="201">
      <x:c r="A201" s="191" t="n">
        <x:v>187</x:v>
      </x:c>
      <x:c r="B201" s="274"/>
      <x:c r="C201" s="275"/>
      <x:c r="D201" s="275"/>
      <x:c r="E201" s="275"/>
      <x:c r="F201" s="275"/>
      <x:c r="G201" s="272" t="str">
        <x:f>IF(C201="","",RANK.EQ(C201,$C$15:$C$264,1))</x:f>
      </x:c>
      <x:c r="H201" s="272" t="str">
        <x:f>IF(G201="","",IF(G201&lt;=$B$10,"TAIL",""))</x:f>
      </x:c>
      <x:c r="I201" s="254" t="str">
        <x:f>IF(C201="","",-C201)</x:f>
      </x:c>
      <x:c r="J201" s="191" t="str">
        <x:v>Enter scenario date and link final reval P&amp;L</x:v>
      </x:c>
      <x:c r="K201" s="191"/>
      <x:c r="L201" s="191"/>
      <x:c r="M201" s="191"/>
      <x:c r="N201" s="191"/>
      <x:c r="O201" s="191"/>
      <x:c r="P201" s="191"/>
      <x:c r="Q201" s="191"/>
      <x:c r="R201" s="191"/>
      <x:c r="S201" s="191"/>
      <x:c r="T201" s="191"/>
      <x:c r="U201" s="191"/>
      <x:c r="V201" s="191"/>
      <x:c r="W201" s="191"/>
      <x:c r="X201" s="191"/>
      <x:c r="Y201" s="191"/>
      <x:c r="Z201" s="191"/>
      <x:c r="AA201" s="191"/>
      <x:c r="AB201" s="191"/>
      <x:c r="AC201" s="191"/>
      <x:c r="AD201" s="191"/>
      <x:c r="AE201" s="191"/>
      <x:c r="AF201" s="191"/>
      <x:c r="AG201" s="191"/>
      <x:c r="AH201" s="191"/>
      <x:c r="AI201" s="191"/>
      <x:c r="AJ201" s="191"/>
      <x:c r="AK201" s="191"/>
    </x:row>
    <x:row r="202">
      <x:c r="A202" s="191" t="n">
        <x:v>188</x:v>
      </x:c>
      <x:c r="B202" s="274"/>
      <x:c r="C202" s="275"/>
      <x:c r="D202" s="275"/>
      <x:c r="E202" s="275"/>
      <x:c r="F202" s="275"/>
      <x:c r="G202" s="272" t="str">
        <x:f>IF(C202="","",RANK.EQ(C202,$C$15:$C$264,1))</x:f>
      </x:c>
      <x:c r="H202" s="272" t="str">
        <x:f>IF(G202="","",IF(G202&lt;=$B$10,"TAIL",""))</x:f>
      </x:c>
      <x:c r="I202" s="254" t="str">
        <x:f>IF(C202="","",-C202)</x:f>
      </x:c>
      <x:c r="J202" s="191" t="str">
        <x:v>Enter scenario date and link final reval P&amp;L</x:v>
      </x:c>
      <x:c r="K202" s="191"/>
      <x:c r="L202" s="191"/>
      <x:c r="M202" s="191"/>
      <x:c r="N202" s="191"/>
      <x:c r="O202" s="191"/>
      <x:c r="P202" s="191"/>
      <x:c r="Q202" s="191"/>
      <x:c r="R202" s="191"/>
      <x:c r="S202" s="191"/>
      <x:c r="T202" s="191"/>
      <x:c r="U202" s="191"/>
      <x:c r="V202" s="191"/>
      <x:c r="W202" s="191"/>
      <x:c r="X202" s="191"/>
      <x:c r="Y202" s="191"/>
      <x:c r="Z202" s="191"/>
      <x:c r="AA202" s="191"/>
      <x:c r="AB202" s="191"/>
      <x:c r="AC202" s="191"/>
      <x:c r="AD202" s="191"/>
      <x:c r="AE202" s="191"/>
      <x:c r="AF202" s="191"/>
      <x:c r="AG202" s="191"/>
      <x:c r="AH202" s="191"/>
      <x:c r="AI202" s="191"/>
      <x:c r="AJ202" s="191"/>
      <x:c r="AK202" s="191"/>
    </x:row>
    <x:row r="203">
      <x:c r="A203" s="191" t="n">
        <x:v>189</x:v>
      </x:c>
      <x:c r="B203" s="274"/>
      <x:c r="C203" s="275"/>
      <x:c r="D203" s="275"/>
      <x:c r="E203" s="275"/>
      <x:c r="F203" s="275"/>
      <x:c r="G203" s="272" t="str">
        <x:f>IF(C203="","",RANK.EQ(C203,$C$15:$C$264,1))</x:f>
      </x:c>
      <x:c r="H203" s="272" t="str">
        <x:f>IF(G203="","",IF(G203&lt;=$B$10,"TAIL",""))</x:f>
      </x:c>
      <x:c r="I203" s="254" t="str">
        <x:f>IF(C203="","",-C203)</x:f>
      </x:c>
      <x:c r="J203" s="191" t="str">
        <x:v>Enter scenario date and link final reval P&amp;L</x:v>
      </x:c>
      <x:c r="K203" s="191"/>
      <x:c r="L203" s="191"/>
      <x:c r="M203" s="191"/>
      <x:c r="N203" s="191"/>
      <x:c r="O203" s="191"/>
      <x:c r="P203" s="191"/>
      <x:c r="Q203" s="191"/>
      <x:c r="R203" s="191"/>
      <x:c r="S203" s="191"/>
      <x:c r="T203" s="191"/>
      <x:c r="U203" s="191"/>
      <x:c r="V203" s="191"/>
      <x:c r="W203" s="191"/>
      <x:c r="X203" s="191"/>
      <x:c r="Y203" s="191"/>
      <x:c r="Z203" s="191"/>
      <x:c r="AA203" s="191"/>
      <x:c r="AB203" s="191"/>
      <x:c r="AC203" s="191"/>
      <x:c r="AD203" s="191"/>
      <x:c r="AE203" s="191"/>
      <x:c r="AF203" s="191"/>
      <x:c r="AG203" s="191"/>
      <x:c r="AH203" s="191"/>
      <x:c r="AI203" s="191"/>
      <x:c r="AJ203" s="191"/>
      <x:c r="AK203" s="191"/>
    </x:row>
    <x:row r="204">
      <x:c r="A204" s="191" t="n">
        <x:v>190</x:v>
      </x:c>
      <x:c r="B204" s="274"/>
      <x:c r="C204" s="275"/>
      <x:c r="D204" s="275"/>
      <x:c r="E204" s="275"/>
      <x:c r="F204" s="275"/>
      <x:c r="G204" s="272" t="str">
        <x:f>IF(C204="","",RANK.EQ(C204,$C$15:$C$264,1))</x:f>
      </x:c>
      <x:c r="H204" s="272" t="str">
        <x:f>IF(G204="","",IF(G204&lt;=$B$10,"TAIL",""))</x:f>
      </x:c>
      <x:c r="I204" s="254" t="str">
        <x:f>IF(C204="","",-C204)</x:f>
      </x:c>
      <x:c r="J204" s="191" t="str">
        <x:v>Enter scenario date and link final reval P&amp;L</x:v>
      </x:c>
      <x:c r="K204" s="191"/>
      <x:c r="L204" s="191"/>
      <x:c r="M204" s="191"/>
      <x:c r="N204" s="191"/>
      <x:c r="O204" s="191"/>
      <x:c r="P204" s="191"/>
      <x:c r="Q204" s="191"/>
      <x:c r="R204" s="191"/>
      <x:c r="S204" s="191"/>
      <x:c r="T204" s="191"/>
      <x:c r="U204" s="191"/>
      <x:c r="V204" s="191"/>
      <x:c r="W204" s="191"/>
      <x:c r="X204" s="191"/>
      <x:c r="Y204" s="191"/>
      <x:c r="Z204" s="191"/>
      <x:c r="AA204" s="191"/>
      <x:c r="AB204" s="191"/>
      <x:c r="AC204" s="191"/>
      <x:c r="AD204" s="191"/>
      <x:c r="AE204" s="191"/>
      <x:c r="AF204" s="191"/>
      <x:c r="AG204" s="191"/>
      <x:c r="AH204" s="191"/>
      <x:c r="AI204" s="191"/>
      <x:c r="AJ204" s="191"/>
      <x:c r="AK204" s="191"/>
    </x:row>
    <x:row r="205">
      <x:c r="A205" s="191" t="n">
        <x:v>191</x:v>
      </x:c>
      <x:c r="B205" s="274"/>
      <x:c r="C205" s="275"/>
      <x:c r="D205" s="275"/>
      <x:c r="E205" s="275"/>
      <x:c r="F205" s="275"/>
      <x:c r="G205" s="272" t="str">
        <x:f>IF(C205="","",RANK.EQ(C205,$C$15:$C$264,1))</x:f>
      </x:c>
      <x:c r="H205" s="272" t="str">
        <x:f>IF(G205="","",IF(G205&lt;=$B$10,"TAIL",""))</x:f>
      </x:c>
      <x:c r="I205" s="254" t="str">
        <x:f>IF(C205="","",-C205)</x:f>
      </x:c>
      <x:c r="J205" s="191" t="str">
        <x:v>Enter scenario date and link final reval P&amp;L</x:v>
      </x:c>
      <x:c r="K205" s="191"/>
      <x:c r="L205" s="191"/>
      <x:c r="M205" s="191"/>
      <x:c r="N205" s="191"/>
      <x:c r="O205" s="191"/>
      <x:c r="P205" s="191"/>
      <x:c r="Q205" s="191"/>
      <x:c r="R205" s="191"/>
      <x:c r="S205" s="191"/>
      <x:c r="T205" s="191"/>
      <x:c r="U205" s="191"/>
      <x:c r="V205" s="191"/>
      <x:c r="W205" s="191"/>
      <x:c r="X205" s="191"/>
      <x:c r="Y205" s="191"/>
      <x:c r="Z205" s="191"/>
      <x:c r="AA205" s="191"/>
      <x:c r="AB205" s="191"/>
      <x:c r="AC205" s="191"/>
      <x:c r="AD205" s="191"/>
      <x:c r="AE205" s="191"/>
      <x:c r="AF205" s="191"/>
      <x:c r="AG205" s="191"/>
      <x:c r="AH205" s="191"/>
      <x:c r="AI205" s="191"/>
      <x:c r="AJ205" s="191"/>
      <x:c r="AK205" s="191"/>
    </x:row>
    <x:row r="206">
      <x:c r="A206" s="191" t="n">
        <x:v>192</x:v>
      </x:c>
      <x:c r="B206" s="274"/>
      <x:c r="C206" s="275"/>
      <x:c r="D206" s="275"/>
      <x:c r="E206" s="275"/>
      <x:c r="F206" s="275"/>
      <x:c r="G206" s="272" t="str">
        <x:f>IF(C206="","",RANK.EQ(C206,$C$15:$C$264,1))</x:f>
      </x:c>
      <x:c r="H206" s="272" t="str">
        <x:f>IF(G206="","",IF(G206&lt;=$B$10,"TAIL",""))</x:f>
      </x:c>
      <x:c r="I206" s="254" t="str">
        <x:f>IF(C206="","",-C206)</x:f>
      </x:c>
      <x:c r="J206" s="191" t="str">
        <x:v>Enter scenario date and link final reval P&amp;L</x:v>
      </x:c>
      <x:c r="K206" s="191"/>
      <x:c r="L206" s="191"/>
      <x:c r="M206" s="191"/>
      <x:c r="N206" s="191"/>
      <x:c r="O206" s="191"/>
      <x:c r="P206" s="191"/>
      <x:c r="Q206" s="191"/>
      <x:c r="R206" s="191"/>
      <x:c r="S206" s="191"/>
      <x:c r="T206" s="191"/>
      <x:c r="U206" s="191"/>
      <x:c r="V206" s="191"/>
      <x:c r="W206" s="191"/>
      <x:c r="X206" s="191"/>
      <x:c r="Y206" s="191"/>
      <x:c r="Z206" s="191"/>
      <x:c r="AA206" s="191"/>
      <x:c r="AB206" s="191"/>
      <x:c r="AC206" s="191"/>
      <x:c r="AD206" s="191"/>
      <x:c r="AE206" s="191"/>
      <x:c r="AF206" s="191"/>
      <x:c r="AG206" s="191"/>
      <x:c r="AH206" s="191"/>
      <x:c r="AI206" s="191"/>
      <x:c r="AJ206" s="191"/>
      <x:c r="AK206" s="191"/>
    </x:row>
    <x:row r="207">
      <x:c r="A207" s="191" t="n">
        <x:v>193</x:v>
      </x:c>
      <x:c r="B207" s="274"/>
      <x:c r="C207" s="275"/>
      <x:c r="D207" s="275"/>
      <x:c r="E207" s="275"/>
      <x:c r="F207" s="275"/>
      <x:c r="G207" s="272" t="str">
        <x:f>IF(C207="","",RANK.EQ(C207,$C$15:$C$264,1))</x:f>
      </x:c>
      <x:c r="H207" s="272" t="str">
        <x:f>IF(G207="","",IF(G207&lt;=$B$10,"TAIL",""))</x:f>
      </x:c>
      <x:c r="I207" s="254" t="str">
        <x:f>IF(C207="","",-C207)</x:f>
      </x:c>
      <x:c r="J207" s="191" t="str">
        <x:v>Enter scenario date and link final reval P&amp;L</x:v>
      </x:c>
      <x:c r="K207" s="191"/>
      <x:c r="L207" s="191"/>
      <x:c r="M207" s="191"/>
      <x:c r="N207" s="191"/>
      <x:c r="O207" s="191"/>
      <x:c r="P207" s="191"/>
      <x:c r="Q207" s="191"/>
      <x:c r="R207" s="191"/>
      <x:c r="S207" s="191"/>
      <x:c r="T207" s="191"/>
      <x:c r="U207" s="191"/>
      <x:c r="V207" s="191"/>
      <x:c r="W207" s="191"/>
      <x:c r="X207" s="191"/>
      <x:c r="Y207" s="191"/>
      <x:c r="Z207" s="191"/>
      <x:c r="AA207" s="191"/>
      <x:c r="AB207" s="191"/>
      <x:c r="AC207" s="191"/>
      <x:c r="AD207" s="191"/>
      <x:c r="AE207" s="191"/>
      <x:c r="AF207" s="191"/>
      <x:c r="AG207" s="191"/>
      <x:c r="AH207" s="191"/>
      <x:c r="AI207" s="191"/>
      <x:c r="AJ207" s="191"/>
      <x:c r="AK207" s="191"/>
    </x:row>
    <x:row r="208">
      <x:c r="A208" s="191" t="n">
        <x:v>194</x:v>
      </x:c>
      <x:c r="B208" s="274"/>
      <x:c r="C208" s="275"/>
      <x:c r="D208" s="275"/>
      <x:c r="E208" s="275"/>
      <x:c r="F208" s="275"/>
      <x:c r="G208" s="272" t="str">
        <x:f>IF(C208="","",RANK.EQ(C208,$C$15:$C$264,1))</x:f>
      </x:c>
      <x:c r="H208" s="272" t="str">
        <x:f>IF(G208="","",IF(G208&lt;=$B$10,"TAIL",""))</x:f>
      </x:c>
      <x:c r="I208" s="254" t="str">
        <x:f>IF(C208="","",-C208)</x:f>
      </x:c>
      <x:c r="J208" s="191" t="str">
        <x:v>Enter scenario date and link final reval P&amp;L</x:v>
      </x:c>
      <x:c r="K208" s="191"/>
      <x:c r="L208" s="191"/>
      <x:c r="M208" s="191"/>
      <x:c r="N208" s="191"/>
      <x:c r="O208" s="191"/>
      <x:c r="P208" s="191"/>
      <x:c r="Q208" s="191"/>
      <x:c r="R208" s="191"/>
      <x:c r="S208" s="191"/>
      <x:c r="T208" s="191"/>
      <x:c r="U208" s="191"/>
      <x:c r="V208" s="191"/>
      <x:c r="W208" s="191"/>
      <x:c r="X208" s="191"/>
      <x:c r="Y208" s="191"/>
      <x:c r="Z208" s="191"/>
      <x:c r="AA208" s="191"/>
      <x:c r="AB208" s="191"/>
      <x:c r="AC208" s="191"/>
      <x:c r="AD208" s="191"/>
      <x:c r="AE208" s="191"/>
      <x:c r="AF208" s="191"/>
      <x:c r="AG208" s="191"/>
      <x:c r="AH208" s="191"/>
      <x:c r="AI208" s="191"/>
      <x:c r="AJ208" s="191"/>
      <x:c r="AK208" s="191"/>
    </x:row>
    <x:row r="209">
      <x:c r="A209" s="191" t="n">
        <x:v>195</x:v>
      </x:c>
      <x:c r="B209" s="274"/>
      <x:c r="C209" s="275"/>
      <x:c r="D209" s="275"/>
      <x:c r="E209" s="275"/>
      <x:c r="F209" s="275"/>
      <x:c r="G209" s="272" t="str">
        <x:f>IF(C209="","",RANK.EQ(C209,$C$15:$C$264,1))</x:f>
      </x:c>
      <x:c r="H209" s="272" t="str">
        <x:f>IF(G209="","",IF(G209&lt;=$B$10,"TAIL",""))</x:f>
      </x:c>
      <x:c r="I209" s="254" t="str">
        <x:f>IF(C209="","",-C209)</x:f>
      </x:c>
      <x:c r="J209" s="191" t="str">
        <x:v>Enter scenario date and link final reval P&amp;L</x:v>
      </x:c>
      <x:c r="K209" s="191"/>
      <x:c r="L209" s="191"/>
      <x:c r="M209" s="191"/>
      <x:c r="N209" s="191"/>
      <x:c r="O209" s="191"/>
      <x:c r="P209" s="191"/>
      <x:c r="Q209" s="191"/>
      <x:c r="R209" s="191"/>
      <x:c r="S209" s="191"/>
      <x:c r="T209" s="191"/>
      <x:c r="U209" s="191"/>
      <x:c r="V209" s="191"/>
      <x:c r="W209" s="191"/>
      <x:c r="X209" s="191"/>
      <x:c r="Y209" s="191"/>
      <x:c r="Z209" s="191"/>
      <x:c r="AA209" s="191"/>
      <x:c r="AB209" s="191"/>
      <x:c r="AC209" s="191"/>
      <x:c r="AD209" s="191"/>
      <x:c r="AE209" s="191"/>
      <x:c r="AF209" s="191"/>
      <x:c r="AG209" s="191"/>
      <x:c r="AH209" s="191"/>
      <x:c r="AI209" s="191"/>
      <x:c r="AJ209" s="191"/>
      <x:c r="AK209" s="191"/>
    </x:row>
    <x:row r="210">
      <x:c r="A210" s="191" t="n">
        <x:v>196</x:v>
      </x:c>
      <x:c r="B210" s="274"/>
      <x:c r="C210" s="275"/>
      <x:c r="D210" s="275"/>
      <x:c r="E210" s="275"/>
      <x:c r="F210" s="275"/>
      <x:c r="G210" s="272" t="str">
        <x:f>IF(C210="","",RANK.EQ(C210,$C$15:$C$264,1))</x:f>
      </x:c>
      <x:c r="H210" s="272" t="str">
        <x:f>IF(G210="","",IF(G210&lt;=$B$10,"TAIL",""))</x:f>
      </x:c>
      <x:c r="I210" s="254" t="str">
        <x:f>IF(C210="","",-C210)</x:f>
      </x:c>
      <x:c r="J210" s="191" t="str">
        <x:v>Enter scenario date and link final reval P&amp;L</x:v>
      </x:c>
      <x:c r="K210" s="191"/>
      <x:c r="L210" s="191"/>
      <x:c r="M210" s="191"/>
      <x:c r="N210" s="191"/>
      <x:c r="O210" s="191"/>
      <x:c r="P210" s="191"/>
      <x:c r="Q210" s="191"/>
      <x:c r="R210" s="191"/>
      <x:c r="S210" s="191"/>
      <x:c r="T210" s="191"/>
      <x:c r="U210" s="191"/>
      <x:c r="V210" s="191"/>
      <x:c r="W210" s="191"/>
      <x:c r="X210" s="191"/>
      <x:c r="Y210" s="191"/>
      <x:c r="Z210" s="191"/>
      <x:c r="AA210" s="191"/>
      <x:c r="AB210" s="191"/>
      <x:c r="AC210" s="191"/>
      <x:c r="AD210" s="191"/>
      <x:c r="AE210" s="191"/>
      <x:c r="AF210" s="191"/>
      <x:c r="AG210" s="191"/>
      <x:c r="AH210" s="191"/>
      <x:c r="AI210" s="191"/>
      <x:c r="AJ210" s="191"/>
      <x:c r="AK210" s="191"/>
    </x:row>
    <x:row r="211">
      <x:c r="A211" s="191" t="n">
        <x:v>197</x:v>
      </x:c>
      <x:c r="B211" s="274"/>
      <x:c r="C211" s="275"/>
      <x:c r="D211" s="275"/>
      <x:c r="E211" s="275"/>
      <x:c r="F211" s="275"/>
      <x:c r="G211" s="272" t="str">
        <x:f>IF(C211="","",RANK.EQ(C211,$C$15:$C$264,1))</x:f>
      </x:c>
      <x:c r="H211" s="272" t="str">
        <x:f>IF(G211="","",IF(G211&lt;=$B$10,"TAIL",""))</x:f>
      </x:c>
      <x:c r="I211" s="254" t="str">
        <x:f>IF(C211="","",-C211)</x:f>
      </x:c>
      <x:c r="J211" s="191" t="str">
        <x:v>Enter scenario date and link final reval P&amp;L</x:v>
      </x:c>
      <x:c r="K211" s="191"/>
      <x:c r="L211" s="191"/>
      <x:c r="M211" s="191"/>
      <x:c r="N211" s="191"/>
      <x:c r="O211" s="191"/>
      <x:c r="P211" s="191"/>
      <x:c r="Q211" s="191"/>
      <x:c r="R211" s="191"/>
      <x:c r="S211" s="191"/>
      <x:c r="T211" s="191"/>
      <x:c r="U211" s="191"/>
      <x:c r="V211" s="191"/>
      <x:c r="W211" s="191"/>
      <x:c r="X211" s="191"/>
      <x:c r="Y211" s="191"/>
      <x:c r="Z211" s="191"/>
      <x:c r="AA211" s="191"/>
      <x:c r="AB211" s="191"/>
      <x:c r="AC211" s="191"/>
      <x:c r="AD211" s="191"/>
      <x:c r="AE211" s="191"/>
      <x:c r="AF211" s="191"/>
      <x:c r="AG211" s="191"/>
      <x:c r="AH211" s="191"/>
      <x:c r="AI211" s="191"/>
      <x:c r="AJ211" s="191"/>
      <x:c r="AK211" s="191"/>
    </x:row>
    <x:row r="212">
      <x:c r="A212" s="191" t="n">
        <x:v>198</x:v>
      </x:c>
      <x:c r="B212" s="274"/>
      <x:c r="C212" s="275"/>
      <x:c r="D212" s="275"/>
      <x:c r="E212" s="275"/>
      <x:c r="F212" s="275"/>
      <x:c r="G212" s="272" t="str">
        <x:f>IF(C212="","",RANK.EQ(C212,$C$15:$C$264,1))</x:f>
      </x:c>
      <x:c r="H212" s="272" t="str">
        <x:f>IF(G212="","",IF(G212&lt;=$B$10,"TAIL",""))</x:f>
      </x:c>
      <x:c r="I212" s="254" t="str">
        <x:f>IF(C212="","",-C212)</x:f>
      </x:c>
      <x:c r="J212" s="191" t="str">
        <x:v>Enter scenario date and link final reval P&amp;L</x:v>
      </x:c>
      <x:c r="K212" s="191"/>
      <x:c r="L212" s="191"/>
      <x:c r="M212" s="191"/>
      <x:c r="N212" s="191"/>
      <x:c r="O212" s="191"/>
      <x:c r="P212" s="191"/>
      <x:c r="Q212" s="191"/>
      <x:c r="R212" s="191"/>
      <x:c r="S212" s="191"/>
      <x:c r="T212" s="191"/>
      <x:c r="U212" s="191"/>
      <x:c r="V212" s="191"/>
      <x:c r="W212" s="191"/>
      <x:c r="X212" s="191"/>
      <x:c r="Y212" s="191"/>
      <x:c r="Z212" s="191"/>
      <x:c r="AA212" s="191"/>
      <x:c r="AB212" s="191"/>
      <x:c r="AC212" s="191"/>
      <x:c r="AD212" s="191"/>
      <x:c r="AE212" s="191"/>
      <x:c r="AF212" s="191"/>
      <x:c r="AG212" s="191"/>
      <x:c r="AH212" s="191"/>
      <x:c r="AI212" s="191"/>
      <x:c r="AJ212" s="191"/>
      <x:c r="AK212" s="191"/>
    </x:row>
    <x:row r="213">
      <x:c r="A213" s="191" t="n">
        <x:v>199</x:v>
      </x:c>
      <x:c r="B213" s="274"/>
      <x:c r="C213" s="275"/>
      <x:c r="D213" s="275"/>
      <x:c r="E213" s="275"/>
      <x:c r="F213" s="275"/>
      <x:c r="G213" s="272" t="str">
        <x:f>IF(C213="","",RANK.EQ(C213,$C$15:$C$264,1))</x:f>
      </x:c>
      <x:c r="H213" s="272" t="str">
        <x:f>IF(G213="","",IF(G213&lt;=$B$10,"TAIL",""))</x:f>
      </x:c>
      <x:c r="I213" s="254" t="str">
        <x:f>IF(C213="","",-C213)</x:f>
      </x:c>
      <x:c r="J213" s="191" t="str">
        <x:v>Enter scenario date and link final reval P&amp;L</x:v>
      </x:c>
      <x:c r="K213" s="191"/>
      <x:c r="L213" s="191"/>
      <x:c r="M213" s="191"/>
      <x:c r="N213" s="191"/>
      <x:c r="O213" s="191"/>
      <x:c r="P213" s="191"/>
      <x:c r="Q213" s="191"/>
      <x:c r="R213" s="191"/>
      <x:c r="S213" s="191"/>
      <x:c r="T213" s="191"/>
      <x:c r="U213" s="191"/>
      <x:c r="V213" s="191"/>
      <x:c r="W213" s="191"/>
      <x:c r="X213" s="191"/>
      <x:c r="Y213" s="191"/>
      <x:c r="Z213" s="191"/>
      <x:c r="AA213" s="191"/>
      <x:c r="AB213" s="191"/>
      <x:c r="AC213" s="191"/>
      <x:c r="AD213" s="191"/>
      <x:c r="AE213" s="191"/>
      <x:c r="AF213" s="191"/>
      <x:c r="AG213" s="191"/>
      <x:c r="AH213" s="191"/>
      <x:c r="AI213" s="191"/>
      <x:c r="AJ213" s="191"/>
      <x:c r="AK213" s="191"/>
    </x:row>
    <x:row r="214">
      <x:c r="A214" s="191" t="n">
        <x:v>200</x:v>
      </x:c>
      <x:c r="B214" s="274"/>
      <x:c r="C214" s="275"/>
      <x:c r="D214" s="275"/>
      <x:c r="E214" s="275"/>
      <x:c r="F214" s="275"/>
      <x:c r="G214" s="272" t="str">
        <x:f>IF(C214="","",RANK.EQ(C214,$C$15:$C$264,1))</x:f>
      </x:c>
      <x:c r="H214" s="272" t="str">
        <x:f>IF(G214="","",IF(G214&lt;=$B$10,"TAIL",""))</x:f>
      </x:c>
      <x:c r="I214" s="254" t="str">
        <x:f>IF(C214="","",-C214)</x:f>
      </x:c>
      <x:c r="J214" s="191" t="str">
        <x:v>Enter scenario date and link final reval P&amp;L</x:v>
      </x:c>
      <x:c r="K214" s="191"/>
      <x:c r="L214" s="191"/>
      <x:c r="M214" s="191"/>
      <x:c r="N214" s="191"/>
      <x:c r="O214" s="191"/>
      <x:c r="P214" s="191"/>
      <x:c r="Q214" s="191"/>
      <x:c r="R214" s="191"/>
      <x:c r="S214" s="191"/>
      <x:c r="T214" s="191"/>
      <x:c r="U214" s="191"/>
      <x:c r="V214" s="191"/>
      <x:c r="W214" s="191"/>
      <x:c r="X214" s="191"/>
      <x:c r="Y214" s="191"/>
      <x:c r="Z214" s="191"/>
      <x:c r="AA214" s="191"/>
      <x:c r="AB214" s="191"/>
      <x:c r="AC214" s="191"/>
      <x:c r="AD214" s="191"/>
      <x:c r="AE214" s="191"/>
      <x:c r="AF214" s="191"/>
      <x:c r="AG214" s="191"/>
      <x:c r="AH214" s="191"/>
      <x:c r="AI214" s="191"/>
      <x:c r="AJ214" s="191"/>
      <x:c r="AK214" s="191"/>
    </x:row>
    <x:row r="215">
      <x:c r="A215" s="191" t="n">
        <x:v>201</x:v>
      </x:c>
      <x:c r="B215" s="274"/>
      <x:c r="C215" s="275"/>
      <x:c r="D215" s="275"/>
      <x:c r="E215" s="275"/>
      <x:c r="F215" s="275"/>
      <x:c r="G215" s="272" t="str">
        <x:f>IF(C215="","",RANK.EQ(C215,$C$15:$C$264,1))</x:f>
      </x:c>
      <x:c r="H215" s="272" t="str">
        <x:f>IF(G215="","",IF(G215&lt;=$B$10,"TAIL",""))</x:f>
      </x:c>
      <x:c r="I215" s="254" t="str">
        <x:f>IF(C215="","",-C215)</x:f>
      </x:c>
      <x:c r="J215" s="191" t="str">
        <x:v>Enter scenario date and link final reval P&amp;L</x:v>
      </x:c>
      <x:c r="K215" s="191"/>
      <x:c r="L215" s="191"/>
      <x:c r="M215" s="191"/>
      <x:c r="N215" s="191"/>
      <x:c r="O215" s="191"/>
      <x:c r="P215" s="191"/>
      <x:c r="Q215" s="191"/>
      <x:c r="R215" s="191"/>
      <x:c r="S215" s="191"/>
      <x:c r="T215" s="191"/>
      <x:c r="U215" s="191"/>
      <x:c r="V215" s="191"/>
      <x:c r="W215" s="191"/>
      <x:c r="X215" s="191"/>
      <x:c r="Y215" s="191"/>
      <x:c r="Z215" s="191"/>
      <x:c r="AA215" s="191"/>
      <x:c r="AB215" s="191"/>
      <x:c r="AC215" s="191"/>
      <x:c r="AD215" s="191"/>
      <x:c r="AE215" s="191"/>
      <x:c r="AF215" s="191"/>
      <x:c r="AG215" s="191"/>
      <x:c r="AH215" s="191"/>
      <x:c r="AI215" s="191"/>
      <x:c r="AJ215" s="191"/>
      <x:c r="AK215" s="191"/>
    </x:row>
    <x:row r="216">
      <x:c r="A216" s="191" t="n">
        <x:v>202</x:v>
      </x:c>
      <x:c r="B216" s="274"/>
      <x:c r="C216" s="275"/>
      <x:c r="D216" s="275"/>
      <x:c r="E216" s="275"/>
      <x:c r="F216" s="275"/>
      <x:c r="G216" s="272" t="str">
        <x:f>IF(C216="","",RANK.EQ(C216,$C$15:$C$264,1))</x:f>
      </x:c>
      <x:c r="H216" s="272" t="str">
        <x:f>IF(G216="","",IF(G216&lt;=$B$10,"TAIL",""))</x:f>
      </x:c>
      <x:c r="I216" s="254" t="str">
        <x:f>IF(C216="","",-C216)</x:f>
      </x:c>
      <x:c r="J216" s="191" t="str">
        <x:v>Enter scenario date and link final reval P&amp;L</x:v>
      </x:c>
      <x:c r="K216" s="191"/>
      <x:c r="L216" s="191"/>
      <x:c r="M216" s="191"/>
      <x:c r="N216" s="191"/>
      <x:c r="O216" s="191"/>
      <x:c r="P216" s="191"/>
      <x:c r="Q216" s="191"/>
      <x:c r="R216" s="191"/>
      <x:c r="S216" s="191"/>
      <x:c r="T216" s="191"/>
      <x:c r="U216" s="191"/>
      <x:c r="V216" s="191"/>
      <x:c r="W216" s="191"/>
      <x:c r="X216" s="191"/>
      <x:c r="Y216" s="191"/>
      <x:c r="Z216" s="191"/>
      <x:c r="AA216" s="191"/>
      <x:c r="AB216" s="191"/>
      <x:c r="AC216" s="191"/>
      <x:c r="AD216" s="191"/>
      <x:c r="AE216" s="191"/>
      <x:c r="AF216" s="191"/>
      <x:c r="AG216" s="191"/>
      <x:c r="AH216" s="191"/>
      <x:c r="AI216" s="191"/>
      <x:c r="AJ216" s="191"/>
      <x:c r="AK216" s="191"/>
    </x:row>
    <x:row r="217">
      <x:c r="A217" s="191" t="n">
        <x:v>203</x:v>
      </x:c>
      <x:c r="B217" s="274"/>
      <x:c r="C217" s="275"/>
      <x:c r="D217" s="275"/>
      <x:c r="E217" s="275"/>
      <x:c r="F217" s="275"/>
      <x:c r="G217" s="272" t="str">
        <x:f>IF(C217="","",RANK.EQ(C217,$C$15:$C$264,1))</x:f>
      </x:c>
      <x:c r="H217" s="272" t="str">
        <x:f>IF(G217="","",IF(G217&lt;=$B$10,"TAIL",""))</x:f>
      </x:c>
      <x:c r="I217" s="254" t="str">
        <x:f>IF(C217="","",-C217)</x:f>
      </x:c>
      <x:c r="J217" s="191" t="str">
        <x:v>Enter scenario date and link final reval P&amp;L</x:v>
      </x:c>
      <x:c r="K217" s="191"/>
      <x:c r="L217" s="191"/>
      <x:c r="M217" s="191"/>
      <x:c r="N217" s="191"/>
      <x:c r="O217" s="191"/>
      <x:c r="P217" s="191"/>
      <x:c r="Q217" s="191"/>
      <x:c r="R217" s="191"/>
      <x:c r="S217" s="191"/>
      <x:c r="T217" s="191"/>
      <x:c r="U217" s="191"/>
      <x:c r="V217" s="191"/>
      <x:c r="W217" s="191"/>
      <x:c r="X217" s="191"/>
      <x:c r="Y217" s="191"/>
      <x:c r="Z217" s="191"/>
      <x:c r="AA217" s="191"/>
      <x:c r="AB217" s="191"/>
      <x:c r="AC217" s="191"/>
      <x:c r="AD217" s="191"/>
      <x:c r="AE217" s="191"/>
      <x:c r="AF217" s="191"/>
      <x:c r="AG217" s="191"/>
      <x:c r="AH217" s="191"/>
      <x:c r="AI217" s="191"/>
      <x:c r="AJ217" s="191"/>
      <x:c r="AK217" s="191"/>
    </x:row>
    <x:row r="218">
      <x:c r="A218" s="191" t="n">
        <x:v>204</x:v>
      </x:c>
      <x:c r="B218" s="274"/>
      <x:c r="C218" s="275"/>
      <x:c r="D218" s="275"/>
      <x:c r="E218" s="275"/>
      <x:c r="F218" s="275"/>
      <x:c r="G218" s="272" t="str">
        <x:f>IF(C218="","",RANK.EQ(C218,$C$15:$C$264,1))</x:f>
      </x:c>
      <x:c r="H218" s="272" t="str">
        <x:f>IF(G218="","",IF(G218&lt;=$B$10,"TAIL",""))</x:f>
      </x:c>
      <x:c r="I218" s="254" t="str">
        <x:f>IF(C218="","",-C218)</x:f>
      </x:c>
      <x:c r="J218" s="191" t="str">
        <x:v>Enter scenario date and link final reval P&amp;L</x:v>
      </x:c>
      <x:c r="K218" s="191"/>
      <x:c r="L218" s="191"/>
      <x:c r="M218" s="191"/>
      <x:c r="N218" s="191"/>
      <x:c r="O218" s="191"/>
      <x:c r="P218" s="191"/>
      <x:c r="Q218" s="191"/>
      <x:c r="R218" s="191"/>
      <x:c r="S218" s="191"/>
      <x:c r="T218" s="191"/>
      <x:c r="U218" s="191"/>
      <x:c r="V218" s="191"/>
      <x:c r="W218" s="191"/>
      <x:c r="X218" s="191"/>
      <x:c r="Y218" s="191"/>
      <x:c r="Z218" s="191"/>
      <x:c r="AA218" s="191"/>
      <x:c r="AB218" s="191"/>
      <x:c r="AC218" s="191"/>
      <x:c r="AD218" s="191"/>
      <x:c r="AE218" s="191"/>
      <x:c r="AF218" s="191"/>
      <x:c r="AG218" s="191"/>
      <x:c r="AH218" s="191"/>
      <x:c r="AI218" s="191"/>
      <x:c r="AJ218" s="191"/>
      <x:c r="AK218" s="191"/>
    </x:row>
    <x:row r="219">
      <x:c r="A219" s="191" t="n">
        <x:v>205</x:v>
      </x:c>
      <x:c r="B219" s="274"/>
      <x:c r="C219" s="275"/>
      <x:c r="D219" s="275"/>
      <x:c r="E219" s="275"/>
      <x:c r="F219" s="275"/>
      <x:c r="G219" s="272" t="str">
        <x:f>IF(C219="","",RANK.EQ(C219,$C$15:$C$264,1))</x:f>
      </x:c>
      <x:c r="H219" s="272" t="str">
        <x:f>IF(G219="","",IF(G219&lt;=$B$10,"TAIL",""))</x:f>
      </x:c>
      <x:c r="I219" s="254" t="str">
        <x:f>IF(C219="","",-C219)</x:f>
      </x:c>
      <x:c r="J219" s="191" t="str">
        <x:v>Enter scenario date and link final reval P&amp;L</x:v>
      </x:c>
      <x:c r="K219" s="191"/>
      <x:c r="L219" s="191"/>
      <x:c r="M219" s="191"/>
      <x:c r="N219" s="191"/>
      <x:c r="O219" s="191"/>
      <x:c r="P219" s="191"/>
      <x:c r="Q219" s="191"/>
      <x:c r="R219" s="191"/>
      <x:c r="S219" s="191"/>
      <x:c r="T219" s="191"/>
      <x:c r="U219" s="191"/>
      <x:c r="V219" s="191"/>
      <x:c r="W219" s="191"/>
      <x:c r="X219" s="191"/>
      <x:c r="Y219" s="191"/>
      <x:c r="Z219" s="191"/>
      <x:c r="AA219" s="191"/>
      <x:c r="AB219" s="191"/>
      <x:c r="AC219" s="191"/>
      <x:c r="AD219" s="191"/>
      <x:c r="AE219" s="191"/>
      <x:c r="AF219" s="191"/>
      <x:c r="AG219" s="191"/>
      <x:c r="AH219" s="191"/>
      <x:c r="AI219" s="191"/>
      <x:c r="AJ219" s="191"/>
      <x:c r="AK219" s="191"/>
    </x:row>
    <x:row r="220">
      <x:c r="A220" s="191" t="n">
        <x:v>206</x:v>
      </x:c>
      <x:c r="B220" s="274"/>
      <x:c r="C220" s="275"/>
      <x:c r="D220" s="275"/>
      <x:c r="E220" s="275"/>
      <x:c r="F220" s="275"/>
      <x:c r="G220" s="272" t="str">
        <x:f>IF(C220="","",RANK.EQ(C220,$C$15:$C$264,1))</x:f>
      </x:c>
      <x:c r="H220" s="272" t="str">
        <x:f>IF(G220="","",IF(G220&lt;=$B$10,"TAIL",""))</x:f>
      </x:c>
      <x:c r="I220" s="254" t="str">
        <x:f>IF(C220="","",-C220)</x:f>
      </x:c>
      <x:c r="J220" s="191" t="str">
        <x:v>Enter scenario date and link final reval P&amp;L</x:v>
      </x:c>
      <x:c r="K220" s="191"/>
      <x:c r="L220" s="191"/>
      <x:c r="M220" s="191"/>
      <x:c r="N220" s="191"/>
      <x:c r="O220" s="191"/>
      <x:c r="P220" s="191"/>
      <x:c r="Q220" s="191"/>
      <x:c r="R220" s="191"/>
      <x:c r="S220" s="191"/>
      <x:c r="T220" s="191"/>
      <x:c r="U220" s="191"/>
      <x:c r="V220" s="191"/>
      <x:c r="W220" s="191"/>
      <x:c r="X220" s="191"/>
      <x:c r="Y220" s="191"/>
      <x:c r="Z220" s="191"/>
      <x:c r="AA220" s="191"/>
      <x:c r="AB220" s="191"/>
      <x:c r="AC220" s="191"/>
      <x:c r="AD220" s="191"/>
      <x:c r="AE220" s="191"/>
      <x:c r="AF220" s="191"/>
      <x:c r="AG220" s="191"/>
      <x:c r="AH220" s="191"/>
      <x:c r="AI220" s="191"/>
      <x:c r="AJ220" s="191"/>
      <x:c r="AK220" s="191"/>
    </x:row>
    <x:row r="221">
      <x:c r="A221" s="191" t="n">
        <x:v>207</x:v>
      </x:c>
      <x:c r="B221" s="274"/>
      <x:c r="C221" s="275"/>
      <x:c r="D221" s="275"/>
      <x:c r="E221" s="275"/>
      <x:c r="F221" s="275"/>
      <x:c r="G221" s="272" t="str">
        <x:f>IF(C221="","",RANK.EQ(C221,$C$15:$C$264,1))</x:f>
      </x:c>
      <x:c r="H221" s="272" t="str">
        <x:f>IF(G221="","",IF(G221&lt;=$B$10,"TAIL",""))</x:f>
      </x:c>
      <x:c r="I221" s="254" t="str">
        <x:f>IF(C221="","",-C221)</x:f>
      </x:c>
      <x:c r="J221" s="191" t="str">
        <x:v>Enter scenario date and link final reval P&amp;L</x:v>
      </x:c>
      <x:c r="K221" s="191"/>
      <x:c r="L221" s="191"/>
      <x:c r="M221" s="191"/>
      <x:c r="N221" s="191"/>
      <x:c r="O221" s="191"/>
      <x:c r="P221" s="191"/>
      <x:c r="Q221" s="191"/>
      <x:c r="R221" s="191"/>
      <x:c r="S221" s="191"/>
      <x:c r="T221" s="191"/>
      <x:c r="U221" s="191"/>
      <x:c r="V221" s="191"/>
      <x:c r="W221" s="191"/>
      <x:c r="X221" s="191"/>
      <x:c r="Y221" s="191"/>
      <x:c r="Z221" s="191"/>
      <x:c r="AA221" s="191"/>
      <x:c r="AB221" s="191"/>
      <x:c r="AC221" s="191"/>
      <x:c r="AD221" s="191"/>
      <x:c r="AE221" s="191"/>
      <x:c r="AF221" s="191"/>
      <x:c r="AG221" s="191"/>
      <x:c r="AH221" s="191"/>
      <x:c r="AI221" s="191"/>
      <x:c r="AJ221" s="191"/>
      <x:c r="AK221" s="191"/>
    </x:row>
    <x:row r="222">
      <x:c r="A222" s="191" t="n">
        <x:v>208</x:v>
      </x:c>
      <x:c r="B222" s="274"/>
      <x:c r="C222" s="275"/>
      <x:c r="D222" s="275"/>
      <x:c r="E222" s="275"/>
      <x:c r="F222" s="275"/>
      <x:c r="G222" s="272" t="str">
        <x:f>IF(C222="","",RANK.EQ(C222,$C$15:$C$264,1))</x:f>
      </x:c>
      <x:c r="H222" s="272" t="str">
        <x:f>IF(G222="","",IF(G222&lt;=$B$10,"TAIL",""))</x:f>
      </x:c>
      <x:c r="I222" s="254" t="str">
        <x:f>IF(C222="","",-C222)</x:f>
      </x:c>
      <x:c r="J222" s="191" t="str">
        <x:v>Enter scenario date and link final reval P&amp;L</x:v>
      </x:c>
      <x:c r="K222" s="191"/>
      <x:c r="L222" s="191"/>
      <x:c r="M222" s="191"/>
      <x:c r="N222" s="191"/>
      <x:c r="O222" s="191"/>
      <x:c r="P222" s="191"/>
      <x:c r="Q222" s="191"/>
      <x:c r="R222" s="191"/>
      <x:c r="S222" s="191"/>
      <x:c r="T222" s="191"/>
      <x:c r="U222" s="191"/>
      <x:c r="V222" s="191"/>
      <x:c r="W222" s="191"/>
      <x:c r="X222" s="191"/>
      <x:c r="Y222" s="191"/>
      <x:c r="Z222" s="191"/>
      <x:c r="AA222" s="191"/>
      <x:c r="AB222" s="191"/>
      <x:c r="AC222" s="191"/>
      <x:c r="AD222" s="191"/>
      <x:c r="AE222" s="191"/>
      <x:c r="AF222" s="191"/>
      <x:c r="AG222" s="191"/>
      <x:c r="AH222" s="191"/>
      <x:c r="AI222" s="191"/>
      <x:c r="AJ222" s="191"/>
      <x:c r="AK222" s="191"/>
    </x:row>
    <x:row r="223">
      <x:c r="A223" s="191" t="n">
        <x:v>209</x:v>
      </x:c>
      <x:c r="B223" s="274"/>
      <x:c r="C223" s="275"/>
      <x:c r="D223" s="275"/>
      <x:c r="E223" s="275"/>
      <x:c r="F223" s="275"/>
      <x:c r="G223" s="272" t="str">
        <x:f>IF(C223="","",RANK.EQ(C223,$C$15:$C$264,1))</x:f>
      </x:c>
      <x:c r="H223" s="272" t="str">
        <x:f>IF(G223="","",IF(G223&lt;=$B$10,"TAIL",""))</x:f>
      </x:c>
      <x:c r="I223" s="254" t="str">
        <x:f>IF(C223="","",-C223)</x:f>
      </x:c>
      <x:c r="J223" s="191" t="str">
        <x:v>Enter scenario date and link final reval P&amp;L</x:v>
      </x:c>
      <x:c r="K223" s="191"/>
      <x:c r="L223" s="191"/>
      <x:c r="M223" s="191"/>
      <x:c r="N223" s="191"/>
      <x:c r="O223" s="191"/>
      <x:c r="P223" s="191"/>
      <x:c r="Q223" s="191"/>
      <x:c r="R223" s="191"/>
      <x:c r="S223" s="191"/>
      <x:c r="T223" s="191"/>
      <x:c r="U223" s="191"/>
      <x:c r="V223" s="191"/>
      <x:c r="W223" s="191"/>
      <x:c r="X223" s="191"/>
      <x:c r="Y223" s="191"/>
      <x:c r="Z223" s="191"/>
      <x:c r="AA223" s="191"/>
      <x:c r="AB223" s="191"/>
      <x:c r="AC223" s="191"/>
      <x:c r="AD223" s="191"/>
      <x:c r="AE223" s="191"/>
      <x:c r="AF223" s="191"/>
      <x:c r="AG223" s="191"/>
      <x:c r="AH223" s="191"/>
      <x:c r="AI223" s="191"/>
      <x:c r="AJ223" s="191"/>
      <x:c r="AK223" s="191"/>
    </x:row>
    <x:row r="224">
      <x:c r="A224" s="191" t="n">
        <x:v>210</x:v>
      </x:c>
      <x:c r="B224" s="274"/>
      <x:c r="C224" s="275"/>
      <x:c r="D224" s="275"/>
      <x:c r="E224" s="275"/>
      <x:c r="F224" s="275"/>
      <x:c r="G224" s="272" t="str">
        <x:f>IF(C224="","",RANK.EQ(C224,$C$15:$C$264,1))</x:f>
      </x:c>
      <x:c r="H224" s="272" t="str">
        <x:f>IF(G224="","",IF(G224&lt;=$B$10,"TAIL",""))</x:f>
      </x:c>
      <x:c r="I224" s="254" t="str">
        <x:f>IF(C224="","",-C224)</x:f>
      </x:c>
      <x:c r="J224" s="191" t="str">
        <x:v>Enter scenario date and link final reval P&amp;L</x:v>
      </x:c>
      <x:c r="K224" s="191"/>
      <x:c r="L224" s="191"/>
      <x:c r="M224" s="191"/>
      <x:c r="N224" s="191"/>
      <x:c r="O224" s="191"/>
      <x:c r="P224" s="191"/>
      <x:c r="Q224" s="191"/>
      <x:c r="R224" s="191"/>
      <x:c r="S224" s="191"/>
      <x:c r="T224" s="191"/>
      <x:c r="U224" s="191"/>
      <x:c r="V224" s="191"/>
      <x:c r="W224" s="191"/>
      <x:c r="X224" s="191"/>
      <x:c r="Y224" s="191"/>
      <x:c r="Z224" s="191"/>
      <x:c r="AA224" s="191"/>
      <x:c r="AB224" s="191"/>
      <x:c r="AC224" s="191"/>
      <x:c r="AD224" s="191"/>
      <x:c r="AE224" s="191"/>
      <x:c r="AF224" s="191"/>
      <x:c r="AG224" s="191"/>
      <x:c r="AH224" s="191"/>
      <x:c r="AI224" s="191"/>
      <x:c r="AJ224" s="191"/>
      <x:c r="AK224" s="191"/>
    </x:row>
    <x:row r="225">
      <x:c r="A225" s="191" t="n">
        <x:v>211</x:v>
      </x:c>
      <x:c r="B225" s="274"/>
      <x:c r="C225" s="275"/>
      <x:c r="D225" s="275"/>
      <x:c r="E225" s="275"/>
      <x:c r="F225" s="275"/>
      <x:c r="G225" s="272" t="str">
        <x:f>IF(C225="","",RANK.EQ(C225,$C$15:$C$264,1))</x:f>
      </x:c>
      <x:c r="H225" s="272" t="str">
        <x:f>IF(G225="","",IF(G225&lt;=$B$10,"TAIL",""))</x:f>
      </x:c>
      <x:c r="I225" s="254" t="str">
        <x:f>IF(C225="","",-C225)</x:f>
      </x:c>
      <x:c r="J225" s="191" t="str">
        <x:v>Enter scenario date and link final reval P&amp;L</x:v>
      </x:c>
      <x:c r="K225" s="191"/>
      <x:c r="L225" s="191"/>
      <x:c r="M225" s="191"/>
      <x:c r="N225" s="191"/>
      <x:c r="O225" s="191"/>
      <x:c r="P225" s="191"/>
      <x:c r="Q225" s="191"/>
      <x:c r="R225" s="191"/>
      <x:c r="S225" s="191"/>
      <x:c r="T225" s="191"/>
      <x:c r="U225" s="191"/>
      <x:c r="V225" s="191"/>
      <x:c r="W225" s="191"/>
      <x:c r="X225" s="191"/>
      <x:c r="Y225" s="191"/>
      <x:c r="Z225" s="191"/>
      <x:c r="AA225" s="191"/>
      <x:c r="AB225" s="191"/>
      <x:c r="AC225" s="191"/>
      <x:c r="AD225" s="191"/>
      <x:c r="AE225" s="191"/>
      <x:c r="AF225" s="191"/>
      <x:c r="AG225" s="191"/>
      <x:c r="AH225" s="191"/>
      <x:c r="AI225" s="191"/>
      <x:c r="AJ225" s="191"/>
      <x:c r="AK225" s="191"/>
    </x:row>
    <x:row r="226">
      <x:c r="A226" s="191" t="n">
        <x:v>212</x:v>
      </x:c>
      <x:c r="B226" s="274"/>
      <x:c r="C226" s="275"/>
      <x:c r="D226" s="275"/>
      <x:c r="E226" s="275"/>
      <x:c r="F226" s="275"/>
      <x:c r="G226" s="272" t="str">
        <x:f>IF(C226="","",RANK.EQ(C226,$C$15:$C$264,1))</x:f>
      </x:c>
      <x:c r="H226" s="272" t="str">
        <x:f>IF(G226="","",IF(G226&lt;=$B$10,"TAIL",""))</x:f>
      </x:c>
      <x:c r="I226" s="254" t="str">
        <x:f>IF(C226="","",-C226)</x:f>
      </x:c>
      <x:c r="J226" s="191" t="str">
        <x:v>Enter scenario date and link final reval P&amp;L</x:v>
      </x:c>
      <x:c r="K226" s="191"/>
      <x:c r="L226" s="191"/>
      <x:c r="M226" s="191"/>
      <x:c r="N226" s="191"/>
      <x:c r="O226" s="191"/>
      <x:c r="P226" s="191"/>
      <x:c r="Q226" s="191"/>
      <x:c r="R226" s="191"/>
      <x:c r="S226" s="191"/>
      <x:c r="T226" s="191"/>
      <x:c r="U226" s="191"/>
      <x:c r="V226" s="191"/>
      <x:c r="W226" s="191"/>
      <x:c r="X226" s="191"/>
      <x:c r="Y226" s="191"/>
      <x:c r="Z226" s="191"/>
      <x:c r="AA226" s="191"/>
      <x:c r="AB226" s="191"/>
      <x:c r="AC226" s="191"/>
      <x:c r="AD226" s="191"/>
      <x:c r="AE226" s="191"/>
      <x:c r="AF226" s="191"/>
      <x:c r="AG226" s="191"/>
      <x:c r="AH226" s="191"/>
      <x:c r="AI226" s="191"/>
      <x:c r="AJ226" s="191"/>
      <x:c r="AK226" s="191"/>
    </x:row>
    <x:row r="227">
      <x:c r="A227" s="191" t="n">
        <x:v>213</x:v>
      </x:c>
      <x:c r="B227" s="274"/>
      <x:c r="C227" s="275"/>
      <x:c r="D227" s="275"/>
      <x:c r="E227" s="275"/>
      <x:c r="F227" s="275"/>
      <x:c r="G227" s="272" t="str">
        <x:f>IF(C227="","",RANK.EQ(C227,$C$15:$C$264,1))</x:f>
      </x:c>
      <x:c r="H227" s="272" t="str">
        <x:f>IF(G227="","",IF(G227&lt;=$B$10,"TAIL",""))</x:f>
      </x:c>
      <x:c r="I227" s="254" t="str">
        <x:f>IF(C227="","",-C227)</x:f>
      </x:c>
      <x:c r="J227" s="191" t="str">
        <x:v>Enter scenario date and link final reval P&amp;L</x:v>
      </x:c>
      <x:c r="K227" s="191"/>
      <x:c r="L227" s="191"/>
      <x:c r="M227" s="191"/>
      <x:c r="N227" s="191"/>
      <x:c r="O227" s="191"/>
      <x:c r="P227" s="191"/>
      <x:c r="Q227" s="191"/>
      <x:c r="R227" s="191"/>
      <x:c r="S227" s="191"/>
      <x:c r="T227" s="191"/>
      <x:c r="U227" s="191"/>
      <x:c r="V227" s="191"/>
      <x:c r="W227" s="191"/>
      <x:c r="X227" s="191"/>
      <x:c r="Y227" s="191"/>
      <x:c r="Z227" s="191"/>
      <x:c r="AA227" s="191"/>
      <x:c r="AB227" s="191"/>
      <x:c r="AC227" s="191"/>
      <x:c r="AD227" s="191"/>
      <x:c r="AE227" s="191"/>
      <x:c r="AF227" s="191"/>
      <x:c r="AG227" s="191"/>
      <x:c r="AH227" s="191"/>
      <x:c r="AI227" s="191"/>
      <x:c r="AJ227" s="191"/>
      <x:c r="AK227" s="191"/>
    </x:row>
    <x:row r="228">
      <x:c r="A228" s="191" t="n">
        <x:v>214</x:v>
      </x:c>
      <x:c r="B228" s="274"/>
      <x:c r="C228" s="275"/>
      <x:c r="D228" s="275"/>
      <x:c r="E228" s="275"/>
      <x:c r="F228" s="275"/>
      <x:c r="G228" s="272" t="str">
        <x:f>IF(C228="","",RANK.EQ(C228,$C$15:$C$264,1))</x:f>
      </x:c>
      <x:c r="H228" s="272" t="str">
        <x:f>IF(G228="","",IF(G228&lt;=$B$10,"TAIL",""))</x:f>
      </x:c>
      <x:c r="I228" s="254" t="str">
        <x:f>IF(C228="","",-C228)</x:f>
      </x:c>
      <x:c r="J228" s="191" t="str">
        <x:v>Enter scenario date and link final reval P&amp;L</x:v>
      </x:c>
      <x:c r="K228" s="191"/>
      <x:c r="L228" s="191"/>
      <x:c r="M228" s="191"/>
      <x:c r="N228" s="191"/>
      <x:c r="O228" s="191"/>
      <x:c r="P228" s="191"/>
      <x:c r="Q228" s="191"/>
      <x:c r="R228" s="191"/>
      <x:c r="S228" s="191"/>
      <x:c r="T228" s="191"/>
      <x:c r="U228" s="191"/>
      <x:c r="V228" s="191"/>
      <x:c r="W228" s="191"/>
      <x:c r="X228" s="191"/>
      <x:c r="Y228" s="191"/>
      <x:c r="Z228" s="191"/>
      <x:c r="AA228" s="191"/>
      <x:c r="AB228" s="191"/>
      <x:c r="AC228" s="191"/>
      <x:c r="AD228" s="191"/>
      <x:c r="AE228" s="191"/>
      <x:c r="AF228" s="191"/>
      <x:c r="AG228" s="191"/>
      <x:c r="AH228" s="191"/>
      <x:c r="AI228" s="191"/>
      <x:c r="AJ228" s="191"/>
      <x:c r="AK228" s="191"/>
    </x:row>
    <x:row r="229">
      <x:c r="A229" s="191" t="n">
        <x:v>215</x:v>
      </x:c>
      <x:c r="B229" s="274"/>
      <x:c r="C229" s="275"/>
      <x:c r="D229" s="275"/>
      <x:c r="E229" s="275"/>
      <x:c r="F229" s="275"/>
      <x:c r="G229" s="272" t="str">
        <x:f>IF(C229="","",RANK.EQ(C229,$C$15:$C$264,1))</x:f>
      </x:c>
      <x:c r="H229" s="272" t="str">
        <x:f>IF(G229="","",IF(G229&lt;=$B$10,"TAIL",""))</x:f>
      </x:c>
      <x:c r="I229" s="254" t="str">
        <x:f>IF(C229="","",-C229)</x:f>
      </x:c>
      <x:c r="J229" s="191" t="str">
        <x:v>Enter scenario date and link final reval P&amp;L</x:v>
      </x:c>
      <x:c r="K229" s="191"/>
      <x:c r="L229" s="191"/>
      <x:c r="M229" s="191"/>
      <x:c r="N229" s="191"/>
      <x:c r="O229" s="191"/>
      <x:c r="P229" s="191"/>
      <x:c r="Q229" s="191"/>
      <x:c r="R229" s="191"/>
      <x:c r="S229" s="191"/>
      <x:c r="T229" s="191"/>
      <x:c r="U229" s="191"/>
      <x:c r="V229" s="191"/>
      <x:c r="W229" s="191"/>
      <x:c r="X229" s="191"/>
      <x:c r="Y229" s="191"/>
      <x:c r="Z229" s="191"/>
      <x:c r="AA229" s="191"/>
      <x:c r="AB229" s="191"/>
      <x:c r="AC229" s="191"/>
      <x:c r="AD229" s="191"/>
      <x:c r="AE229" s="191"/>
      <x:c r="AF229" s="191"/>
      <x:c r="AG229" s="191"/>
      <x:c r="AH229" s="191"/>
      <x:c r="AI229" s="191"/>
      <x:c r="AJ229" s="191"/>
      <x:c r="AK229" s="191"/>
    </x:row>
    <x:row r="230">
      <x:c r="A230" s="191" t="n">
        <x:v>216</x:v>
      </x:c>
      <x:c r="B230" s="274"/>
      <x:c r="C230" s="275"/>
      <x:c r="D230" s="275"/>
      <x:c r="E230" s="275"/>
      <x:c r="F230" s="275"/>
      <x:c r="G230" s="272" t="str">
        <x:f>IF(C230="","",RANK.EQ(C230,$C$15:$C$264,1))</x:f>
      </x:c>
      <x:c r="H230" s="272" t="str">
        <x:f>IF(G230="","",IF(G230&lt;=$B$10,"TAIL",""))</x:f>
      </x:c>
      <x:c r="I230" s="254" t="str">
        <x:f>IF(C230="","",-C230)</x:f>
      </x:c>
      <x:c r="J230" s="191" t="str">
        <x:v>Enter scenario date and link final reval P&amp;L</x:v>
      </x:c>
      <x:c r="K230" s="191"/>
      <x:c r="L230" s="191"/>
      <x:c r="M230" s="191"/>
      <x:c r="N230" s="191"/>
      <x:c r="O230" s="191"/>
      <x:c r="P230" s="191"/>
      <x:c r="Q230" s="191"/>
      <x:c r="R230" s="191"/>
      <x:c r="S230" s="191"/>
      <x:c r="T230" s="191"/>
      <x:c r="U230" s="191"/>
      <x:c r="V230" s="191"/>
      <x:c r="W230" s="191"/>
      <x:c r="X230" s="191"/>
      <x:c r="Y230" s="191"/>
      <x:c r="Z230" s="191"/>
      <x:c r="AA230" s="191"/>
      <x:c r="AB230" s="191"/>
      <x:c r="AC230" s="191"/>
      <x:c r="AD230" s="191"/>
      <x:c r="AE230" s="191"/>
      <x:c r="AF230" s="191"/>
      <x:c r="AG230" s="191"/>
      <x:c r="AH230" s="191"/>
      <x:c r="AI230" s="191"/>
      <x:c r="AJ230" s="191"/>
      <x:c r="AK230" s="191"/>
    </x:row>
    <x:row r="231">
      <x:c r="A231" s="191" t="n">
        <x:v>217</x:v>
      </x:c>
      <x:c r="B231" s="274"/>
      <x:c r="C231" s="275"/>
      <x:c r="D231" s="275"/>
      <x:c r="E231" s="275"/>
      <x:c r="F231" s="275"/>
      <x:c r="G231" s="272" t="str">
        <x:f>IF(C231="","",RANK.EQ(C231,$C$15:$C$264,1))</x:f>
      </x:c>
      <x:c r="H231" s="272" t="str">
        <x:f>IF(G231="","",IF(G231&lt;=$B$10,"TAIL",""))</x:f>
      </x:c>
      <x:c r="I231" s="254" t="str">
        <x:f>IF(C231="","",-C231)</x:f>
      </x:c>
      <x:c r="J231" s="191" t="str">
        <x:v>Enter scenario date and link final reval P&amp;L</x:v>
      </x:c>
      <x:c r="K231" s="191"/>
      <x:c r="L231" s="191"/>
      <x:c r="M231" s="191"/>
      <x:c r="N231" s="191"/>
      <x:c r="O231" s="191"/>
      <x:c r="P231" s="191"/>
      <x:c r="Q231" s="191"/>
      <x:c r="R231" s="191"/>
      <x:c r="S231" s="191"/>
      <x:c r="T231" s="191"/>
      <x:c r="U231" s="191"/>
      <x:c r="V231" s="191"/>
      <x:c r="W231" s="191"/>
      <x:c r="X231" s="191"/>
      <x:c r="Y231" s="191"/>
      <x:c r="Z231" s="191"/>
      <x:c r="AA231" s="191"/>
      <x:c r="AB231" s="191"/>
      <x:c r="AC231" s="191"/>
      <x:c r="AD231" s="191"/>
      <x:c r="AE231" s="191"/>
      <x:c r="AF231" s="191"/>
      <x:c r="AG231" s="191"/>
      <x:c r="AH231" s="191"/>
      <x:c r="AI231" s="191"/>
      <x:c r="AJ231" s="191"/>
      <x:c r="AK231" s="191"/>
    </x:row>
    <x:row r="232">
      <x:c r="A232" s="191" t="n">
        <x:v>218</x:v>
      </x:c>
      <x:c r="B232" s="274"/>
      <x:c r="C232" s="275"/>
      <x:c r="D232" s="275"/>
      <x:c r="E232" s="275"/>
      <x:c r="F232" s="275"/>
      <x:c r="G232" s="272" t="str">
        <x:f>IF(C232="","",RANK.EQ(C232,$C$15:$C$264,1))</x:f>
      </x:c>
      <x:c r="H232" s="272" t="str">
        <x:f>IF(G232="","",IF(G232&lt;=$B$10,"TAIL",""))</x:f>
      </x:c>
      <x:c r="I232" s="254" t="str">
        <x:f>IF(C232="","",-C232)</x:f>
      </x:c>
      <x:c r="J232" s="191" t="str">
        <x:v>Enter scenario date and link final reval P&amp;L</x:v>
      </x:c>
      <x:c r="K232" s="191"/>
      <x:c r="L232" s="191"/>
      <x:c r="M232" s="191"/>
      <x:c r="N232" s="191"/>
      <x:c r="O232" s="191"/>
      <x:c r="P232" s="191"/>
      <x:c r="Q232" s="191"/>
      <x:c r="R232" s="191"/>
      <x:c r="S232" s="191"/>
      <x:c r="T232" s="191"/>
      <x:c r="U232" s="191"/>
      <x:c r="V232" s="191"/>
      <x:c r="W232" s="191"/>
      <x:c r="X232" s="191"/>
      <x:c r="Y232" s="191"/>
      <x:c r="Z232" s="191"/>
      <x:c r="AA232" s="191"/>
      <x:c r="AB232" s="191"/>
      <x:c r="AC232" s="191"/>
      <x:c r="AD232" s="191"/>
      <x:c r="AE232" s="191"/>
      <x:c r="AF232" s="191"/>
      <x:c r="AG232" s="191"/>
      <x:c r="AH232" s="191"/>
      <x:c r="AI232" s="191"/>
      <x:c r="AJ232" s="191"/>
      <x:c r="AK232" s="191"/>
    </x:row>
    <x:row r="233">
      <x:c r="A233" s="191" t="n">
        <x:v>219</x:v>
      </x:c>
      <x:c r="B233" s="274"/>
      <x:c r="C233" s="275"/>
      <x:c r="D233" s="275"/>
      <x:c r="E233" s="275"/>
      <x:c r="F233" s="275"/>
      <x:c r="G233" s="272" t="str">
        <x:f>IF(C233="","",RANK.EQ(C233,$C$15:$C$264,1))</x:f>
      </x:c>
      <x:c r="H233" s="272" t="str">
        <x:f>IF(G233="","",IF(G233&lt;=$B$10,"TAIL",""))</x:f>
      </x:c>
      <x:c r="I233" s="254" t="str">
        <x:f>IF(C233="","",-C233)</x:f>
      </x:c>
      <x:c r="J233" s="191" t="str">
        <x:v>Enter scenario date and link final reval P&amp;L</x:v>
      </x:c>
      <x:c r="K233" s="191"/>
      <x:c r="L233" s="191"/>
      <x:c r="M233" s="191"/>
      <x:c r="N233" s="191"/>
      <x:c r="O233" s="191"/>
      <x:c r="P233" s="191"/>
      <x:c r="Q233" s="191"/>
      <x:c r="R233" s="191"/>
      <x:c r="S233" s="191"/>
      <x:c r="T233" s="191"/>
      <x:c r="U233" s="191"/>
      <x:c r="V233" s="191"/>
      <x:c r="W233" s="191"/>
      <x:c r="X233" s="191"/>
      <x:c r="Y233" s="191"/>
      <x:c r="Z233" s="191"/>
      <x:c r="AA233" s="191"/>
      <x:c r="AB233" s="191"/>
      <x:c r="AC233" s="191"/>
      <x:c r="AD233" s="191"/>
      <x:c r="AE233" s="191"/>
      <x:c r="AF233" s="191"/>
      <x:c r="AG233" s="191"/>
      <x:c r="AH233" s="191"/>
      <x:c r="AI233" s="191"/>
      <x:c r="AJ233" s="191"/>
      <x:c r="AK233" s="191"/>
    </x:row>
    <x:row r="234">
      <x:c r="A234" s="191" t="n">
        <x:v>220</x:v>
      </x:c>
      <x:c r="B234" s="274"/>
      <x:c r="C234" s="275"/>
      <x:c r="D234" s="275"/>
      <x:c r="E234" s="275"/>
      <x:c r="F234" s="275"/>
      <x:c r="G234" s="272" t="str">
        <x:f>IF(C234="","",RANK.EQ(C234,$C$15:$C$264,1))</x:f>
      </x:c>
      <x:c r="H234" s="272" t="str">
        <x:f>IF(G234="","",IF(G234&lt;=$B$10,"TAIL",""))</x:f>
      </x:c>
      <x:c r="I234" s="254" t="str">
        <x:f>IF(C234="","",-C234)</x:f>
      </x:c>
      <x:c r="J234" s="191" t="str">
        <x:v>Enter scenario date and link final reval P&amp;L</x:v>
      </x:c>
      <x:c r="K234" s="191"/>
      <x:c r="L234" s="191"/>
      <x:c r="M234" s="191"/>
      <x:c r="N234" s="191"/>
      <x:c r="O234" s="191"/>
      <x:c r="P234" s="191"/>
      <x:c r="Q234" s="191"/>
      <x:c r="R234" s="191"/>
      <x:c r="S234" s="191"/>
      <x:c r="T234" s="191"/>
      <x:c r="U234" s="191"/>
      <x:c r="V234" s="191"/>
      <x:c r="W234" s="191"/>
      <x:c r="X234" s="191"/>
      <x:c r="Y234" s="191"/>
      <x:c r="Z234" s="191"/>
      <x:c r="AA234" s="191"/>
      <x:c r="AB234" s="191"/>
      <x:c r="AC234" s="191"/>
      <x:c r="AD234" s="191"/>
      <x:c r="AE234" s="191"/>
      <x:c r="AF234" s="191"/>
      <x:c r="AG234" s="191"/>
      <x:c r="AH234" s="191"/>
      <x:c r="AI234" s="191"/>
      <x:c r="AJ234" s="191"/>
      <x:c r="AK234" s="191"/>
    </x:row>
    <x:row r="235">
      <x:c r="A235" s="191" t="n">
        <x:v>221</x:v>
      </x:c>
      <x:c r="B235" s="274"/>
      <x:c r="C235" s="275"/>
      <x:c r="D235" s="275"/>
      <x:c r="E235" s="275"/>
      <x:c r="F235" s="275"/>
      <x:c r="G235" s="272" t="str">
        <x:f>IF(C235="","",RANK.EQ(C235,$C$15:$C$264,1))</x:f>
      </x:c>
      <x:c r="H235" s="272" t="str">
        <x:f>IF(G235="","",IF(G235&lt;=$B$10,"TAIL",""))</x:f>
      </x:c>
      <x:c r="I235" s="254" t="str">
        <x:f>IF(C235="","",-C235)</x:f>
      </x:c>
      <x:c r="J235" s="191" t="str">
        <x:v>Enter scenario date and link final reval P&amp;L</x:v>
      </x:c>
      <x:c r="K235" s="191"/>
      <x:c r="L235" s="191"/>
      <x:c r="M235" s="191"/>
      <x:c r="N235" s="191"/>
      <x:c r="O235" s="191"/>
      <x:c r="P235" s="191"/>
      <x:c r="Q235" s="191"/>
      <x:c r="R235" s="191"/>
      <x:c r="S235" s="191"/>
      <x:c r="T235" s="191"/>
      <x:c r="U235" s="191"/>
      <x:c r="V235" s="191"/>
      <x:c r="W235" s="191"/>
      <x:c r="X235" s="191"/>
      <x:c r="Y235" s="191"/>
      <x:c r="Z235" s="191"/>
      <x:c r="AA235" s="191"/>
      <x:c r="AB235" s="191"/>
      <x:c r="AC235" s="191"/>
      <x:c r="AD235" s="191"/>
      <x:c r="AE235" s="191"/>
      <x:c r="AF235" s="191"/>
      <x:c r="AG235" s="191"/>
      <x:c r="AH235" s="191"/>
      <x:c r="AI235" s="191"/>
      <x:c r="AJ235" s="191"/>
      <x:c r="AK235" s="191"/>
    </x:row>
    <x:row r="236">
      <x:c r="A236" s="191" t="n">
        <x:v>222</x:v>
      </x:c>
      <x:c r="B236" s="274"/>
      <x:c r="C236" s="275"/>
      <x:c r="D236" s="275"/>
      <x:c r="E236" s="275"/>
      <x:c r="F236" s="275"/>
      <x:c r="G236" s="272" t="str">
        <x:f>IF(C236="","",RANK.EQ(C236,$C$15:$C$264,1))</x:f>
      </x:c>
      <x:c r="H236" s="272" t="str">
        <x:f>IF(G236="","",IF(G236&lt;=$B$10,"TAIL",""))</x:f>
      </x:c>
      <x:c r="I236" s="254" t="str">
        <x:f>IF(C236="","",-C236)</x:f>
      </x:c>
      <x:c r="J236" s="191" t="str">
        <x:v>Enter scenario date and link final reval P&amp;L</x:v>
      </x:c>
      <x:c r="K236" s="191"/>
      <x:c r="L236" s="191"/>
      <x:c r="M236" s="191"/>
      <x:c r="N236" s="191"/>
      <x:c r="O236" s="191"/>
      <x:c r="P236" s="191"/>
      <x:c r="Q236" s="191"/>
      <x:c r="R236" s="191"/>
      <x:c r="S236" s="191"/>
      <x:c r="T236" s="191"/>
      <x:c r="U236" s="191"/>
      <x:c r="V236" s="191"/>
      <x:c r="W236" s="191"/>
      <x:c r="X236" s="191"/>
      <x:c r="Y236" s="191"/>
      <x:c r="Z236" s="191"/>
      <x:c r="AA236" s="191"/>
      <x:c r="AB236" s="191"/>
      <x:c r="AC236" s="191"/>
      <x:c r="AD236" s="191"/>
      <x:c r="AE236" s="191"/>
      <x:c r="AF236" s="191"/>
      <x:c r="AG236" s="191"/>
      <x:c r="AH236" s="191"/>
      <x:c r="AI236" s="191"/>
      <x:c r="AJ236" s="191"/>
      <x:c r="AK236" s="191"/>
    </x:row>
    <x:row r="237">
      <x:c r="A237" s="191" t="n">
        <x:v>223</x:v>
      </x:c>
      <x:c r="B237" s="274"/>
      <x:c r="C237" s="275"/>
      <x:c r="D237" s="275"/>
      <x:c r="E237" s="275"/>
      <x:c r="F237" s="275"/>
      <x:c r="G237" s="272" t="str">
        <x:f>IF(C237="","",RANK.EQ(C237,$C$15:$C$264,1))</x:f>
      </x:c>
      <x:c r="H237" s="272" t="str">
        <x:f>IF(G237="","",IF(G237&lt;=$B$10,"TAIL",""))</x:f>
      </x:c>
      <x:c r="I237" s="254" t="str">
        <x:f>IF(C237="","",-C237)</x:f>
      </x:c>
      <x:c r="J237" s="191" t="str">
        <x:v>Enter scenario date and link final reval P&amp;L</x:v>
      </x:c>
      <x:c r="K237" s="191"/>
      <x:c r="L237" s="191"/>
      <x:c r="M237" s="191"/>
      <x:c r="N237" s="191"/>
      <x:c r="O237" s="191"/>
      <x:c r="P237" s="191"/>
      <x:c r="Q237" s="191"/>
      <x:c r="R237" s="191"/>
      <x:c r="S237" s="191"/>
      <x:c r="T237" s="191"/>
      <x:c r="U237" s="191"/>
      <x:c r="V237" s="191"/>
      <x:c r="W237" s="191"/>
      <x:c r="X237" s="191"/>
      <x:c r="Y237" s="191"/>
      <x:c r="Z237" s="191"/>
      <x:c r="AA237" s="191"/>
      <x:c r="AB237" s="191"/>
      <x:c r="AC237" s="191"/>
      <x:c r="AD237" s="191"/>
      <x:c r="AE237" s="191"/>
      <x:c r="AF237" s="191"/>
      <x:c r="AG237" s="191"/>
      <x:c r="AH237" s="191"/>
      <x:c r="AI237" s="191"/>
      <x:c r="AJ237" s="191"/>
      <x:c r="AK237" s="191"/>
    </x:row>
    <x:row r="238">
      <x:c r="A238" s="191" t="n">
        <x:v>224</x:v>
      </x:c>
      <x:c r="B238" s="274"/>
      <x:c r="C238" s="275"/>
      <x:c r="D238" s="275"/>
      <x:c r="E238" s="275"/>
      <x:c r="F238" s="275"/>
      <x:c r="G238" s="272" t="str">
        <x:f>IF(C238="","",RANK.EQ(C238,$C$15:$C$264,1))</x:f>
      </x:c>
      <x:c r="H238" s="272" t="str">
        <x:f>IF(G238="","",IF(G238&lt;=$B$10,"TAIL",""))</x:f>
      </x:c>
      <x:c r="I238" s="254" t="str">
        <x:f>IF(C238="","",-C238)</x:f>
      </x:c>
      <x:c r="J238" s="191" t="str">
        <x:v>Enter scenario date and link final reval P&amp;L</x:v>
      </x:c>
      <x:c r="K238" s="191"/>
      <x:c r="L238" s="191"/>
      <x:c r="M238" s="191"/>
      <x:c r="N238" s="191"/>
      <x:c r="O238" s="191"/>
      <x:c r="P238" s="191"/>
      <x:c r="Q238" s="191"/>
      <x:c r="R238" s="191"/>
      <x:c r="S238" s="191"/>
      <x:c r="T238" s="191"/>
      <x:c r="U238" s="191"/>
      <x:c r="V238" s="191"/>
      <x:c r="W238" s="191"/>
      <x:c r="X238" s="191"/>
      <x:c r="Y238" s="191"/>
      <x:c r="Z238" s="191"/>
      <x:c r="AA238" s="191"/>
      <x:c r="AB238" s="191"/>
      <x:c r="AC238" s="191"/>
      <x:c r="AD238" s="191"/>
      <x:c r="AE238" s="191"/>
      <x:c r="AF238" s="191"/>
      <x:c r="AG238" s="191"/>
      <x:c r="AH238" s="191"/>
      <x:c r="AI238" s="191"/>
      <x:c r="AJ238" s="191"/>
      <x:c r="AK238" s="191"/>
    </x:row>
    <x:row r="239">
      <x:c r="A239" s="191" t="n">
        <x:v>225</x:v>
      </x:c>
      <x:c r="B239" s="274"/>
      <x:c r="C239" s="275"/>
      <x:c r="D239" s="275"/>
      <x:c r="E239" s="275"/>
      <x:c r="F239" s="275"/>
      <x:c r="G239" s="272" t="str">
        <x:f>IF(C239="","",RANK.EQ(C239,$C$15:$C$264,1))</x:f>
      </x:c>
      <x:c r="H239" s="272" t="str">
        <x:f>IF(G239="","",IF(G239&lt;=$B$10,"TAIL",""))</x:f>
      </x:c>
      <x:c r="I239" s="254" t="str">
        <x:f>IF(C239="","",-C239)</x:f>
      </x:c>
      <x:c r="J239" s="191" t="str">
        <x:v>Enter scenario date and link final reval P&amp;L</x:v>
      </x:c>
      <x:c r="K239" s="191"/>
      <x:c r="L239" s="191"/>
      <x:c r="M239" s="191"/>
      <x:c r="N239" s="191"/>
      <x:c r="O239" s="191"/>
      <x:c r="P239" s="191"/>
      <x:c r="Q239" s="191"/>
      <x:c r="R239" s="191"/>
      <x:c r="S239" s="191"/>
      <x:c r="T239" s="191"/>
      <x:c r="U239" s="191"/>
      <x:c r="V239" s="191"/>
      <x:c r="W239" s="191"/>
      <x:c r="X239" s="191"/>
      <x:c r="Y239" s="191"/>
      <x:c r="Z239" s="191"/>
      <x:c r="AA239" s="191"/>
      <x:c r="AB239" s="191"/>
      <x:c r="AC239" s="191"/>
      <x:c r="AD239" s="191"/>
      <x:c r="AE239" s="191"/>
      <x:c r="AF239" s="191"/>
      <x:c r="AG239" s="191"/>
      <x:c r="AH239" s="191"/>
      <x:c r="AI239" s="191"/>
      <x:c r="AJ239" s="191"/>
      <x:c r="AK239" s="191"/>
    </x:row>
    <x:row r="240">
      <x:c r="A240" s="191" t="n">
        <x:v>226</x:v>
      </x:c>
      <x:c r="B240" s="274"/>
      <x:c r="C240" s="275"/>
      <x:c r="D240" s="275"/>
      <x:c r="E240" s="275"/>
      <x:c r="F240" s="275"/>
      <x:c r="G240" s="272" t="str">
        <x:f>IF(C240="","",RANK.EQ(C240,$C$15:$C$264,1))</x:f>
      </x:c>
      <x:c r="H240" s="272" t="str">
        <x:f>IF(G240="","",IF(G240&lt;=$B$10,"TAIL",""))</x:f>
      </x:c>
      <x:c r="I240" s="254" t="str">
        <x:f>IF(C240="","",-C240)</x:f>
      </x:c>
      <x:c r="J240" s="191" t="str">
        <x:v>Enter scenario date and link final reval P&amp;L</x:v>
      </x:c>
      <x:c r="K240" s="191"/>
      <x:c r="L240" s="191"/>
      <x:c r="M240" s="191"/>
      <x:c r="N240" s="191"/>
      <x:c r="O240" s="191"/>
      <x:c r="P240" s="191"/>
      <x:c r="Q240" s="191"/>
      <x:c r="R240" s="191"/>
      <x:c r="S240" s="191"/>
      <x:c r="T240" s="191"/>
      <x:c r="U240" s="191"/>
      <x:c r="V240" s="191"/>
      <x:c r="W240" s="191"/>
      <x:c r="X240" s="191"/>
      <x:c r="Y240" s="191"/>
      <x:c r="Z240" s="191"/>
      <x:c r="AA240" s="191"/>
      <x:c r="AB240" s="191"/>
      <x:c r="AC240" s="191"/>
      <x:c r="AD240" s="191"/>
      <x:c r="AE240" s="191"/>
      <x:c r="AF240" s="191"/>
      <x:c r="AG240" s="191"/>
      <x:c r="AH240" s="191"/>
      <x:c r="AI240" s="191"/>
      <x:c r="AJ240" s="191"/>
      <x:c r="AK240" s="191"/>
    </x:row>
    <x:row r="241">
      <x:c r="A241" s="191" t="n">
        <x:v>227</x:v>
      </x:c>
      <x:c r="B241" s="274"/>
      <x:c r="C241" s="275"/>
      <x:c r="D241" s="275"/>
      <x:c r="E241" s="275"/>
      <x:c r="F241" s="275"/>
      <x:c r="G241" s="272" t="str">
        <x:f>IF(C241="","",RANK.EQ(C241,$C$15:$C$264,1))</x:f>
      </x:c>
      <x:c r="H241" s="272" t="str">
        <x:f>IF(G241="","",IF(G241&lt;=$B$10,"TAIL",""))</x:f>
      </x:c>
      <x:c r="I241" s="254" t="str">
        <x:f>IF(C241="","",-C241)</x:f>
      </x:c>
      <x:c r="J241" s="191" t="str">
        <x:v>Enter scenario date and link final reval P&amp;L</x:v>
      </x:c>
      <x:c r="K241" s="191"/>
      <x:c r="L241" s="191"/>
      <x:c r="M241" s="191"/>
      <x:c r="N241" s="191"/>
      <x:c r="O241" s="191"/>
      <x:c r="P241" s="191"/>
      <x:c r="Q241" s="191"/>
      <x:c r="R241" s="191"/>
      <x:c r="S241" s="191"/>
      <x:c r="T241" s="191"/>
      <x:c r="U241" s="191"/>
      <x:c r="V241" s="191"/>
      <x:c r="W241" s="191"/>
      <x:c r="X241" s="191"/>
      <x:c r="Y241" s="191"/>
      <x:c r="Z241" s="191"/>
      <x:c r="AA241" s="191"/>
      <x:c r="AB241" s="191"/>
      <x:c r="AC241" s="191"/>
      <x:c r="AD241" s="191"/>
      <x:c r="AE241" s="191"/>
      <x:c r="AF241" s="191"/>
      <x:c r="AG241" s="191"/>
      <x:c r="AH241" s="191"/>
      <x:c r="AI241" s="191"/>
      <x:c r="AJ241" s="191"/>
      <x:c r="AK241" s="191"/>
    </x:row>
    <x:row r="242">
      <x:c r="A242" s="191" t="n">
        <x:v>228</x:v>
      </x:c>
      <x:c r="B242" s="274"/>
      <x:c r="C242" s="275"/>
      <x:c r="D242" s="275"/>
      <x:c r="E242" s="275"/>
      <x:c r="F242" s="275"/>
      <x:c r="G242" s="272" t="str">
        <x:f>IF(C242="","",RANK.EQ(C242,$C$15:$C$264,1))</x:f>
      </x:c>
      <x:c r="H242" s="272" t="str">
        <x:f>IF(G242="","",IF(G242&lt;=$B$10,"TAIL",""))</x:f>
      </x:c>
      <x:c r="I242" s="254" t="str">
        <x:f>IF(C242="","",-C242)</x:f>
      </x:c>
      <x:c r="J242" s="191" t="str">
        <x:v>Enter scenario date and link final reval P&amp;L</x:v>
      </x:c>
      <x:c r="K242" s="191"/>
      <x:c r="L242" s="191"/>
      <x:c r="M242" s="191"/>
      <x:c r="N242" s="191"/>
      <x:c r="O242" s="191"/>
      <x:c r="P242" s="191"/>
      <x:c r="Q242" s="191"/>
      <x:c r="R242" s="191"/>
      <x:c r="S242" s="191"/>
      <x:c r="T242" s="191"/>
      <x:c r="U242" s="191"/>
      <x:c r="V242" s="191"/>
      <x:c r="W242" s="191"/>
      <x:c r="X242" s="191"/>
      <x:c r="Y242" s="191"/>
      <x:c r="Z242" s="191"/>
      <x:c r="AA242" s="191"/>
      <x:c r="AB242" s="191"/>
      <x:c r="AC242" s="191"/>
      <x:c r="AD242" s="191"/>
      <x:c r="AE242" s="191"/>
      <x:c r="AF242" s="191"/>
      <x:c r="AG242" s="191"/>
      <x:c r="AH242" s="191"/>
      <x:c r="AI242" s="191"/>
      <x:c r="AJ242" s="191"/>
      <x:c r="AK242" s="191"/>
    </x:row>
    <x:row r="243">
      <x:c r="A243" s="191" t="n">
        <x:v>229</x:v>
      </x:c>
      <x:c r="B243" s="274"/>
      <x:c r="C243" s="275"/>
      <x:c r="D243" s="275"/>
      <x:c r="E243" s="275"/>
      <x:c r="F243" s="275"/>
      <x:c r="G243" s="272" t="str">
        <x:f>IF(C243="","",RANK.EQ(C243,$C$15:$C$264,1))</x:f>
      </x:c>
      <x:c r="H243" s="272" t="str">
        <x:f>IF(G243="","",IF(G243&lt;=$B$10,"TAIL",""))</x:f>
      </x:c>
      <x:c r="I243" s="254" t="str">
        <x:f>IF(C243="","",-C243)</x:f>
      </x:c>
      <x:c r="J243" s="191" t="str">
        <x:v>Enter scenario date and link final reval P&amp;L</x:v>
      </x:c>
      <x:c r="K243" s="191"/>
      <x:c r="L243" s="191"/>
      <x:c r="M243" s="191"/>
      <x:c r="N243" s="191"/>
      <x:c r="O243" s="191"/>
      <x:c r="P243" s="191"/>
      <x:c r="Q243" s="191"/>
      <x:c r="R243" s="191"/>
      <x:c r="S243" s="191"/>
      <x:c r="T243" s="191"/>
      <x:c r="U243" s="191"/>
      <x:c r="V243" s="191"/>
      <x:c r="W243" s="191"/>
      <x:c r="X243" s="191"/>
      <x:c r="Y243" s="191"/>
      <x:c r="Z243" s="191"/>
      <x:c r="AA243" s="191"/>
      <x:c r="AB243" s="191"/>
      <x:c r="AC243" s="191"/>
      <x:c r="AD243" s="191"/>
      <x:c r="AE243" s="191"/>
      <x:c r="AF243" s="191"/>
      <x:c r="AG243" s="191"/>
      <x:c r="AH243" s="191"/>
      <x:c r="AI243" s="191"/>
      <x:c r="AJ243" s="191"/>
      <x:c r="AK243" s="191"/>
    </x:row>
    <x:row r="244">
      <x:c r="A244" s="191" t="n">
        <x:v>230</x:v>
      </x:c>
      <x:c r="B244" s="274"/>
      <x:c r="C244" s="275"/>
      <x:c r="D244" s="275"/>
      <x:c r="E244" s="275"/>
      <x:c r="F244" s="275"/>
      <x:c r="G244" s="272" t="str">
        <x:f>IF(C244="","",RANK.EQ(C244,$C$15:$C$264,1))</x:f>
      </x:c>
      <x:c r="H244" s="272" t="str">
        <x:f>IF(G244="","",IF(G244&lt;=$B$10,"TAIL",""))</x:f>
      </x:c>
      <x:c r="I244" s="254" t="str">
        <x:f>IF(C244="","",-C244)</x:f>
      </x:c>
      <x:c r="J244" s="191" t="str">
        <x:v>Enter scenario date and link final reval P&amp;L</x:v>
      </x:c>
      <x:c r="K244" s="191"/>
      <x:c r="L244" s="191"/>
      <x:c r="M244" s="191"/>
      <x:c r="N244" s="191"/>
      <x:c r="O244" s="191"/>
      <x:c r="P244" s="191"/>
      <x:c r="Q244" s="191"/>
      <x:c r="R244" s="191"/>
      <x:c r="S244" s="191"/>
      <x:c r="T244" s="191"/>
      <x:c r="U244" s="191"/>
      <x:c r="V244" s="191"/>
      <x:c r="W244" s="191"/>
      <x:c r="X244" s="191"/>
      <x:c r="Y244" s="191"/>
      <x:c r="Z244" s="191"/>
      <x:c r="AA244" s="191"/>
      <x:c r="AB244" s="191"/>
      <x:c r="AC244" s="191"/>
      <x:c r="AD244" s="191"/>
      <x:c r="AE244" s="191"/>
      <x:c r="AF244" s="191"/>
      <x:c r="AG244" s="191"/>
      <x:c r="AH244" s="191"/>
      <x:c r="AI244" s="191"/>
      <x:c r="AJ244" s="191"/>
      <x:c r="AK244" s="191"/>
    </x:row>
    <x:row r="245">
      <x:c r="A245" s="191" t="n">
        <x:v>231</x:v>
      </x:c>
      <x:c r="B245" s="274"/>
      <x:c r="C245" s="275"/>
      <x:c r="D245" s="275"/>
      <x:c r="E245" s="275"/>
      <x:c r="F245" s="275"/>
      <x:c r="G245" s="272" t="str">
        <x:f>IF(C245="","",RANK.EQ(C245,$C$15:$C$264,1))</x:f>
      </x:c>
      <x:c r="H245" s="272" t="str">
        <x:f>IF(G245="","",IF(G245&lt;=$B$10,"TAIL",""))</x:f>
      </x:c>
      <x:c r="I245" s="254" t="str">
        <x:f>IF(C245="","",-C245)</x:f>
      </x:c>
      <x:c r="J245" s="191" t="str">
        <x:v>Enter scenario date and link final reval P&amp;L</x:v>
      </x:c>
      <x:c r="K245" s="191"/>
      <x:c r="L245" s="191"/>
      <x:c r="M245" s="191"/>
      <x:c r="N245" s="191"/>
      <x:c r="O245" s="191"/>
      <x:c r="P245" s="191"/>
      <x:c r="Q245" s="191"/>
      <x:c r="R245" s="191"/>
      <x:c r="S245" s="191"/>
      <x:c r="T245" s="191"/>
      <x:c r="U245" s="191"/>
      <x:c r="V245" s="191"/>
      <x:c r="W245" s="191"/>
      <x:c r="X245" s="191"/>
      <x:c r="Y245" s="191"/>
      <x:c r="Z245" s="191"/>
      <x:c r="AA245" s="191"/>
      <x:c r="AB245" s="191"/>
      <x:c r="AC245" s="191"/>
      <x:c r="AD245" s="191"/>
      <x:c r="AE245" s="191"/>
      <x:c r="AF245" s="191"/>
      <x:c r="AG245" s="191"/>
      <x:c r="AH245" s="191"/>
      <x:c r="AI245" s="191"/>
      <x:c r="AJ245" s="191"/>
      <x:c r="AK245" s="191"/>
    </x:row>
    <x:row r="246">
      <x:c r="A246" s="191" t="n">
        <x:v>232</x:v>
      </x:c>
      <x:c r="B246" s="274"/>
      <x:c r="C246" s="275"/>
      <x:c r="D246" s="275"/>
      <x:c r="E246" s="275"/>
      <x:c r="F246" s="275"/>
      <x:c r="G246" s="272" t="str">
        <x:f>IF(C246="","",RANK.EQ(C246,$C$15:$C$264,1))</x:f>
      </x:c>
      <x:c r="H246" s="272" t="str">
        <x:f>IF(G246="","",IF(G246&lt;=$B$10,"TAIL",""))</x:f>
      </x:c>
      <x:c r="I246" s="254" t="str">
        <x:f>IF(C246="","",-C246)</x:f>
      </x:c>
      <x:c r="J246" s="191" t="str">
        <x:v>Enter scenario date and link final reval P&amp;L</x:v>
      </x:c>
      <x:c r="K246" s="191"/>
      <x:c r="L246" s="191"/>
      <x:c r="M246" s="191"/>
      <x:c r="N246" s="191"/>
      <x:c r="O246" s="191"/>
      <x:c r="P246" s="191"/>
      <x:c r="Q246" s="191"/>
      <x:c r="R246" s="191"/>
      <x:c r="S246" s="191"/>
      <x:c r="T246" s="191"/>
      <x:c r="U246" s="191"/>
      <x:c r="V246" s="191"/>
      <x:c r="W246" s="191"/>
      <x:c r="X246" s="191"/>
      <x:c r="Y246" s="191"/>
      <x:c r="Z246" s="191"/>
      <x:c r="AA246" s="191"/>
      <x:c r="AB246" s="191"/>
      <x:c r="AC246" s="191"/>
      <x:c r="AD246" s="191"/>
      <x:c r="AE246" s="191"/>
      <x:c r="AF246" s="191"/>
      <x:c r="AG246" s="191"/>
      <x:c r="AH246" s="191"/>
      <x:c r="AI246" s="191"/>
      <x:c r="AJ246" s="191"/>
      <x:c r="AK246" s="191"/>
    </x:row>
    <x:row r="247">
      <x:c r="A247" s="191" t="n">
        <x:v>233</x:v>
      </x:c>
      <x:c r="B247" s="274"/>
      <x:c r="C247" s="275"/>
      <x:c r="D247" s="275"/>
      <x:c r="E247" s="275"/>
      <x:c r="F247" s="275"/>
      <x:c r="G247" s="272" t="str">
        <x:f>IF(C247="","",RANK.EQ(C247,$C$15:$C$264,1))</x:f>
      </x:c>
      <x:c r="H247" s="272" t="str">
        <x:f>IF(G247="","",IF(G247&lt;=$B$10,"TAIL",""))</x:f>
      </x:c>
      <x:c r="I247" s="254" t="str">
        <x:f>IF(C247="","",-C247)</x:f>
      </x:c>
      <x:c r="J247" s="191" t="str">
        <x:v>Enter scenario date and link final reval P&amp;L</x:v>
      </x:c>
      <x:c r="K247" s="191"/>
      <x:c r="L247" s="191"/>
      <x:c r="M247" s="191"/>
      <x:c r="N247" s="191"/>
      <x:c r="O247" s="191"/>
      <x:c r="P247" s="191"/>
      <x:c r="Q247" s="191"/>
      <x:c r="R247" s="191"/>
      <x:c r="S247" s="191"/>
      <x:c r="T247" s="191"/>
      <x:c r="U247" s="191"/>
      <x:c r="V247" s="191"/>
      <x:c r="W247" s="191"/>
      <x:c r="X247" s="191"/>
      <x:c r="Y247" s="191"/>
      <x:c r="Z247" s="191"/>
      <x:c r="AA247" s="191"/>
      <x:c r="AB247" s="191"/>
      <x:c r="AC247" s="191"/>
      <x:c r="AD247" s="191"/>
      <x:c r="AE247" s="191"/>
      <x:c r="AF247" s="191"/>
      <x:c r="AG247" s="191"/>
      <x:c r="AH247" s="191"/>
      <x:c r="AI247" s="191"/>
      <x:c r="AJ247" s="191"/>
      <x:c r="AK247" s="191"/>
    </x:row>
    <x:row r="248">
      <x:c r="A248" s="191" t="n">
        <x:v>234</x:v>
      </x:c>
      <x:c r="B248" s="274"/>
      <x:c r="C248" s="275"/>
      <x:c r="D248" s="275"/>
      <x:c r="E248" s="275"/>
      <x:c r="F248" s="275"/>
      <x:c r="G248" s="272" t="str">
        <x:f>IF(C248="","",RANK.EQ(C248,$C$15:$C$264,1))</x:f>
      </x:c>
      <x:c r="H248" s="272" t="str">
        <x:f>IF(G248="","",IF(G248&lt;=$B$10,"TAIL",""))</x:f>
      </x:c>
      <x:c r="I248" s="254" t="str">
        <x:f>IF(C248="","",-C248)</x:f>
      </x:c>
      <x:c r="J248" s="191" t="str">
        <x:v>Enter scenario date and link final reval P&amp;L</x:v>
      </x:c>
      <x:c r="K248" s="191"/>
      <x:c r="L248" s="191"/>
      <x:c r="M248" s="191"/>
      <x:c r="N248" s="191"/>
      <x:c r="O248" s="191"/>
      <x:c r="P248" s="191"/>
      <x:c r="Q248" s="191"/>
      <x:c r="R248" s="191"/>
      <x:c r="S248" s="191"/>
      <x:c r="T248" s="191"/>
      <x:c r="U248" s="191"/>
      <x:c r="V248" s="191"/>
      <x:c r="W248" s="191"/>
      <x:c r="X248" s="191"/>
      <x:c r="Y248" s="191"/>
      <x:c r="Z248" s="191"/>
      <x:c r="AA248" s="191"/>
      <x:c r="AB248" s="191"/>
      <x:c r="AC248" s="191"/>
      <x:c r="AD248" s="191"/>
      <x:c r="AE248" s="191"/>
      <x:c r="AF248" s="191"/>
      <x:c r="AG248" s="191"/>
      <x:c r="AH248" s="191"/>
      <x:c r="AI248" s="191"/>
      <x:c r="AJ248" s="191"/>
      <x:c r="AK248" s="191"/>
    </x:row>
    <x:row r="249">
      <x:c r="A249" s="191" t="n">
        <x:v>235</x:v>
      </x:c>
      <x:c r="B249" s="274"/>
      <x:c r="C249" s="275"/>
      <x:c r="D249" s="275"/>
      <x:c r="E249" s="275"/>
      <x:c r="F249" s="275"/>
      <x:c r="G249" s="272" t="str">
        <x:f>IF(C249="","",RANK.EQ(C249,$C$15:$C$264,1))</x:f>
      </x:c>
      <x:c r="H249" s="272" t="str">
        <x:f>IF(G249="","",IF(G249&lt;=$B$10,"TAIL",""))</x:f>
      </x:c>
      <x:c r="I249" s="254" t="str">
        <x:f>IF(C249="","",-C249)</x:f>
      </x:c>
      <x:c r="J249" s="191" t="str">
        <x:v>Enter scenario date and link final reval P&amp;L</x:v>
      </x:c>
      <x:c r="K249" s="191"/>
      <x:c r="L249" s="191"/>
      <x:c r="M249" s="191"/>
      <x:c r="N249" s="191"/>
      <x:c r="O249" s="191"/>
      <x:c r="P249" s="191"/>
      <x:c r="Q249" s="191"/>
      <x:c r="R249" s="191"/>
      <x:c r="S249" s="191"/>
      <x:c r="T249" s="191"/>
      <x:c r="U249" s="191"/>
      <x:c r="V249" s="191"/>
      <x:c r="W249" s="191"/>
      <x:c r="X249" s="191"/>
      <x:c r="Y249" s="191"/>
      <x:c r="Z249" s="191"/>
      <x:c r="AA249" s="191"/>
      <x:c r="AB249" s="191"/>
      <x:c r="AC249" s="191"/>
      <x:c r="AD249" s="191"/>
      <x:c r="AE249" s="191"/>
      <x:c r="AF249" s="191"/>
      <x:c r="AG249" s="191"/>
      <x:c r="AH249" s="191"/>
      <x:c r="AI249" s="191"/>
      <x:c r="AJ249" s="191"/>
      <x:c r="AK249" s="191"/>
    </x:row>
    <x:row r="250">
      <x:c r="A250" s="191" t="n">
        <x:v>236</x:v>
      </x:c>
      <x:c r="B250" s="274"/>
      <x:c r="C250" s="275"/>
      <x:c r="D250" s="275"/>
      <x:c r="E250" s="275"/>
      <x:c r="F250" s="275"/>
      <x:c r="G250" s="272" t="str">
        <x:f>IF(C250="","",RANK.EQ(C250,$C$15:$C$264,1))</x:f>
      </x:c>
      <x:c r="H250" s="272" t="str">
        <x:f>IF(G250="","",IF(G250&lt;=$B$10,"TAIL",""))</x:f>
      </x:c>
      <x:c r="I250" s="254" t="str">
        <x:f>IF(C250="","",-C250)</x:f>
      </x:c>
      <x:c r="J250" s="191" t="str">
        <x:v>Enter scenario date and link final reval P&amp;L</x:v>
      </x:c>
      <x:c r="K250" s="191"/>
      <x:c r="L250" s="191"/>
      <x:c r="M250" s="191"/>
      <x:c r="N250" s="191"/>
      <x:c r="O250" s="191"/>
      <x:c r="P250" s="191"/>
      <x:c r="Q250" s="191"/>
      <x:c r="R250" s="191"/>
      <x:c r="S250" s="191"/>
      <x:c r="T250" s="191"/>
      <x:c r="U250" s="191"/>
      <x:c r="V250" s="191"/>
      <x:c r="W250" s="191"/>
      <x:c r="X250" s="191"/>
      <x:c r="Y250" s="191"/>
      <x:c r="Z250" s="191"/>
      <x:c r="AA250" s="191"/>
      <x:c r="AB250" s="191"/>
      <x:c r="AC250" s="191"/>
      <x:c r="AD250" s="191"/>
      <x:c r="AE250" s="191"/>
      <x:c r="AF250" s="191"/>
      <x:c r="AG250" s="191"/>
      <x:c r="AH250" s="191"/>
      <x:c r="AI250" s="191"/>
      <x:c r="AJ250" s="191"/>
      <x:c r="AK250" s="191"/>
    </x:row>
    <x:row r="251">
      <x:c r="A251" s="191" t="n">
        <x:v>237</x:v>
      </x:c>
      <x:c r="B251" s="274"/>
      <x:c r="C251" s="275"/>
      <x:c r="D251" s="275"/>
      <x:c r="E251" s="275"/>
      <x:c r="F251" s="275"/>
      <x:c r="G251" s="272" t="str">
        <x:f>IF(C251="","",RANK.EQ(C251,$C$15:$C$264,1))</x:f>
      </x:c>
      <x:c r="H251" s="272" t="str">
        <x:f>IF(G251="","",IF(G251&lt;=$B$10,"TAIL",""))</x:f>
      </x:c>
      <x:c r="I251" s="254" t="str">
        <x:f>IF(C251="","",-C251)</x:f>
      </x:c>
      <x:c r="J251" s="191" t="str">
        <x:v>Enter scenario date and link final reval P&amp;L</x:v>
      </x:c>
      <x:c r="K251" s="191"/>
      <x:c r="L251" s="191"/>
      <x:c r="M251" s="191"/>
      <x:c r="N251" s="191"/>
      <x:c r="O251" s="191"/>
      <x:c r="P251" s="191"/>
      <x:c r="Q251" s="191"/>
      <x:c r="R251" s="191"/>
      <x:c r="S251" s="191"/>
      <x:c r="T251" s="191"/>
      <x:c r="U251" s="191"/>
      <x:c r="V251" s="191"/>
      <x:c r="W251" s="191"/>
      <x:c r="X251" s="191"/>
      <x:c r="Y251" s="191"/>
      <x:c r="Z251" s="191"/>
      <x:c r="AA251" s="191"/>
      <x:c r="AB251" s="191"/>
      <x:c r="AC251" s="191"/>
      <x:c r="AD251" s="191"/>
      <x:c r="AE251" s="191"/>
      <x:c r="AF251" s="191"/>
      <x:c r="AG251" s="191"/>
      <x:c r="AH251" s="191"/>
      <x:c r="AI251" s="191"/>
      <x:c r="AJ251" s="191"/>
      <x:c r="AK251" s="191"/>
    </x:row>
    <x:row r="252">
      <x:c r="A252" s="191" t="n">
        <x:v>238</x:v>
      </x:c>
      <x:c r="B252" s="274"/>
      <x:c r="C252" s="275"/>
      <x:c r="D252" s="275"/>
      <x:c r="E252" s="275"/>
      <x:c r="F252" s="275"/>
      <x:c r="G252" s="272" t="str">
        <x:f>IF(C252="","",RANK.EQ(C252,$C$15:$C$264,1))</x:f>
      </x:c>
      <x:c r="H252" s="272" t="str">
        <x:f>IF(G252="","",IF(G252&lt;=$B$10,"TAIL",""))</x:f>
      </x:c>
      <x:c r="I252" s="254" t="str">
        <x:f>IF(C252="","",-C252)</x:f>
      </x:c>
      <x:c r="J252" s="191" t="str">
        <x:v>Enter scenario date and link final reval P&amp;L</x:v>
      </x:c>
      <x:c r="K252" s="191"/>
      <x:c r="L252" s="191"/>
      <x:c r="M252" s="191"/>
      <x:c r="N252" s="191"/>
      <x:c r="O252" s="191"/>
      <x:c r="P252" s="191"/>
      <x:c r="Q252" s="191"/>
      <x:c r="R252" s="191"/>
      <x:c r="S252" s="191"/>
      <x:c r="T252" s="191"/>
      <x:c r="U252" s="191"/>
      <x:c r="V252" s="191"/>
      <x:c r="W252" s="191"/>
      <x:c r="X252" s="191"/>
      <x:c r="Y252" s="191"/>
      <x:c r="Z252" s="191"/>
      <x:c r="AA252" s="191"/>
      <x:c r="AB252" s="191"/>
      <x:c r="AC252" s="191"/>
      <x:c r="AD252" s="191"/>
      <x:c r="AE252" s="191"/>
      <x:c r="AF252" s="191"/>
      <x:c r="AG252" s="191"/>
      <x:c r="AH252" s="191"/>
      <x:c r="AI252" s="191"/>
      <x:c r="AJ252" s="191"/>
      <x:c r="AK252" s="191"/>
    </x:row>
    <x:row r="253">
      <x:c r="A253" s="191" t="n">
        <x:v>239</x:v>
      </x:c>
      <x:c r="B253" s="274"/>
      <x:c r="C253" s="275"/>
      <x:c r="D253" s="275"/>
      <x:c r="E253" s="275"/>
      <x:c r="F253" s="275"/>
      <x:c r="G253" s="272" t="str">
        <x:f>IF(C253="","",RANK.EQ(C253,$C$15:$C$264,1))</x:f>
      </x:c>
      <x:c r="H253" s="272" t="str">
        <x:f>IF(G253="","",IF(G253&lt;=$B$10,"TAIL",""))</x:f>
      </x:c>
      <x:c r="I253" s="254" t="str">
        <x:f>IF(C253="","",-C253)</x:f>
      </x:c>
      <x:c r="J253" s="191" t="str">
        <x:v>Enter scenario date and link final reval P&amp;L</x:v>
      </x:c>
      <x:c r="K253" s="191"/>
      <x:c r="L253" s="191"/>
      <x:c r="M253" s="191"/>
      <x:c r="N253" s="191"/>
      <x:c r="O253" s="191"/>
      <x:c r="P253" s="191"/>
      <x:c r="Q253" s="191"/>
      <x:c r="R253" s="191"/>
      <x:c r="S253" s="191"/>
      <x:c r="T253" s="191"/>
      <x:c r="U253" s="191"/>
      <x:c r="V253" s="191"/>
      <x:c r="W253" s="191"/>
      <x:c r="X253" s="191"/>
      <x:c r="Y253" s="191"/>
      <x:c r="Z253" s="191"/>
      <x:c r="AA253" s="191"/>
      <x:c r="AB253" s="191"/>
      <x:c r="AC253" s="191"/>
      <x:c r="AD253" s="191"/>
      <x:c r="AE253" s="191"/>
      <x:c r="AF253" s="191"/>
      <x:c r="AG253" s="191"/>
      <x:c r="AH253" s="191"/>
      <x:c r="AI253" s="191"/>
      <x:c r="AJ253" s="191"/>
      <x:c r="AK253" s="191"/>
    </x:row>
    <x:row r="254">
      <x:c r="A254" s="191" t="n">
        <x:v>240</x:v>
      </x:c>
      <x:c r="B254" s="274"/>
      <x:c r="C254" s="275"/>
      <x:c r="D254" s="275"/>
      <x:c r="E254" s="275"/>
      <x:c r="F254" s="275"/>
      <x:c r="G254" s="272" t="str">
        <x:f>IF(C254="","",RANK.EQ(C254,$C$15:$C$264,1))</x:f>
      </x:c>
      <x:c r="H254" s="272" t="str">
        <x:f>IF(G254="","",IF(G254&lt;=$B$10,"TAIL",""))</x:f>
      </x:c>
      <x:c r="I254" s="254" t="str">
        <x:f>IF(C254="","",-C254)</x:f>
      </x:c>
      <x:c r="J254" s="191" t="str">
        <x:v>Enter scenario date and link final reval P&amp;L</x:v>
      </x:c>
      <x:c r="K254" s="191"/>
      <x:c r="L254" s="191"/>
      <x:c r="M254" s="191"/>
      <x:c r="N254" s="191"/>
      <x:c r="O254" s="191"/>
      <x:c r="P254" s="191"/>
      <x:c r="Q254" s="191"/>
      <x:c r="R254" s="191"/>
      <x:c r="S254" s="191"/>
      <x:c r="T254" s="191"/>
      <x:c r="U254" s="191"/>
      <x:c r="V254" s="191"/>
      <x:c r="W254" s="191"/>
      <x:c r="X254" s="191"/>
      <x:c r="Y254" s="191"/>
      <x:c r="Z254" s="191"/>
      <x:c r="AA254" s="191"/>
      <x:c r="AB254" s="191"/>
      <x:c r="AC254" s="191"/>
      <x:c r="AD254" s="191"/>
      <x:c r="AE254" s="191"/>
      <x:c r="AF254" s="191"/>
      <x:c r="AG254" s="191"/>
      <x:c r="AH254" s="191"/>
      <x:c r="AI254" s="191"/>
      <x:c r="AJ254" s="191"/>
      <x:c r="AK254" s="191"/>
    </x:row>
    <x:row r="255">
      <x:c r="A255" s="191" t="n">
        <x:v>241</x:v>
      </x:c>
      <x:c r="B255" s="274"/>
      <x:c r="C255" s="275"/>
      <x:c r="D255" s="275"/>
      <x:c r="E255" s="275"/>
      <x:c r="F255" s="275"/>
      <x:c r="G255" s="272" t="str">
        <x:f>IF(C255="","",RANK.EQ(C255,$C$15:$C$264,1))</x:f>
      </x:c>
      <x:c r="H255" s="272" t="str">
        <x:f>IF(G255="","",IF(G255&lt;=$B$10,"TAIL",""))</x:f>
      </x:c>
      <x:c r="I255" s="254" t="str">
        <x:f>IF(C255="","",-C255)</x:f>
      </x:c>
      <x:c r="J255" s="191" t="str">
        <x:v>Enter scenario date and link final reval P&amp;L</x:v>
      </x:c>
      <x:c r="K255" s="191"/>
      <x:c r="L255" s="191"/>
      <x:c r="M255" s="191"/>
      <x:c r="N255" s="191"/>
      <x:c r="O255" s="191"/>
      <x:c r="P255" s="191"/>
      <x:c r="Q255" s="191"/>
      <x:c r="R255" s="191"/>
      <x:c r="S255" s="191"/>
      <x:c r="T255" s="191"/>
      <x:c r="U255" s="191"/>
      <x:c r="V255" s="191"/>
      <x:c r="W255" s="191"/>
      <x:c r="X255" s="191"/>
      <x:c r="Y255" s="191"/>
      <x:c r="Z255" s="191"/>
      <x:c r="AA255" s="191"/>
      <x:c r="AB255" s="191"/>
      <x:c r="AC255" s="191"/>
      <x:c r="AD255" s="191"/>
      <x:c r="AE255" s="191"/>
      <x:c r="AF255" s="191"/>
      <x:c r="AG255" s="191"/>
      <x:c r="AH255" s="191"/>
      <x:c r="AI255" s="191"/>
      <x:c r="AJ255" s="191"/>
      <x:c r="AK255" s="191"/>
    </x:row>
    <x:row r="256">
      <x:c r="A256" s="191" t="n">
        <x:v>242</x:v>
      </x:c>
      <x:c r="B256" s="274"/>
      <x:c r="C256" s="275"/>
      <x:c r="D256" s="275"/>
      <x:c r="E256" s="275"/>
      <x:c r="F256" s="275"/>
      <x:c r="G256" s="272" t="str">
        <x:f>IF(C256="","",RANK.EQ(C256,$C$15:$C$264,1))</x:f>
      </x:c>
      <x:c r="H256" s="272" t="str">
        <x:f>IF(G256="","",IF(G256&lt;=$B$10,"TAIL",""))</x:f>
      </x:c>
      <x:c r="I256" s="254" t="str">
        <x:f>IF(C256="","",-C256)</x:f>
      </x:c>
      <x:c r="J256" s="191" t="str">
        <x:v>Enter scenario date and link final reval P&amp;L</x:v>
      </x:c>
      <x:c r="K256" s="191"/>
      <x:c r="L256" s="191"/>
      <x:c r="M256" s="191"/>
      <x:c r="N256" s="191"/>
      <x:c r="O256" s="191"/>
      <x:c r="P256" s="191"/>
      <x:c r="Q256" s="191"/>
      <x:c r="R256" s="191"/>
      <x:c r="S256" s="191"/>
      <x:c r="T256" s="191"/>
      <x:c r="U256" s="191"/>
      <x:c r="V256" s="191"/>
      <x:c r="W256" s="191"/>
      <x:c r="X256" s="191"/>
      <x:c r="Y256" s="191"/>
      <x:c r="Z256" s="191"/>
      <x:c r="AA256" s="191"/>
      <x:c r="AB256" s="191"/>
      <x:c r="AC256" s="191"/>
      <x:c r="AD256" s="191"/>
      <x:c r="AE256" s="191"/>
      <x:c r="AF256" s="191"/>
      <x:c r="AG256" s="191"/>
      <x:c r="AH256" s="191"/>
      <x:c r="AI256" s="191"/>
      <x:c r="AJ256" s="191"/>
      <x:c r="AK256" s="191"/>
    </x:row>
    <x:row r="257">
      <x:c r="A257" s="191" t="n">
        <x:v>243</x:v>
      </x:c>
      <x:c r="B257" s="274"/>
      <x:c r="C257" s="275"/>
      <x:c r="D257" s="275"/>
      <x:c r="E257" s="275"/>
      <x:c r="F257" s="275"/>
      <x:c r="G257" s="272" t="str">
        <x:f>IF(C257="","",RANK.EQ(C257,$C$15:$C$264,1))</x:f>
      </x:c>
      <x:c r="H257" s="272" t="str">
        <x:f>IF(G257="","",IF(G257&lt;=$B$10,"TAIL",""))</x:f>
      </x:c>
      <x:c r="I257" s="254" t="str">
        <x:f>IF(C257="","",-C257)</x:f>
      </x:c>
      <x:c r="J257" s="191" t="str">
        <x:v>Enter scenario date and link final reval P&amp;L</x:v>
      </x:c>
      <x:c r="K257" s="191"/>
      <x:c r="L257" s="191"/>
      <x:c r="M257" s="191"/>
      <x:c r="N257" s="191"/>
      <x:c r="O257" s="191"/>
      <x:c r="P257" s="191"/>
      <x:c r="Q257" s="191"/>
      <x:c r="R257" s="191"/>
      <x:c r="S257" s="191"/>
      <x:c r="T257" s="191"/>
      <x:c r="U257" s="191"/>
      <x:c r="V257" s="191"/>
      <x:c r="W257" s="191"/>
      <x:c r="X257" s="191"/>
      <x:c r="Y257" s="191"/>
      <x:c r="Z257" s="191"/>
      <x:c r="AA257" s="191"/>
      <x:c r="AB257" s="191"/>
      <x:c r="AC257" s="191"/>
      <x:c r="AD257" s="191"/>
      <x:c r="AE257" s="191"/>
      <x:c r="AF257" s="191"/>
      <x:c r="AG257" s="191"/>
      <x:c r="AH257" s="191"/>
      <x:c r="AI257" s="191"/>
      <x:c r="AJ257" s="191"/>
      <x:c r="AK257" s="191"/>
    </x:row>
    <x:row r="258">
      <x:c r="A258" s="191" t="n">
        <x:v>244</x:v>
      </x:c>
      <x:c r="B258" s="274"/>
      <x:c r="C258" s="275"/>
      <x:c r="D258" s="275"/>
      <x:c r="E258" s="275"/>
      <x:c r="F258" s="275"/>
      <x:c r="G258" s="272" t="str">
        <x:f>IF(C258="","",RANK.EQ(C258,$C$15:$C$264,1))</x:f>
      </x:c>
      <x:c r="H258" s="272" t="str">
        <x:f>IF(G258="","",IF(G258&lt;=$B$10,"TAIL",""))</x:f>
      </x:c>
      <x:c r="I258" s="254" t="str">
        <x:f>IF(C258="","",-C258)</x:f>
      </x:c>
      <x:c r="J258" s="191" t="str">
        <x:v>Enter scenario date and link final reval P&amp;L</x:v>
      </x:c>
      <x:c r="K258" s="191"/>
      <x:c r="L258" s="191"/>
      <x:c r="M258" s="191"/>
      <x:c r="N258" s="191"/>
      <x:c r="O258" s="191"/>
      <x:c r="P258" s="191"/>
      <x:c r="Q258" s="191"/>
      <x:c r="R258" s="191"/>
      <x:c r="S258" s="191"/>
      <x:c r="T258" s="191"/>
      <x:c r="U258" s="191"/>
      <x:c r="V258" s="191"/>
      <x:c r="W258" s="191"/>
      <x:c r="X258" s="191"/>
      <x:c r="Y258" s="191"/>
      <x:c r="Z258" s="191"/>
      <x:c r="AA258" s="191"/>
      <x:c r="AB258" s="191"/>
      <x:c r="AC258" s="191"/>
      <x:c r="AD258" s="191"/>
      <x:c r="AE258" s="191"/>
      <x:c r="AF258" s="191"/>
      <x:c r="AG258" s="191"/>
      <x:c r="AH258" s="191"/>
      <x:c r="AI258" s="191"/>
      <x:c r="AJ258" s="191"/>
      <x:c r="AK258" s="191"/>
    </x:row>
    <x:row r="259">
      <x:c r="A259" s="191" t="n">
        <x:v>245</x:v>
      </x:c>
      <x:c r="B259" s="274"/>
      <x:c r="C259" s="275"/>
      <x:c r="D259" s="275"/>
      <x:c r="E259" s="275"/>
      <x:c r="F259" s="275"/>
      <x:c r="G259" s="272" t="str">
        <x:f>IF(C259="","",RANK.EQ(C259,$C$15:$C$264,1))</x:f>
      </x:c>
      <x:c r="H259" s="272" t="str">
        <x:f>IF(G259="","",IF(G259&lt;=$B$10,"TAIL",""))</x:f>
      </x:c>
      <x:c r="I259" s="254" t="str">
        <x:f>IF(C259="","",-C259)</x:f>
      </x:c>
      <x:c r="J259" s="191" t="str">
        <x:v>Enter scenario date and link final reval P&amp;L</x:v>
      </x:c>
      <x:c r="K259" s="191"/>
      <x:c r="L259" s="191"/>
      <x:c r="M259" s="191"/>
      <x:c r="N259" s="191"/>
      <x:c r="O259" s="191"/>
      <x:c r="P259" s="191"/>
      <x:c r="Q259" s="191"/>
      <x:c r="R259" s="191"/>
      <x:c r="S259" s="191"/>
      <x:c r="T259" s="191"/>
      <x:c r="U259" s="191"/>
      <x:c r="V259" s="191"/>
      <x:c r="W259" s="191"/>
      <x:c r="X259" s="191"/>
      <x:c r="Y259" s="191"/>
      <x:c r="Z259" s="191"/>
      <x:c r="AA259" s="191"/>
      <x:c r="AB259" s="191"/>
      <x:c r="AC259" s="191"/>
      <x:c r="AD259" s="191"/>
      <x:c r="AE259" s="191"/>
      <x:c r="AF259" s="191"/>
      <x:c r="AG259" s="191"/>
      <x:c r="AH259" s="191"/>
      <x:c r="AI259" s="191"/>
      <x:c r="AJ259" s="191"/>
      <x:c r="AK259" s="191"/>
    </x:row>
    <x:row r="260">
      <x:c r="A260" s="191" t="n">
        <x:v>246</x:v>
      </x:c>
      <x:c r="B260" s="274"/>
      <x:c r="C260" s="275"/>
      <x:c r="D260" s="275"/>
      <x:c r="E260" s="275"/>
      <x:c r="F260" s="275"/>
      <x:c r="G260" s="272" t="str">
        <x:f>IF(C260="","",RANK.EQ(C260,$C$15:$C$264,1))</x:f>
      </x:c>
      <x:c r="H260" s="272" t="str">
        <x:f>IF(G260="","",IF(G260&lt;=$B$10,"TAIL",""))</x:f>
      </x:c>
      <x:c r="I260" s="254" t="str">
        <x:f>IF(C260="","",-C260)</x:f>
      </x:c>
      <x:c r="J260" s="191" t="str">
        <x:v>Enter scenario date and link final reval P&amp;L</x:v>
      </x:c>
      <x:c r="K260" s="191"/>
      <x:c r="L260" s="191"/>
      <x:c r="M260" s="191"/>
      <x:c r="N260" s="191"/>
      <x:c r="O260" s="191"/>
      <x:c r="P260" s="191"/>
      <x:c r="Q260" s="191"/>
      <x:c r="R260" s="191"/>
      <x:c r="S260" s="191"/>
      <x:c r="T260" s="191"/>
      <x:c r="U260" s="191"/>
      <x:c r="V260" s="191"/>
      <x:c r="W260" s="191"/>
      <x:c r="X260" s="191"/>
      <x:c r="Y260" s="191"/>
      <x:c r="Z260" s="191"/>
      <x:c r="AA260" s="191"/>
      <x:c r="AB260" s="191"/>
      <x:c r="AC260" s="191"/>
      <x:c r="AD260" s="191"/>
      <x:c r="AE260" s="191"/>
      <x:c r="AF260" s="191"/>
      <x:c r="AG260" s="191"/>
      <x:c r="AH260" s="191"/>
      <x:c r="AI260" s="191"/>
      <x:c r="AJ260" s="191"/>
      <x:c r="AK260" s="191"/>
    </x:row>
    <x:row r="261">
      <x:c r="A261" s="191" t="n">
        <x:v>247</x:v>
      </x:c>
      <x:c r="B261" s="274"/>
      <x:c r="C261" s="275"/>
      <x:c r="D261" s="275"/>
      <x:c r="E261" s="275"/>
      <x:c r="F261" s="275"/>
      <x:c r="G261" s="272" t="str">
        <x:f>IF(C261="","",RANK.EQ(C261,$C$15:$C$264,1))</x:f>
      </x:c>
      <x:c r="H261" s="272" t="str">
        <x:f>IF(G261="","",IF(G261&lt;=$B$10,"TAIL",""))</x:f>
      </x:c>
      <x:c r="I261" s="254" t="str">
        <x:f>IF(C261="","",-C261)</x:f>
      </x:c>
      <x:c r="J261" s="191" t="str">
        <x:v>Enter scenario date and link final reval P&amp;L</x:v>
      </x:c>
      <x:c r="K261" s="191"/>
      <x:c r="L261" s="191"/>
      <x:c r="M261" s="191"/>
      <x:c r="N261" s="191"/>
      <x:c r="O261" s="191"/>
      <x:c r="P261" s="191"/>
      <x:c r="Q261" s="191"/>
      <x:c r="R261" s="191"/>
      <x:c r="S261" s="191"/>
      <x:c r="T261" s="191"/>
      <x:c r="U261" s="191"/>
      <x:c r="V261" s="191"/>
      <x:c r="W261" s="191"/>
      <x:c r="X261" s="191"/>
      <x:c r="Y261" s="191"/>
      <x:c r="Z261" s="191"/>
      <x:c r="AA261" s="191"/>
      <x:c r="AB261" s="191"/>
      <x:c r="AC261" s="191"/>
      <x:c r="AD261" s="191"/>
      <x:c r="AE261" s="191"/>
      <x:c r="AF261" s="191"/>
      <x:c r="AG261" s="191"/>
      <x:c r="AH261" s="191"/>
      <x:c r="AI261" s="191"/>
      <x:c r="AJ261" s="191"/>
      <x:c r="AK261" s="191"/>
    </x:row>
    <x:row r="262">
      <x:c r="A262" s="191" t="n">
        <x:v>248</x:v>
      </x:c>
      <x:c r="B262" s="274"/>
      <x:c r="C262" s="275"/>
      <x:c r="D262" s="275"/>
      <x:c r="E262" s="275"/>
      <x:c r="F262" s="275"/>
      <x:c r="G262" s="272" t="str">
        <x:f>IF(C262="","",RANK.EQ(C262,$C$15:$C$264,1))</x:f>
      </x:c>
      <x:c r="H262" s="272" t="str">
        <x:f>IF(G262="","",IF(G262&lt;=$B$10,"TAIL",""))</x:f>
      </x:c>
      <x:c r="I262" s="254" t="str">
        <x:f>IF(C262="","",-C262)</x:f>
      </x:c>
      <x:c r="J262" s="191" t="str">
        <x:v>Enter scenario date and link final reval P&amp;L</x:v>
      </x:c>
      <x:c r="K262" s="191"/>
      <x:c r="L262" s="191"/>
      <x:c r="M262" s="191"/>
      <x:c r="N262" s="191"/>
      <x:c r="O262" s="191"/>
      <x:c r="P262" s="191"/>
      <x:c r="Q262" s="191"/>
      <x:c r="R262" s="191"/>
      <x:c r="S262" s="191"/>
      <x:c r="T262" s="191"/>
      <x:c r="U262" s="191"/>
      <x:c r="V262" s="191"/>
      <x:c r="W262" s="191"/>
      <x:c r="X262" s="191"/>
      <x:c r="Y262" s="191"/>
      <x:c r="Z262" s="191"/>
      <x:c r="AA262" s="191"/>
      <x:c r="AB262" s="191"/>
      <x:c r="AC262" s="191"/>
      <x:c r="AD262" s="191"/>
      <x:c r="AE262" s="191"/>
      <x:c r="AF262" s="191"/>
      <x:c r="AG262" s="191"/>
      <x:c r="AH262" s="191"/>
      <x:c r="AI262" s="191"/>
      <x:c r="AJ262" s="191"/>
      <x:c r="AK262" s="191"/>
    </x:row>
    <x:row r="263">
      <x:c r="A263" s="191" t="n">
        <x:v>249</x:v>
      </x:c>
      <x:c r="B263" s="274"/>
      <x:c r="C263" s="275"/>
      <x:c r="D263" s="275"/>
      <x:c r="E263" s="275"/>
      <x:c r="F263" s="275"/>
      <x:c r="G263" s="272" t="str">
        <x:f>IF(C263="","",RANK.EQ(C263,$C$15:$C$264,1))</x:f>
      </x:c>
      <x:c r="H263" s="272" t="str">
        <x:f>IF(G263="","",IF(G263&lt;=$B$10,"TAIL",""))</x:f>
      </x:c>
      <x:c r="I263" s="254" t="str">
        <x:f>IF(C263="","",-C263)</x:f>
      </x:c>
      <x:c r="J263" s="191" t="str">
        <x:v>Enter scenario date and link final reval P&amp;L</x:v>
      </x:c>
      <x:c r="K263" s="191"/>
      <x:c r="L263" s="191"/>
      <x:c r="M263" s="191"/>
      <x:c r="N263" s="191"/>
      <x:c r="O263" s="191"/>
      <x:c r="P263" s="191"/>
      <x:c r="Q263" s="191"/>
      <x:c r="R263" s="191"/>
      <x:c r="S263" s="191"/>
      <x:c r="T263" s="191"/>
      <x:c r="U263" s="191"/>
      <x:c r="V263" s="191"/>
      <x:c r="W263" s="191"/>
      <x:c r="X263" s="191"/>
      <x:c r="Y263" s="191"/>
      <x:c r="Z263" s="191"/>
      <x:c r="AA263" s="191"/>
      <x:c r="AB263" s="191"/>
      <x:c r="AC263" s="191"/>
      <x:c r="AD263" s="191"/>
      <x:c r="AE263" s="191"/>
      <x:c r="AF263" s="191"/>
      <x:c r="AG263" s="191"/>
      <x:c r="AH263" s="191"/>
      <x:c r="AI263" s="191"/>
      <x:c r="AJ263" s="191"/>
      <x:c r="AK263" s="191"/>
    </x:row>
    <x:row r="264">
      <x:c r="A264" s="191" t="n">
        <x:v>250</x:v>
      </x:c>
      <x:c r="B264" s="274"/>
      <x:c r="C264" s="275"/>
      <x:c r="D264" s="275"/>
      <x:c r="E264" s="275"/>
      <x:c r="F264" s="275"/>
      <x:c r="G264" s="272" t="str">
        <x:f>IF(C264="","",RANK.EQ(C264,$C$15:$C$264,1))</x:f>
      </x:c>
      <x:c r="H264" s="272" t="str">
        <x:f>IF(G264="","",IF(G264&lt;=$B$10,"TAIL",""))</x:f>
      </x:c>
      <x:c r="I264" s="254" t="str">
        <x:f>IF(C264="","",-C264)</x:f>
      </x:c>
      <x:c r="J264" s="191" t="str">
        <x:v>Enter scenario date and link final reval P&amp;L</x:v>
      </x:c>
      <x:c r="K264" s="191"/>
      <x:c r="L264" s="191"/>
      <x:c r="M264" s="191"/>
      <x:c r="N264" s="191"/>
      <x:c r="O264" s="191"/>
      <x:c r="P264" s="191"/>
      <x:c r="Q264" s="191"/>
      <x:c r="R264" s="191"/>
      <x:c r="S264" s="191"/>
      <x:c r="T264" s="191"/>
      <x:c r="U264" s="191"/>
      <x:c r="V264" s="191"/>
      <x:c r="W264" s="191"/>
      <x:c r="X264" s="191"/>
      <x:c r="Y264" s="191"/>
      <x:c r="Z264" s="191"/>
      <x:c r="AA264" s="191"/>
      <x:c r="AB264" s="191"/>
      <x:c r="AC264" s="191"/>
      <x:c r="AD264" s="191"/>
      <x:c r="AE264" s="191"/>
      <x:c r="AF264" s="191"/>
      <x:c r="AG264" s="191"/>
      <x:c r="AH264" s="191"/>
      <x:c r="AI264" s="191"/>
      <x:c r="AJ264" s="191"/>
      <x:c r="AK264" s="191"/>
    </x:row>
    <x:row r="265">
      <x:c r="A265" s="191"/>
      <x:c r="B265" s="191"/>
      <x:c r="C265" s="191"/>
      <x:c r="D265" s="191"/>
      <x:c r="E265" s="191"/>
      <x:c r="F265" s="191"/>
      <x:c r="G265" s="191"/>
      <x:c r="H265" s="191"/>
      <x:c r="I265" s="191"/>
      <x:c r="J265" s="191"/>
      <x:c r="K265" s="191"/>
      <x:c r="L265" s="191"/>
      <x:c r="M265" s="191"/>
      <x:c r="N265" s="191"/>
      <x:c r="O265" s="191"/>
      <x:c r="P265" s="191"/>
      <x:c r="Q265" s="191"/>
      <x:c r="R265" s="191"/>
      <x:c r="S265" s="191"/>
      <x:c r="T265" s="191"/>
      <x:c r="U265" s="191"/>
      <x:c r="V265" s="191"/>
      <x:c r="W265" s="191"/>
      <x:c r="X265" s="191"/>
      <x:c r="Y265" s="191"/>
      <x:c r="Z265" s="191"/>
      <x:c r="AA265" s="191"/>
      <x:c r="AB265" s="191"/>
      <x:c r="AC265" s="191"/>
      <x:c r="AD265" s="191"/>
      <x:c r="AE265" s="191"/>
      <x:c r="AF265" s="191"/>
      <x:c r="AG265" s="191"/>
      <x:c r="AH265" s="191"/>
      <x:c r="AI265" s="191"/>
      <x:c r="AJ265" s="191"/>
      <x:c r="AK265" s="191"/>
    </x:row>
    <x:row r="266">
      <x:c r="A266" s="191"/>
      <x:c r="B266" s="191"/>
      <x:c r="C266" s="191"/>
      <x:c r="D266" s="191"/>
      <x:c r="E266" s="191"/>
      <x:c r="F266" s="191"/>
      <x:c r="G266" s="191"/>
      <x:c r="H266" s="191"/>
      <x:c r="I266" s="191"/>
      <x:c r="J266" s="191"/>
      <x:c r="K266" s="191"/>
      <x:c r="L266" s="191"/>
      <x:c r="M266" s="191"/>
      <x:c r="N266" s="191"/>
      <x:c r="O266" s="191"/>
      <x:c r="P266" s="191"/>
      <x:c r="Q266" s="191"/>
      <x:c r="R266" s="191"/>
      <x:c r="S266" s="191"/>
      <x:c r="T266" s="191"/>
      <x:c r="U266" s="191"/>
      <x:c r="V266" s="191"/>
      <x:c r="W266" s="191"/>
      <x:c r="X266" s="191"/>
      <x:c r="Y266" s="191"/>
      <x:c r="Z266" s="191"/>
      <x:c r="AA266" s="191"/>
      <x:c r="AB266" s="191"/>
      <x:c r="AC266" s="191"/>
      <x:c r="AD266" s="191"/>
      <x:c r="AE266" s="191"/>
      <x:c r="AF266" s="191"/>
      <x:c r="AG266" s="191"/>
      <x:c r="AH266" s="191"/>
      <x:c r="AI266" s="191"/>
      <x:c r="AJ266" s="191"/>
      <x:c r="AK266" s="191"/>
    </x:row>
    <x:row r="267">
      <x:c r="A267" s="191"/>
      <x:c r="B267" s="191"/>
      <x:c r="C267" s="191"/>
      <x:c r="D267" s="191"/>
      <x:c r="E267" s="191"/>
      <x:c r="F267" s="191"/>
      <x:c r="G267" s="191"/>
      <x:c r="H267" s="191"/>
      <x:c r="I267" s="191"/>
      <x:c r="J267" s="191"/>
      <x:c r="K267" s="191"/>
      <x:c r="L267" s="191"/>
      <x:c r="M267" s="191"/>
      <x:c r="N267" s="191"/>
      <x:c r="O267" s="191"/>
      <x:c r="P267" s="191"/>
      <x:c r="Q267" s="191"/>
      <x:c r="R267" s="191"/>
      <x:c r="S267" s="191"/>
      <x:c r="T267" s="191"/>
      <x:c r="U267" s="191"/>
      <x:c r="V267" s="191"/>
      <x:c r="W267" s="191"/>
      <x:c r="X267" s="191"/>
      <x:c r="Y267" s="191"/>
      <x:c r="Z267" s="191"/>
      <x:c r="AA267" s="191"/>
      <x:c r="AB267" s="191"/>
      <x:c r="AC267" s="191"/>
      <x:c r="AD267" s="191"/>
      <x:c r="AE267" s="191"/>
      <x:c r="AF267" s="191"/>
      <x:c r="AG267" s="191"/>
      <x:c r="AH267" s="191"/>
      <x:c r="AI267" s="191"/>
      <x:c r="AJ267" s="191"/>
      <x:c r="AK267" s="191"/>
    </x:row>
    <x:row r="268">
      <x:c r="A268" s="191"/>
      <x:c r="B268" s="191"/>
      <x:c r="C268" s="191"/>
      <x:c r="D268" s="191"/>
      <x:c r="E268" s="191"/>
      <x:c r="F268" s="191"/>
      <x:c r="G268" s="191"/>
      <x:c r="H268" s="191"/>
      <x:c r="I268" s="191"/>
      <x:c r="J268" s="191"/>
      <x:c r="K268" s="191"/>
      <x:c r="L268" s="191"/>
      <x:c r="M268" s="191"/>
      <x:c r="N268" s="191"/>
      <x:c r="O268" s="191"/>
      <x:c r="P268" s="191"/>
      <x:c r="Q268" s="191"/>
      <x:c r="R268" s="191"/>
      <x:c r="S268" s="191"/>
      <x:c r="T268" s="191"/>
      <x:c r="U268" s="191"/>
      <x:c r="V268" s="191"/>
      <x:c r="W268" s="191"/>
      <x:c r="X268" s="191"/>
      <x:c r="Y268" s="191"/>
      <x:c r="Z268" s="191"/>
      <x:c r="AA268" s="191"/>
      <x:c r="AB268" s="191"/>
      <x:c r="AC268" s="191"/>
      <x:c r="AD268" s="191"/>
      <x:c r="AE268" s="191"/>
      <x:c r="AF268" s="191"/>
      <x:c r="AG268" s="191"/>
      <x:c r="AH268" s="191"/>
      <x:c r="AI268" s="191"/>
      <x:c r="AJ268" s="191"/>
      <x:c r="AK268" s="191"/>
    </x:row>
    <x:row r="269">
      <x:c r="A269" s="191"/>
      <x:c r="B269" s="191"/>
      <x:c r="C269" s="191"/>
      <x:c r="D269" s="191"/>
      <x:c r="E269" s="191"/>
      <x:c r="F269" s="191"/>
      <x:c r="G269" s="191"/>
      <x:c r="H269" s="191"/>
      <x:c r="I269" s="191"/>
      <x:c r="J269" s="191"/>
      <x:c r="K269" s="191"/>
      <x:c r="L269" s="191"/>
      <x:c r="M269" s="191"/>
      <x:c r="N269" s="191"/>
      <x:c r="O269" s="191"/>
      <x:c r="P269" s="191"/>
      <x:c r="Q269" s="191"/>
      <x:c r="R269" s="191"/>
      <x:c r="S269" s="191"/>
      <x:c r="T269" s="191"/>
      <x:c r="U269" s="191"/>
      <x:c r="V269" s="191"/>
      <x:c r="W269" s="191"/>
      <x:c r="X269" s="191"/>
      <x:c r="Y269" s="191"/>
      <x:c r="Z269" s="191"/>
      <x:c r="AA269" s="191"/>
      <x:c r="AB269" s="191"/>
      <x:c r="AC269" s="191"/>
      <x:c r="AD269" s="191"/>
      <x:c r="AE269" s="191"/>
      <x:c r="AF269" s="191"/>
      <x:c r="AG269" s="191"/>
      <x:c r="AH269" s="191"/>
      <x:c r="AI269" s="191"/>
      <x:c r="AJ269" s="191"/>
      <x:c r="AK269" s="191"/>
    </x:row>
    <x:row r="270">
      <x:c r="A270" s="191"/>
      <x:c r="B270" s="191"/>
      <x:c r="C270" s="191"/>
      <x:c r="D270" s="191"/>
      <x:c r="E270" s="191"/>
      <x:c r="F270" s="191"/>
      <x:c r="G270" s="191"/>
      <x:c r="H270" s="191"/>
      <x:c r="I270" s="191"/>
      <x:c r="J270" s="191"/>
      <x:c r="K270" s="191"/>
      <x:c r="L270" s="191"/>
      <x:c r="M270" s="191"/>
      <x:c r="N270" s="191"/>
      <x:c r="O270" s="191"/>
      <x:c r="P270" s="191"/>
      <x:c r="Q270" s="191"/>
      <x:c r="R270" s="191"/>
      <x:c r="S270" s="191"/>
      <x:c r="T270" s="191"/>
      <x:c r="U270" s="191"/>
      <x:c r="V270" s="191"/>
      <x:c r="W270" s="191"/>
      <x:c r="X270" s="191"/>
      <x:c r="Y270" s="191"/>
      <x:c r="Z270" s="191"/>
      <x:c r="AA270" s="191"/>
      <x:c r="AB270" s="191"/>
      <x:c r="AC270" s="191"/>
      <x:c r="AD270" s="191"/>
      <x:c r="AE270" s="191"/>
      <x:c r="AF270" s="191"/>
      <x:c r="AG270" s="191"/>
      <x:c r="AH270" s="191"/>
      <x:c r="AI270" s="191"/>
      <x:c r="AJ270" s="191"/>
      <x:c r="AK270" s="191"/>
    </x:row>
    <x:row r="271">
      <x:c r="A271" s="191"/>
      <x:c r="B271" s="191"/>
      <x:c r="C271" s="191"/>
      <x:c r="D271" s="191"/>
      <x:c r="E271" s="191"/>
      <x:c r="F271" s="191"/>
      <x:c r="G271" s="191"/>
      <x:c r="H271" s="191"/>
      <x:c r="I271" s="191"/>
      <x:c r="J271" s="191"/>
      <x:c r="K271" s="191"/>
      <x:c r="L271" s="191"/>
      <x:c r="M271" s="191"/>
      <x:c r="N271" s="191"/>
      <x:c r="O271" s="191"/>
      <x:c r="P271" s="191"/>
      <x:c r="Q271" s="191"/>
      <x:c r="R271" s="191"/>
      <x:c r="S271" s="191"/>
      <x:c r="T271" s="191"/>
      <x:c r="U271" s="191"/>
      <x:c r="V271" s="191"/>
      <x:c r="W271" s="191"/>
      <x:c r="X271" s="191"/>
      <x:c r="Y271" s="191"/>
      <x:c r="Z271" s="191"/>
      <x:c r="AA271" s="191"/>
      <x:c r="AB271" s="191"/>
      <x:c r="AC271" s="191"/>
      <x:c r="AD271" s="191"/>
      <x:c r="AE271" s="191"/>
      <x:c r="AF271" s="191"/>
      <x:c r="AG271" s="191"/>
      <x:c r="AH271" s="191"/>
      <x:c r="AI271" s="191"/>
      <x:c r="AJ271" s="191"/>
      <x:c r="AK271" s="191"/>
    </x:row>
    <x:row r="272">
      <x:c r="A272" s="191"/>
      <x:c r="B272" s="191"/>
      <x:c r="C272" s="191"/>
      <x:c r="D272" s="191"/>
      <x:c r="E272" s="191"/>
      <x:c r="F272" s="191"/>
      <x:c r="G272" s="191"/>
      <x:c r="H272" s="191"/>
      <x:c r="I272" s="191"/>
      <x:c r="J272" s="191"/>
      <x:c r="K272" s="191"/>
      <x:c r="L272" s="191"/>
      <x:c r="M272" s="191"/>
      <x:c r="N272" s="191"/>
      <x:c r="O272" s="191"/>
      <x:c r="P272" s="191"/>
      <x:c r="Q272" s="191"/>
      <x:c r="R272" s="191"/>
      <x:c r="S272" s="191"/>
      <x:c r="T272" s="191"/>
      <x:c r="U272" s="191"/>
      <x:c r="V272" s="191"/>
      <x:c r="W272" s="191"/>
      <x:c r="X272" s="191"/>
      <x:c r="Y272" s="191"/>
      <x:c r="Z272" s="191"/>
      <x:c r="AA272" s="191"/>
      <x:c r="AB272" s="191"/>
      <x:c r="AC272" s="191"/>
      <x:c r="AD272" s="191"/>
      <x:c r="AE272" s="191"/>
      <x:c r="AF272" s="191"/>
      <x:c r="AG272" s="191"/>
      <x:c r="AH272" s="191"/>
      <x:c r="AI272" s="191"/>
      <x:c r="AJ272" s="191"/>
      <x:c r="AK272" s="191"/>
    </x:row>
    <x:row r="273">
      <x:c r="A273" s="191"/>
      <x:c r="B273" s="191"/>
      <x:c r="C273" s="191"/>
      <x:c r="D273" s="191"/>
      <x:c r="E273" s="191"/>
      <x:c r="F273" s="191"/>
      <x:c r="G273" s="191"/>
      <x:c r="H273" s="191"/>
      <x:c r="I273" s="191"/>
      <x:c r="J273" s="191"/>
      <x:c r="K273" s="191"/>
      <x:c r="L273" s="191"/>
      <x:c r="M273" s="191"/>
      <x:c r="N273" s="191"/>
      <x:c r="O273" s="191"/>
      <x:c r="P273" s="191"/>
      <x:c r="Q273" s="191"/>
      <x:c r="R273" s="191"/>
      <x:c r="S273" s="191"/>
      <x:c r="T273" s="191"/>
      <x:c r="U273" s="191"/>
      <x:c r="V273" s="191"/>
      <x:c r="W273" s="191"/>
      <x:c r="X273" s="191"/>
      <x:c r="Y273" s="191"/>
      <x:c r="Z273" s="191"/>
      <x:c r="AA273" s="191"/>
      <x:c r="AB273" s="191"/>
      <x:c r="AC273" s="191"/>
      <x:c r="AD273" s="191"/>
      <x:c r="AE273" s="191"/>
      <x:c r="AF273" s="191"/>
      <x:c r="AG273" s="191"/>
      <x:c r="AH273" s="191"/>
      <x:c r="AI273" s="191"/>
      <x:c r="AJ273" s="191"/>
      <x:c r="AK273" s="191"/>
    </x:row>
    <x:row r="274">
      <x:c r="A274" s="191"/>
      <x:c r="B274" s="191"/>
      <x:c r="C274" s="191"/>
      <x:c r="D274" s="191"/>
      <x:c r="E274" s="191"/>
      <x:c r="F274" s="191"/>
      <x:c r="G274" s="191"/>
      <x:c r="H274" s="191"/>
      <x:c r="I274" s="191"/>
      <x:c r="J274" s="191"/>
      <x:c r="K274" s="191"/>
      <x:c r="L274" s="191"/>
      <x:c r="M274" s="191"/>
      <x:c r="N274" s="191"/>
      <x:c r="O274" s="191"/>
      <x:c r="P274" s="191"/>
      <x:c r="Q274" s="191"/>
      <x:c r="R274" s="191"/>
      <x:c r="S274" s="191"/>
      <x:c r="T274" s="191"/>
      <x:c r="U274" s="191"/>
      <x:c r="V274" s="191"/>
      <x:c r="W274" s="191"/>
      <x:c r="X274" s="191"/>
      <x:c r="Y274" s="191"/>
      <x:c r="Z274" s="191"/>
      <x:c r="AA274" s="191"/>
      <x:c r="AB274" s="191"/>
      <x:c r="AC274" s="191"/>
      <x:c r="AD274" s="191"/>
      <x:c r="AE274" s="191"/>
      <x:c r="AF274" s="191"/>
      <x:c r="AG274" s="191"/>
      <x:c r="AH274" s="191"/>
      <x:c r="AI274" s="191"/>
      <x:c r="AJ274" s="191"/>
      <x:c r="AK274" s="191"/>
    </x:row>
    <x:row r="275">
      <x:c r="A275" s="191"/>
      <x:c r="B275" s="191"/>
      <x:c r="C275" s="191"/>
      <x:c r="D275" s="191"/>
      <x:c r="E275" s="191"/>
      <x:c r="F275" s="191"/>
      <x:c r="G275" s="191"/>
      <x:c r="H275" s="191"/>
      <x:c r="I275" s="191"/>
      <x:c r="J275" s="191"/>
      <x:c r="K275" s="191"/>
      <x:c r="L275" s="191"/>
      <x:c r="M275" s="191"/>
      <x:c r="N275" s="191"/>
      <x:c r="O275" s="191"/>
      <x:c r="P275" s="191"/>
      <x:c r="Q275" s="191"/>
      <x:c r="R275" s="191"/>
      <x:c r="S275" s="191"/>
      <x:c r="T275" s="191"/>
      <x:c r="U275" s="191"/>
      <x:c r="V275" s="191"/>
      <x:c r="W275" s="191"/>
      <x:c r="X275" s="191"/>
      <x:c r="Y275" s="191"/>
      <x:c r="Z275" s="191"/>
      <x:c r="AA275" s="191"/>
      <x:c r="AB275" s="191"/>
      <x:c r="AC275" s="191"/>
      <x:c r="AD275" s="191"/>
      <x:c r="AE275" s="191"/>
      <x:c r="AF275" s="191"/>
      <x:c r="AG275" s="191"/>
      <x:c r="AH275" s="191"/>
      <x:c r="AI275" s="191"/>
      <x:c r="AJ275" s="191"/>
      <x:c r="AK275" s="191"/>
    </x:row>
    <x:row r="276">
      <x:c r="A276" s="191"/>
      <x:c r="B276" s="191"/>
      <x:c r="C276" s="191"/>
      <x:c r="D276" s="191"/>
      <x:c r="E276" s="191"/>
      <x:c r="F276" s="191"/>
      <x:c r="G276" s="191"/>
      <x:c r="H276" s="191"/>
      <x:c r="I276" s="191"/>
      <x:c r="J276" s="191"/>
      <x:c r="K276" s="191"/>
      <x:c r="L276" s="191"/>
      <x:c r="M276" s="191"/>
      <x:c r="N276" s="191"/>
      <x:c r="O276" s="191"/>
      <x:c r="P276" s="191"/>
      <x:c r="Q276" s="191"/>
      <x:c r="R276" s="191"/>
      <x:c r="S276" s="191"/>
      <x:c r="T276" s="191"/>
      <x:c r="U276" s="191"/>
      <x:c r="V276" s="191"/>
      <x:c r="W276" s="191"/>
      <x:c r="X276" s="191"/>
      <x:c r="Y276" s="191"/>
      <x:c r="Z276" s="191"/>
      <x:c r="AA276" s="191"/>
      <x:c r="AB276" s="191"/>
      <x:c r="AC276" s="191"/>
      <x:c r="AD276" s="191"/>
      <x:c r="AE276" s="191"/>
      <x:c r="AF276" s="191"/>
      <x:c r="AG276" s="191"/>
      <x:c r="AH276" s="191"/>
      <x:c r="AI276" s="191"/>
      <x:c r="AJ276" s="191"/>
      <x:c r="AK276" s="191"/>
    </x:row>
    <x:row r="277">
      <x:c r="A277" s="191"/>
      <x:c r="B277" s="191"/>
      <x:c r="C277" s="191"/>
      <x:c r="D277" s="191"/>
      <x:c r="E277" s="191"/>
      <x:c r="F277" s="191"/>
      <x:c r="G277" s="191"/>
      <x:c r="H277" s="191"/>
      <x:c r="I277" s="191"/>
      <x:c r="J277" s="191"/>
      <x:c r="K277" s="191"/>
      <x:c r="L277" s="191"/>
      <x:c r="M277" s="191"/>
      <x:c r="N277" s="191"/>
      <x:c r="O277" s="191"/>
      <x:c r="P277" s="191"/>
      <x:c r="Q277" s="191"/>
      <x:c r="R277" s="191"/>
      <x:c r="S277" s="191"/>
      <x:c r="T277" s="191"/>
      <x:c r="U277" s="191"/>
      <x:c r="V277" s="191"/>
      <x:c r="W277" s="191"/>
      <x:c r="X277" s="191"/>
      <x:c r="Y277" s="191"/>
      <x:c r="Z277" s="191"/>
      <x:c r="AA277" s="191"/>
      <x:c r="AB277" s="191"/>
      <x:c r="AC277" s="191"/>
      <x:c r="AD277" s="191"/>
      <x:c r="AE277" s="191"/>
      <x:c r="AF277" s="191"/>
      <x:c r="AG277" s="191"/>
      <x:c r="AH277" s="191"/>
      <x:c r="AI277" s="191"/>
      <x:c r="AJ277" s="191"/>
      <x:c r="AK277" s="191"/>
    </x:row>
    <x:row r="278">
      <x:c r="A278" s="191"/>
      <x:c r="B278" s="191"/>
      <x:c r="C278" s="191"/>
      <x:c r="D278" s="191"/>
      <x:c r="E278" s="191"/>
      <x:c r="F278" s="191"/>
      <x:c r="G278" s="191"/>
      <x:c r="H278" s="191"/>
      <x:c r="I278" s="191"/>
      <x:c r="J278" s="191"/>
      <x:c r="K278" s="191"/>
      <x:c r="L278" s="191"/>
      <x:c r="M278" s="191"/>
      <x:c r="N278" s="191"/>
      <x:c r="O278" s="191"/>
      <x:c r="P278" s="191"/>
      <x:c r="Q278" s="191"/>
      <x:c r="R278" s="191"/>
      <x:c r="S278" s="191"/>
      <x:c r="T278" s="191"/>
      <x:c r="U278" s="191"/>
      <x:c r="V278" s="191"/>
      <x:c r="W278" s="191"/>
      <x:c r="X278" s="191"/>
      <x:c r="Y278" s="191"/>
      <x:c r="Z278" s="191"/>
      <x:c r="AA278" s="191"/>
      <x:c r="AB278" s="191"/>
      <x:c r="AC278" s="191"/>
      <x:c r="AD278" s="191"/>
      <x:c r="AE278" s="191"/>
      <x:c r="AF278" s="191"/>
      <x:c r="AG278" s="191"/>
      <x:c r="AH278" s="191"/>
      <x:c r="AI278" s="191"/>
      <x:c r="AJ278" s="191"/>
      <x:c r="AK278" s="191"/>
    </x:row>
    <x:row r="279">
      <x:c r="A279" s="191"/>
      <x:c r="B279" s="191"/>
      <x:c r="C279" s="191"/>
      <x:c r="D279" s="191"/>
      <x:c r="E279" s="191"/>
      <x:c r="F279" s="191"/>
      <x:c r="G279" s="191"/>
      <x:c r="H279" s="191"/>
      <x:c r="I279" s="191"/>
      <x:c r="J279" s="191"/>
      <x:c r="K279" s="191"/>
      <x:c r="L279" s="191"/>
      <x:c r="M279" s="191"/>
      <x:c r="N279" s="191"/>
      <x:c r="O279" s="191"/>
      <x:c r="P279" s="191"/>
      <x:c r="Q279" s="191"/>
      <x:c r="R279" s="191"/>
      <x:c r="S279" s="191"/>
      <x:c r="T279" s="191"/>
      <x:c r="U279" s="191"/>
      <x:c r="V279" s="191"/>
      <x:c r="W279" s="191"/>
      <x:c r="X279" s="191"/>
      <x:c r="Y279" s="191"/>
      <x:c r="Z279" s="191"/>
      <x:c r="AA279" s="191"/>
      <x:c r="AB279" s="191"/>
      <x:c r="AC279" s="191"/>
      <x:c r="AD279" s="191"/>
      <x:c r="AE279" s="191"/>
      <x:c r="AF279" s="191"/>
      <x:c r="AG279" s="191"/>
      <x:c r="AH279" s="191"/>
      <x:c r="AI279" s="191"/>
      <x:c r="AJ279" s="191"/>
      <x:c r="AK279" s="191"/>
    </x:row>
    <x:row r="280">
      <x:c r="A280" s="191"/>
      <x:c r="B280" s="191"/>
      <x:c r="C280" s="191"/>
      <x:c r="D280" s="191"/>
      <x:c r="E280" s="191"/>
      <x:c r="F280" s="191"/>
      <x:c r="G280" s="191"/>
      <x:c r="H280" s="191"/>
      <x:c r="I280" s="191"/>
      <x:c r="J280" s="191"/>
      <x:c r="K280" s="191"/>
      <x:c r="L280" s="191"/>
      <x:c r="M280" s="191"/>
      <x:c r="N280" s="191"/>
      <x:c r="O280" s="191"/>
      <x:c r="P280" s="191"/>
      <x:c r="Q280" s="191"/>
      <x:c r="R280" s="191"/>
      <x:c r="S280" s="191"/>
      <x:c r="T280" s="191"/>
      <x:c r="U280" s="191"/>
      <x:c r="V280" s="191"/>
      <x:c r="W280" s="191"/>
      <x:c r="X280" s="191"/>
      <x:c r="Y280" s="191"/>
      <x:c r="Z280" s="191"/>
      <x:c r="AA280" s="191"/>
      <x:c r="AB280" s="191"/>
      <x:c r="AC280" s="191"/>
      <x:c r="AD280" s="191"/>
      <x:c r="AE280" s="191"/>
      <x:c r="AF280" s="191"/>
      <x:c r="AG280" s="191"/>
      <x:c r="AH280" s="191"/>
      <x:c r="AI280" s="191"/>
      <x:c r="AJ280" s="191"/>
      <x:c r="AK280" s="191"/>
    </x:row>
    <x:row r="281">
      <x:c r="A281" s="191"/>
      <x:c r="B281" s="191"/>
      <x:c r="C281" s="191"/>
      <x:c r="D281" s="191"/>
      <x:c r="E281" s="191"/>
      <x:c r="F281" s="191"/>
      <x:c r="G281" s="191"/>
      <x:c r="H281" s="191"/>
      <x:c r="I281" s="191"/>
      <x:c r="J281" s="191"/>
      <x:c r="K281" s="191"/>
      <x:c r="L281" s="191"/>
      <x:c r="M281" s="191"/>
      <x:c r="N281" s="191"/>
      <x:c r="O281" s="191"/>
      <x:c r="P281" s="191"/>
      <x:c r="Q281" s="191"/>
      <x:c r="R281" s="191"/>
      <x:c r="S281" s="191"/>
      <x:c r="T281" s="191"/>
      <x:c r="U281" s="191"/>
      <x:c r="V281" s="191"/>
      <x:c r="W281" s="191"/>
      <x:c r="X281" s="191"/>
      <x:c r="Y281" s="191"/>
      <x:c r="Z281" s="191"/>
      <x:c r="AA281" s="191"/>
      <x:c r="AB281" s="191"/>
      <x:c r="AC281" s="191"/>
      <x:c r="AD281" s="191"/>
      <x:c r="AE281" s="191"/>
      <x:c r="AF281" s="191"/>
      <x:c r="AG281" s="191"/>
      <x:c r="AH281" s="191"/>
      <x:c r="AI281" s="191"/>
      <x:c r="AJ281" s="191"/>
      <x:c r="AK281" s="191"/>
    </x:row>
    <x:row r="282">
      <x:c r="A282" s="191"/>
      <x:c r="B282" s="191"/>
      <x:c r="C282" s="191"/>
      <x:c r="D282" s="191"/>
      <x:c r="E282" s="191"/>
      <x:c r="F282" s="191"/>
      <x:c r="G282" s="191"/>
      <x:c r="H282" s="191"/>
      <x:c r="I282" s="191"/>
      <x:c r="J282" s="191"/>
      <x:c r="K282" s="191"/>
      <x:c r="L282" s="191"/>
      <x:c r="M282" s="191"/>
      <x:c r="N282" s="191"/>
      <x:c r="O282" s="191"/>
      <x:c r="P282" s="191"/>
      <x:c r="Q282" s="191"/>
      <x:c r="R282" s="191"/>
      <x:c r="S282" s="191"/>
      <x:c r="T282" s="191"/>
      <x:c r="U282" s="191"/>
      <x:c r="V282" s="191"/>
      <x:c r="W282" s="191"/>
      <x:c r="X282" s="191"/>
      <x:c r="Y282" s="191"/>
      <x:c r="Z282" s="191"/>
      <x:c r="AA282" s="191"/>
      <x:c r="AB282" s="191"/>
      <x:c r="AC282" s="191"/>
      <x:c r="AD282" s="191"/>
      <x:c r="AE282" s="191"/>
      <x:c r="AF282" s="191"/>
      <x:c r="AG282" s="191"/>
      <x:c r="AH282" s="191"/>
      <x:c r="AI282" s="191"/>
      <x:c r="AJ282" s="191"/>
      <x:c r="AK282" s="191"/>
    </x:row>
    <x:row r="283">
      <x:c r="A283" s="191"/>
      <x:c r="B283" s="191"/>
      <x:c r="C283" s="191"/>
      <x:c r="D283" s="191"/>
      <x:c r="E283" s="191"/>
      <x:c r="F283" s="191"/>
      <x:c r="G283" s="191"/>
      <x:c r="H283" s="191"/>
      <x:c r="I283" s="191"/>
      <x:c r="J283" s="191"/>
      <x:c r="K283" s="191"/>
      <x:c r="L283" s="191"/>
      <x:c r="M283" s="191"/>
      <x:c r="N283" s="191"/>
      <x:c r="O283" s="191"/>
      <x:c r="P283" s="191"/>
      <x:c r="Q283" s="191"/>
      <x:c r="R283" s="191"/>
      <x:c r="S283" s="191"/>
      <x:c r="T283" s="191"/>
      <x:c r="U283" s="191"/>
      <x:c r="V283" s="191"/>
      <x:c r="W283" s="191"/>
      <x:c r="X283" s="191"/>
      <x:c r="Y283" s="191"/>
      <x:c r="Z283" s="191"/>
      <x:c r="AA283" s="191"/>
      <x:c r="AB283" s="191"/>
      <x:c r="AC283" s="191"/>
      <x:c r="AD283" s="191"/>
      <x:c r="AE283" s="191"/>
      <x:c r="AF283" s="191"/>
      <x:c r="AG283" s="191"/>
      <x:c r="AH283" s="191"/>
      <x:c r="AI283" s="191"/>
      <x:c r="AJ283" s="191"/>
      <x:c r="AK283" s="191"/>
    </x:row>
    <x:row r="284">
      <x:c r="A284" s="191"/>
      <x:c r="B284" s="191"/>
      <x:c r="C284" s="191"/>
      <x:c r="D284" s="191"/>
      <x:c r="E284" s="191"/>
      <x:c r="F284" s="191"/>
      <x:c r="G284" s="191"/>
      <x:c r="H284" s="191"/>
      <x:c r="I284" s="191"/>
      <x:c r="J284" s="191"/>
      <x:c r="K284" s="191"/>
      <x:c r="L284" s="191"/>
      <x:c r="M284" s="191"/>
      <x:c r="N284" s="191"/>
      <x:c r="O284" s="191"/>
      <x:c r="P284" s="191"/>
      <x:c r="Q284" s="191"/>
      <x:c r="R284" s="191"/>
      <x:c r="S284" s="191"/>
      <x:c r="T284" s="191"/>
      <x:c r="U284" s="191"/>
      <x:c r="V284" s="191"/>
      <x:c r="W284" s="191"/>
      <x:c r="X284" s="191"/>
      <x:c r="Y284" s="191"/>
      <x:c r="Z284" s="191"/>
      <x:c r="AA284" s="191"/>
      <x:c r="AB284" s="191"/>
      <x:c r="AC284" s="191"/>
      <x:c r="AD284" s="191"/>
      <x:c r="AE284" s="191"/>
      <x:c r="AF284" s="191"/>
      <x:c r="AG284" s="191"/>
      <x:c r="AH284" s="191"/>
      <x:c r="AI284" s="191"/>
      <x:c r="AJ284" s="191"/>
      <x:c r="AK284" s="191"/>
    </x:row>
    <x:row r="285">
      <x:c r="A285" s="191"/>
      <x:c r="B285" s="191"/>
      <x:c r="C285" s="191"/>
      <x:c r="D285" s="191"/>
      <x:c r="E285" s="191"/>
      <x:c r="F285" s="191"/>
      <x:c r="G285" s="191"/>
      <x:c r="H285" s="191"/>
      <x:c r="I285" s="191"/>
      <x:c r="J285" s="191"/>
      <x:c r="K285" s="191"/>
      <x:c r="L285" s="191"/>
      <x:c r="M285" s="191"/>
      <x:c r="N285" s="191"/>
      <x:c r="O285" s="191"/>
      <x:c r="P285" s="191"/>
      <x:c r="Q285" s="191"/>
      <x:c r="R285" s="191"/>
      <x:c r="S285" s="191"/>
      <x:c r="T285" s="191"/>
      <x:c r="U285" s="191"/>
      <x:c r="V285" s="191"/>
      <x:c r="W285" s="191"/>
      <x:c r="X285" s="191"/>
      <x:c r="Y285" s="191"/>
      <x:c r="Z285" s="191"/>
      <x:c r="AA285" s="191"/>
      <x:c r="AB285" s="191"/>
      <x:c r="AC285" s="191"/>
      <x:c r="AD285" s="191"/>
      <x:c r="AE285" s="191"/>
      <x:c r="AF285" s="191"/>
      <x:c r="AG285" s="191"/>
      <x:c r="AH285" s="191"/>
      <x:c r="AI285" s="191"/>
      <x:c r="AJ285" s="191"/>
      <x:c r="AK285" s="191"/>
    </x:row>
    <x:row r="286">
      <x:c r="A286" s="191"/>
      <x:c r="B286" s="191"/>
      <x:c r="C286" s="191"/>
      <x:c r="D286" s="191"/>
      <x:c r="E286" s="191"/>
      <x:c r="F286" s="191"/>
      <x:c r="G286" s="191"/>
      <x:c r="H286" s="191"/>
      <x:c r="I286" s="191"/>
      <x:c r="J286" s="191"/>
      <x:c r="K286" s="191"/>
      <x:c r="L286" s="191"/>
      <x:c r="M286" s="191"/>
      <x:c r="N286" s="191"/>
      <x:c r="O286" s="191"/>
      <x:c r="P286" s="191"/>
      <x:c r="Q286" s="191"/>
      <x:c r="R286" s="191"/>
      <x:c r="S286" s="191"/>
      <x:c r="T286" s="191"/>
      <x:c r="U286" s="191"/>
      <x:c r="V286" s="191"/>
      <x:c r="W286" s="191"/>
      <x:c r="X286" s="191"/>
      <x:c r="Y286" s="191"/>
      <x:c r="Z286" s="191"/>
      <x:c r="AA286" s="191"/>
      <x:c r="AB286" s="191"/>
      <x:c r="AC286" s="191"/>
      <x:c r="AD286" s="191"/>
      <x:c r="AE286" s="191"/>
      <x:c r="AF286" s="191"/>
      <x:c r="AG286" s="191"/>
      <x:c r="AH286" s="191"/>
      <x:c r="AI286" s="191"/>
      <x:c r="AJ286" s="191"/>
      <x:c r="AK286" s="191"/>
    </x:row>
    <x:row r="287">
      <x:c r="A287" s="191"/>
      <x:c r="B287" s="191"/>
      <x:c r="C287" s="191"/>
      <x:c r="D287" s="191"/>
      <x:c r="E287" s="191"/>
      <x:c r="F287" s="191"/>
      <x:c r="G287" s="191"/>
      <x:c r="H287" s="191"/>
      <x:c r="I287" s="191"/>
      <x:c r="J287" s="191"/>
      <x:c r="K287" s="191"/>
      <x:c r="L287" s="191"/>
      <x:c r="M287" s="191"/>
      <x:c r="N287" s="191"/>
      <x:c r="O287" s="191"/>
      <x:c r="P287" s="191"/>
      <x:c r="Q287" s="191"/>
      <x:c r="R287" s="191"/>
      <x:c r="S287" s="191"/>
      <x:c r="T287" s="191"/>
      <x:c r="U287" s="191"/>
      <x:c r="V287" s="191"/>
      <x:c r="W287" s="191"/>
      <x:c r="X287" s="191"/>
      <x:c r="Y287" s="191"/>
      <x:c r="Z287" s="191"/>
      <x:c r="AA287" s="191"/>
      <x:c r="AB287" s="191"/>
      <x:c r="AC287" s="191"/>
      <x:c r="AD287" s="191"/>
      <x:c r="AE287" s="191"/>
      <x:c r="AF287" s="191"/>
      <x:c r="AG287" s="191"/>
      <x:c r="AH287" s="191"/>
      <x:c r="AI287" s="191"/>
      <x:c r="AJ287" s="191"/>
      <x:c r="AK287" s="191"/>
    </x:row>
    <x:row r="288">
      <x:c r="A288" s="191"/>
      <x:c r="B288" s="191"/>
      <x:c r="C288" s="191"/>
      <x:c r="D288" s="191"/>
      <x:c r="E288" s="191"/>
      <x:c r="F288" s="191"/>
      <x:c r="G288" s="191"/>
      <x:c r="H288" s="191"/>
      <x:c r="I288" s="191"/>
      <x:c r="J288" s="191"/>
      <x:c r="K288" s="191"/>
      <x:c r="L288" s="191"/>
      <x:c r="M288" s="191"/>
      <x:c r="N288" s="191"/>
      <x:c r="O288" s="191"/>
      <x:c r="P288" s="191"/>
      <x:c r="Q288" s="191"/>
      <x:c r="R288" s="191"/>
      <x:c r="S288" s="191"/>
      <x:c r="T288" s="191"/>
      <x:c r="U288" s="191"/>
      <x:c r="V288" s="191"/>
      <x:c r="W288" s="191"/>
      <x:c r="X288" s="191"/>
      <x:c r="Y288" s="191"/>
      <x:c r="Z288" s="191"/>
      <x:c r="AA288" s="191"/>
      <x:c r="AB288" s="191"/>
      <x:c r="AC288" s="191"/>
      <x:c r="AD288" s="191"/>
      <x:c r="AE288" s="191"/>
      <x:c r="AF288" s="191"/>
      <x:c r="AG288" s="191"/>
      <x:c r="AH288" s="191"/>
      <x:c r="AI288" s="191"/>
      <x:c r="AJ288" s="191"/>
      <x:c r="AK288" s="191"/>
    </x:row>
    <x:row r="289">
      <x:c r="A289" s="191"/>
      <x:c r="B289" s="191"/>
      <x:c r="C289" s="191"/>
      <x:c r="D289" s="191"/>
      <x:c r="E289" s="191"/>
      <x:c r="F289" s="191"/>
      <x:c r="G289" s="191"/>
      <x:c r="H289" s="191"/>
      <x:c r="I289" s="191"/>
      <x:c r="J289" s="191"/>
      <x:c r="K289" s="191"/>
      <x:c r="L289" s="191"/>
      <x:c r="M289" s="191"/>
      <x:c r="N289" s="191"/>
      <x:c r="O289" s="191"/>
      <x:c r="P289" s="191"/>
      <x:c r="Q289" s="191"/>
      <x:c r="R289" s="191"/>
      <x:c r="S289" s="191"/>
      <x:c r="T289" s="191"/>
      <x:c r="U289" s="191"/>
      <x:c r="V289" s="191"/>
      <x:c r="W289" s="191"/>
      <x:c r="X289" s="191"/>
      <x:c r="Y289" s="191"/>
      <x:c r="Z289" s="191"/>
      <x:c r="AA289" s="191"/>
      <x:c r="AB289" s="191"/>
      <x:c r="AC289" s="191"/>
      <x:c r="AD289" s="191"/>
      <x:c r="AE289" s="191"/>
      <x:c r="AF289" s="191"/>
      <x:c r="AG289" s="191"/>
      <x:c r="AH289" s="191"/>
      <x:c r="AI289" s="191"/>
      <x:c r="AJ289" s="191"/>
      <x:c r="AK289" s="191"/>
    </x:row>
    <x:row r="290">
      <x:c r="A290" s="191"/>
      <x:c r="B290" s="191"/>
      <x:c r="C290" s="191"/>
      <x:c r="D290" s="191"/>
      <x:c r="E290" s="191"/>
      <x:c r="F290" s="191"/>
      <x:c r="G290" s="191"/>
      <x:c r="H290" s="191"/>
      <x:c r="I290" s="191"/>
      <x:c r="J290" s="191"/>
      <x:c r="K290" s="191"/>
      <x:c r="L290" s="191"/>
      <x:c r="M290" s="191"/>
      <x:c r="N290" s="191"/>
      <x:c r="O290" s="191"/>
      <x:c r="P290" s="191"/>
      <x:c r="Q290" s="191"/>
      <x:c r="R290" s="191"/>
      <x:c r="S290" s="191"/>
      <x:c r="T290" s="191"/>
      <x:c r="U290" s="191"/>
      <x:c r="V290" s="191"/>
      <x:c r="W290" s="191"/>
      <x:c r="X290" s="191"/>
      <x:c r="Y290" s="191"/>
      <x:c r="Z290" s="191"/>
      <x:c r="AA290" s="191"/>
      <x:c r="AB290" s="191"/>
      <x:c r="AC290" s="191"/>
      <x:c r="AD290" s="191"/>
      <x:c r="AE290" s="191"/>
      <x:c r="AF290" s="191"/>
      <x:c r="AG290" s="191"/>
      <x:c r="AH290" s="191"/>
      <x:c r="AI290" s="191"/>
      <x:c r="AJ290" s="191"/>
      <x:c r="AK290" s="191"/>
    </x:row>
    <x:row r="291">
      <x:c r="A291" s="191"/>
      <x:c r="B291" s="191"/>
      <x:c r="C291" s="191"/>
      <x:c r="D291" s="191"/>
      <x:c r="E291" s="191"/>
      <x:c r="F291" s="191"/>
      <x:c r="G291" s="191"/>
      <x:c r="H291" s="191"/>
      <x:c r="I291" s="191"/>
      <x:c r="J291" s="191"/>
      <x:c r="K291" s="191"/>
      <x:c r="L291" s="191"/>
      <x:c r="M291" s="191"/>
      <x:c r="N291" s="191"/>
      <x:c r="O291" s="191"/>
      <x:c r="P291" s="191"/>
      <x:c r="Q291" s="191"/>
      <x:c r="R291" s="191"/>
      <x:c r="S291" s="191"/>
      <x:c r="T291" s="191"/>
      <x:c r="U291" s="191"/>
      <x:c r="V291" s="191"/>
      <x:c r="W291" s="191"/>
      <x:c r="X291" s="191"/>
      <x:c r="Y291" s="191"/>
      <x:c r="Z291" s="191"/>
      <x:c r="AA291" s="191"/>
      <x:c r="AB291" s="191"/>
      <x:c r="AC291" s="191"/>
      <x:c r="AD291" s="191"/>
      <x:c r="AE291" s="191"/>
      <x:c r="AF291" s="191"/>
      <x:c r="AG291" s="191"/>
      <x:c r="AH291" s="191"/>
      <x:c r="AI291" s="191"/>
      <x:c r="AJ291" s="191"/>
      <x:c r="AK291" s="191"/>
    </x:row>
    <x:row r="292">
      <x:c r="A292" s="191"/>
      <x:c r="B292" s="191"/>
      <x:c r="C292" s="191"/>
      <x:c r="D292" s="191"/>
      <x:c r="E292" s="191"/>
      <x:c r="F292" s="191"/>
      <x:c r="G292" s="191"/>
      <x:c r="H292" s="191"/>
      <x:c r="I292" s="191"/>
      <x:c r="J292" s="191"/>
      <x:c r="K292" s="191"/>
      <x:c r="L292" s="191"/>
      <x:c r="M292" s="191"/>
      <x:c r="N292" s="191"/>
      <x:c r="O292" s="191"/>
      <x:c r="P292" s="191"/>
      <x:c r="Q292" s="191"/>
      <x:c r="R292" s="191"/>
      <x:c r="S292" s="191"/>
      <x:c r="T292" s="191"/>
      <x:c r="U292" s="191"/>
      <x:c r="V292" s="191"/>
      <x:c r="W292" s="191"/>
      <x:c r="X292" s="191"/>
      <x:c r="Y292" s="191"/>
      <x:c r="Z292" s="191"/>
      <x:c r="AA292" s="191"/>
      <x:c r="AB292" s="191"/>
      <x:c r="AC292" s="191"/>
      <x:c r="AD292" s="191"/>
      <x:c r="AE292" s="191"/>
      <x:c r="AF292" s="191"/>
      <x:c r="AG292" s="191"/>
      <x:c r="AH292" s="191"/>
      <x:c r="AI292" s="191"/>
      <x:c r="AJ292" s="191"/>
      <x:c r="AK292" s="191"/>
    </x:row>
    <x:row r="293">
      <x:c r="A293" s="191"/>
      <x:c r="B293" s="191"/>
      <x:c r="C293" s="191"/>
      <x:c r="D293" s="191"/>
      <x:c r="E293" s="191"/>
      <x:c r="F293" s="191"/>
      <x:c r="G293" s="191"/>
      <x:c r="H293" s="191"/>
      <x:c r="I293" s="191"/>
      <x:c r="J293" s="191"/>
      <x:c r="K293" s="191"/>
      <x:c r="L293" s="191"/>
      <x:c r="M293" s="191"/>
      <x:c r="N293" s="191"/>
      <x:c r="O293" s="191"/>
      <x:c r="P293" s="191"/>
      <x:c r="Q293" s="191"/>
      <x:c r="R293" s="191"/>
      <x:c r="S293" s="191"/>
      <x:c r="T293" s="191"/>
      <x:c r="U293" s="191"/>
      <x:c r="V293" s="191"/>
      <x:c r="W293" s="191"/>
      <x:c r="X293" s="191"/>
      <x:c r="Y293" s="191"/>
      <x:c r="Z293" s="191"/>
      <x:c r="AA293" s="191"/>
      <x:c r="AB293" s="191"/>
      <x:c r="AC293" s="191"/>
      <x:c r="AD293" s="191"/>
      <x:c r="AE293" s="191"/>
      <x:c r="AF293" s="191"/>
      <x:c r="AG293" s="191"/>
      <x:c r="AH293" s="191"/>
      <x:c r="AI293" s="191"/>
      <x:c r="AJ293" s="191"/>
      <x:c r="AK293" s="191"/>
    </x:row>
    <x:row r="294">
      <x:c r="A294" s="191"/>
      <x:c r="B294" s="191"/>
      <x:c r="C294" s="191"/>
      <x:c r="D294" s="191"/>
      <x:c r="E294" s="191"/>
      <x:c r="F294" s="191"/>
      <x:c r="G294" s="191"/>
      <x:c r="H294" s="191"/>
      <x:c r="I294" s="191"/>
      <x:c r="J294" s="191"/>
      <x:c r="K294" s="191"/>
      <x:c r="L294" s="191"/>
      <x:c r="M294" s="191"/>
      <x:c r="N294" s="191"/>
      <x:c r="O294" s="191"/>
      <x:c r="P294" s="191"/>
      <x:c r="Q294" s="191"/>
      <x:c r="R294" s="191"/>
      <x:c r="S294" s="191"/>
      <x:c r="T294" s="191"/>
      <x:c r="U294" s="191"/>
      <x:c r="V294" s="191"/>
      <x:c r="W294" s="191"/>
      <x:c r="X294" s="191"/>
      <x:c r="Y294" s="191"/>
      <x:c r="Z294" s="191"/>
      <x:c r="AA294" s="191"/>
      <x:c r="AB294" s="191"/>
      <x:c r="AC294" s="191"/>
      <x:c r="AD294" s="191"/>
      <x:c r="AE294" s="191"/>
      <x:c r="AF294" s="191"/>
      <x:c r="AG294" s="191"/>
      <x:c r="AH294" s="191"/>
      <x:c r="AI294" s="191"/>
      <x:c r="AJ294" s="191"/>
      <x:c r="AK294" s="191"/>
    </x:row>
    <x:row r="295">
      <x:c r="A295" s="191"/>
      <x:c r="B295" s="191"/>
      <x:c r="C295" s="191"/>
      <x:c r="D295" s="191"/>
      <x:c r="E295" s="191"/>
      <x:c r="F295" s="191"/>
      <x:c r="G295" s="191"/>
      <x:c r="H295" s="191"/>
      <x:c r="I295" s="191"/>
      <x:c r="J295" s="191"/>
      <x:c r="K295" s="191"/>
      <x:c r="L295" s="191"/>
      <x:c r="M295" s="191"/>
      <x:c r="N295" s="191"/>
      <x:c r="O295" s="191"/>
      <x:c r="P295" s="191"/>
      <x:c r="Q295" s="191"/>
      <x:c r="R295" s="191"/>
      <x:c r="S295" s="191"/>
      <x:c r="T295" s="191"/>
      <x:c r="U295" s="191"/>
      <x:c r="V295" s="191"/>
      <x:c r="W295" s="191"/>
      <x:c r="X295" s="191"/>
      <x:c r="Y295" s="191"/>
      <x:c r="Z295" s="191"/>
      <x:c r="AA295" s="191"/>
      <x:c r="AB295" s="191"/>
      <x:c r="AC295" s="191"/>
      <x:c r="AD295" s="191"/>
      <x:c r="AE295" s="191"/>
      <x:c r="AF295" s="191"/>
      <x:c r="AG295" s="191"/>
      <x:c r="AH295" s="191"/>
      <x:c r="AI295" s="191"/>
      <x:c r="AJ295" s="191"/>
      <x:c r="AK295" s="191"/>
    </x:row>
    <x:row r="296">
      <x:c r="A296" s="191"/>
      <x:c r="B296" s="191"/>
      <x:c r="C296" s="191"/>
      <x:c r="D296" s="191"/>
      <x:c r="E296" s="191"/>
      <x:c r="F296" s="191"/>
      <x:c r="G296" s="191"/>
      <x:c r="H296" s="191"/>
      <x:c r="I296" s="191"/>
      <x:c r="J296" s="191"/>
      <x:c r="K296" s="191"/>
      <x:c r="L296" s="191"/>
      <x:c r="M296" s="191"/>
      <x:c r="N296" s="191"/>
      <x:c r="O296" s="191"/>
      <x:c r="P296" s="191"/>
      <x:c r="Q296" s="191"/>
      <x:c r="R296" s="191"/>
      <x:c r="S296" s="191"/>
      <x:c r="T296" s="191"/>
      <x:c r="U296" s="191"/>
      <x:c r="V296" s="191"/>
      <x:c r="W296" s="191"/>
      <x:c r="X296" s="191"/>
      <x:c r="Y296" s="191"/>
      <x:c r="Z296" s="191"/>
      <x:c r="AA296" s="191"/>
      <x:c r="AB296" s="191"/>
      <x:c r="AC296" s="191"/>
      <x:c r="AD296" s="191"/>
      <x:c r="AE296" s="191"/>
      <x:c r="AF296" s="191"/>
      <x:c r="AG296" s="191"/>
      <x:c r="AH296" s="191"/>
      <x:c r="AI296" s="191"/>
      <x:c r="AJ296" s="191"/>
      <x:c r="AK296" s="191"/>
    </x:row>
    <x:row r="297">
      <x:c r="A297" s="191"/>
      <x:c r="B297" s="191"/>
      <x:c r="C297" s="191"/>
      <x:c r="D297" s="191"/>
      <x:c r="E297" s="191"/>
      <x:c r="F297" s="191"/>
      <x:c r="G297" s="191"/>
      <x:c r="H297" s="191"/>
      <x:c r="I297" s="191"/>
      <x:c r="J297" s="191"/>
      <x:c r="K297" s="191"/>
      <x:c r="L297" s="191"/>
      <x:c r="M297" s="191"/>
      <x:c r="N297" s="191"/>
      <x:c r="O297" s="191"/>
      <x:c r="P297" s="191"/>
      <x:c r="Q297" s="191"/>
      <x:c r="R297" s="191"/>
      <x:c r="S297" s="191"/>
      <x:c r="T297" s="191"/>
      <x:c r="U297" s="191"/>
      <x:c r="V297" s="191"/>
      <x:c r="W297" s="191"/>
      <x:c r="X297" s="191"/>
      <x:c r="Y297" s="191"/>
      <x:c r="Z297" s="191"/>
      <x:c r="AA297" s="191"/>
      <x:c r="AB297" s="191"/>
      <x:c r="AC297" s="191"/>
      <x:c r="AD297" s="191"/>
      <x:c r="AE297" s="191"/>
      <x:c r="AF297" s="191"/>
      <x:c r="AG297" s="191"/>
      <x:c r="AH297" s="191"/>
      <x:c r="AI297" s="191"/>
      <x:c r="AJ297" s="191"/>
      <x:c r="AK297" s="191"/>
    </x:row>
    <x:row r="298">
      <x:c r="A298" s="191"/>
      <x:c r="B298" s="191"/>
      <x:c r="C298" s="191"/>
      <x:c r="D298" s="191"/>
      <x:c r="E298" s="191"/>
      <x:c r="F298" s="191"/>
      <x:c r="G298" s="191"/>
      <x:c r="H298" s="191"/>
      <x:c r="I298" s="191"/>
      <x:c r="J298" s="191"/>
      <x:c r="K298" s="191"/>
      <x:c r="L298" s="191"/>
      <x:c r="M298" s="191"/>
      <x:c r="N298" s="191"/>
      <x:c r="O298" s="191"/>
      <x:c r="P298" s="191"/>
      <x:c r="Q298" s="191"/>
      <x:c r="R298" s="191"/>
      <x:c r="S298" s="191"/>
      <x:c r="T298" s="191"/>
      <x:c r="U298" s="191"/>
      <x:c r="V298" s="191"/>
      <x:c r="W298" s="191"/>
      <x:c r="X298" s="191"/>
      <x:c r="Y298" s="191"/>
      <x:c r="Z298" s="191"/>
      <x:c r="AA298" s="191"/>
      <x:c r="AB298" s="191"/>
      <x:c r="AC298" s="191"/>
      <x:c r="AD298" s="191"/>
      <x:c r="AE298" s="191"/>
      <x:c r="AF298" s="191"/>
      <x:c r="AG298" s="191"/>
      <x:c r="AH298" s="191"/>
      <x:c r="AI298" s="191"/>
      <x:c r="AJ298" s="191"/>
      <x:c r="AK298" s="191"/>
    </x:row>
    <x:row r="299">
      <x:c r="A299" s="191"/>
      <x:c r="B299" s="191"/>
      <x:c r="C299" s="191"/>
      <x:c r="D299" s="191"/>
      <x:c r="E299" s="191"/>
      <x:c r="F299" s="191"/>
      <x:c r="G299" s="191"/>
      <x:c r="H299" s="191"/>
      <x:c r="I299" s="191"/>
      <x:c r="J299" s="191"/>
      <x:c r="K299" s="191"/>
      <x:c r="L299" s="191"/>
      <x:c r="M299" s="191"/>
      <x:c r="N299" s="191"/>
      <x:c r="O299" s="191"/>
      <x:c r="P299" s="191"/>
      <x:c r="Q299" s="191"/>
      <x:c r="R299" s="191"/>
      <x:c r="S299" s="191"/>
      <x:c r="T299" s="191"/>
      <x:c r="U299" s="191"/>
      <x:c r="V299" s="191"/>
      <x:c r="W299" s="191"/>
      <x:c r="X299" s="191"/>
      <x:c r="Y299" s="191"/>
      <x:c r="Z299" s="191"/>
      <x:c r="AA299" s="191"/>
      <x:c r="AB299" s="191"/>
      <x:c r="AC299" s="191"/>
      <x:c r="AD299" s="191"/>
      <x:c r="AE299" s="191"/>
      <x:c r="AF299" s="191"/>
      <x:c r="AG299" s="191"/>
      <x:c r="AH299" s="191"/>
      <x:c r="AI299" s="191"/>
      <x:c r="AJ299" s="191"/>
      <x:c r="AK299" s="191"/>
    </x:row>
    <x:row r="300">
      <x:c r="A300" s="191"/>
      <x:c r="B300" s="191"/>
      <x:c r="C300" s="191"/>
      <x:c r="D300" s="191"/>
      <x:c r="E300" s="191"/>
      <x:c r="F300" s="191"/>
      <x:c r="G300" s="191"/>
      <x:c r="H300" s="191"/>
      <x:c r="I300" s="191"/>
      <x:c r="J300" s="191"/>
      <x:c r="K300" s="191"/>
      <x:c r="L300" s="191"/>
      <x:c r="M300" s="191"/>
      <x:c r="N300" s="191"/>
      <x:c r="O300" s="191"/>
      <x:c r="P300" s="191"/>
      <x:c r="Q300" s="191"/>
      <x:c r="R300" s="191"/>
      <x:c r="S300" s="191"/>
      <x:c r="T300" s="191"/>
      <x:c r="U300" s="191"/>
      <x:c r="V300" s="191"/>
      <x:c r="W300" s="191"/>
      <x:c r="X300" s="191"/>
      <x:c r="Y300" s="191"/>
      <x:c r="Z300" s="191"/>
      <x:c r="AA300" s="191"/>
      <x:c r="AB300" s="191"/>
      <x:c r="AC300" s="191"/>
      <x:c r="AD300" s="191"/>
      <x:c r="AE300" s="191"/>
      <x:c r="AF300" s="191"/>
      <x:c r="AG300" s="191"/>
      <x:c r="AH300" s="191"/>
      <x:c r="AI300" s="191"/>
      <x:c r="AJ300" s="191"/>
      <x:c r="AK300" s="191"/>
    </x:row>
  </x:sheetData>
  <x:mergeCells>
    <x:mergeCell ref="A1:J1"/>
    <x:mergeCell ref="A3:J5"/>
    <x:mergeCell ref="A7:D7"/>
    <x:mergeCell ref="L7:P7"/>
  </x:mergeCells>
  <x:conditionalFormatting sqref="H15:H264">
    <x:cfRule type="expression" dxfId="0" priority="1">
      <x:formula>H15="TAIL"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58" hidden="0" customWidth="1"/>
    <x:col min="4" max="4" width="58" hidden="0" customWidth="1"/>
  </x:cols>
  <x:sheetData>
    <x:row r="1" ht="28" customHeight="1">
      <x:c r="A1" s="5" t="str">
        <x:v>References and Model Status</x:v>
      </x:c>
      <x:c r="B1" s="5"/>
      <x:c r="C1" s="5"/>
      <x:c r="D1" s="5"/>
      <x:c r="E1" s="191"/>
      <x:c r="F1" s="191"/>
      <x:c r="G1" s="191"/>
      <x:c r="H1" s="191"/>
      <x:c r="I1" s="191"/>
      <x:c r="J1" s="191"/>
      <x:c r="K1" s="191"/>
      <x:c r="L1" s="191"/>
      <x:c r="M1" s="191"/>
      <x:c r="N1" s="191"/>
      <x:c r="O1" s="191"/>
      <x:c r="P1" s="191"/>
      <x:c r="Q1" s="191"/>
      <x:c r="R1" s="191"/>
      <x:c r="S1" s="191"/>
      <x:c r="T1" s="191"/>
      <x:c r="U1" s="191"/>
      <x:c r="V1" s="191"/>
      <x:c r="W1" s="191"/>
      <x:c r="X1" s="191"/>
      <x:c r="Y1" s="191"/>
      <x:c r="Z1" s="191"/>
      <x:c r="AA1" s="191"/>
      <x:c r="AB1" s="191"/>
      <x:c r="AC1" s="191"/>
      <x:c r="AD1" s="191"/>
      <x:c r="AE1" s="191"/>
      <x:c r="AF1" s="191"/>
      <x:c r="AG1" s="191"/>
      <x:c r="AH1" s="191"/>
      <x:c r="AI1" s="191"/>
      <x:c r="AJ1" s="191"/>
      <x:c r="AK1" s="191"/>
    </x:row>
    <x:row r="2">
      <x:c r="A2" s="191"/>
      <x:c r="B2" s="191"/>
      <x:c r="C2" s="191"/>
      <x:c r="D2" s="191"/>
      <x:c r="E2" s="191"/>
      <x:c r="F2" s="191"/>
      <x:c r="G2" s="191"/>
      <x:c r="H2" s="191"/>
      <x:c r="I2" s="191"/>
      <x:c r="J2" s="191"/>
      <x:c r="K2" s="191"/>
      <x:c r="L2" s="191"/>
      <x:c r="M2" s="191"/>
      <x:c r="N2" s="191"/>
      <x:c r="O2" s="191"/>
      <x:c r="P2" s="191"/>
      <x:c r="Q2" s="191"/>
      <x:c r="R2" s="191"/>
      <x:c r="S2" s="191"/>
      <x:c r="T2" s="191"/>
      <x:c r="U2" s="191"/>
      <x:c r="V2" s="191"/>
      <x:c r="W2" s="191"/>
      <x:c r="X2" s="191"/>
      <x:c r="Y2" s="191"/>
      <x:c r="Z2" s="191"/>
      <x:c r="AA2" s="191"/>
      <x:c r="AB2" s="191"/>
      <x:c r="AC2" s="191"/>
      <x:c r="AD2" s="191"/>
      <x:c r="AE2" s="191"/>
      <x:c r="AF2" s="191"/>
      <x:c r="AG2" s="191"/>
      <x:c r="AH2" s="191"/>
      <x:c r="AI2" s="191"/>
      <x:c r="AJ2" s="191"/>
      <x:c r="AK2" s="191"/>
    </x:row>
    <x:row r="3">
      <x:c r="A3" s="45" t="str">
        <x:v>Topic</x:v>
      </x:c>
      <x:c r="B3" s="45" t="str">
        <x:v>Source</x:v>
      </x:c>
      <x:c r="C3" s="45" t="str">
        <x:v>URL</x:v>
      </x:c>
      <x:c r="D3" s="45" t="str">
        <x:v>How used</x:v>
      </x:c>
      <x:c r="E3" s="191"/>
      <x:c r="F3" s="191"/>
      <x:c r="G3" s="191"/>
      <x:c r="H3" s="191"/>
      <x:c r="I3" s="191"/>
      <x:c r="J3" s="191"/>
      <x:c r="K3" s="191"/>
      <x:c r="L3" s="191"/>
      <x:c r="M3" s="191"/>
      <x:c r="N3" s="191"/>
      <x:c r="O3" s="191"/>
      <x:c r="P3" s="191"/>
      <x:c r="Q3" s="191"/>
      <x:c r="R3" s="191"/>
      <x:c r="S3" s="191"/>
      <x:c r="T3" s="191"/>
      <x:c r="U3" s="191"/>
      <x:c r="V3" s="191"/>
      <x:c r="W3" s="191"/>
      <x:c r="X3" s="191"/>
      <x:c r="Y3" s="191"/>
      <x:c r="Z3" s="191"/>
      <x:c r="AA3" s="191"/>
      <x:c r="AB3" s="191"/>
      <x:c r="AC3" s="191"/>
      <x:c r="AD3" s="191"/>
      <x:c r="AE3" s="191"/>
      <x:c r="AF3" s="191"/>
      <x:c r="AG3" s="191"/>
      <x:c r="AH3" s="191"/>
      <x:c r="AI3" s="191"/>
      <x:c r="AJ3" s="191"/>
      <x:c r="AK3" s="191"/>
    </x:row>
    <x:row r="4">
      <x:c r="A4" s="192" t="str">
        <x:v>Basel market risk standard</x:v>
      </x:c>
      <x:c r="B4" s="192" t="str">
        <x:v>Basel Committee on Banking Supervision</x:v>
      </x:c>
      <x:c r="C4" s="281" t="str">
        <x:v>https://www.bis.org/bcbs/publ/d457.htm</x:v>
      </x:c>
      <x:c r="D4" s="192" t="str">
        <x:v>Context for IMA expected shortfall and separate treatment of modellable/non-modellable risk factors</x:v>
      </x:c>
      <x:c r="E4" s="191"/>
      <x:c r="F4" s="191"/>
      <x:c r="G4" s="191"/>
      <x:c r="H4" s="191"/>
      <x:c r="I4" s="191"/>
      <x:c r="J4" s="191"/>
      <x:c r="K4" s="191"/>
      <x:c r="L4" s="191"/>
      <x:c r="M4" s="191"/>
      <x:c r="N4" s="191"/>
      <x:c r="O4" s="191"/>
      <x:c r="P4" s="191"/>
      <x:c r="Q4" s="191"/>
      <x:c r="R4" s="191"/>
      <x:c r="S4" s="191"/>
      <x:c r="T4" s="191"/>
      <x:c r="U4" s="191"/>
      <x:c r="V4" s="191"/>
      <x:c r="W4" s="191"/>
      <x:c r="X4" s="191"/>
      <x:c r="Y4" s="191"/>
      <x:c r="Z4" s="191"/>
      <x:c r="AA4" s="191"/>
      <x:c r="AB4" s="191"/>
      <x:c r="AC4" s="191"/>
      <x:c r="AD4" s="191"/>
      <x:c r="AE4" s="191"/>
      <x:c r="AF4" s="191"/>
      <x:c r="AG4" s="191"/>
      <x:c r="AH4" s="191"/>
      <x:c r="AI4" s="191"/>
      <x:c r="AJ4" s="191"/>
      <x:c r="AK4" s="191"/>
    </x:row>
    <x:row r="5">
      <x:c r="A5" s="192" t="str">
        <x:v>IMA general provisions</x:v>
      </x:c>
      <x:c r="B5" s="192" t="str">
        <x:v>Basel Framework MAR30</x:v>
      </x:c>
      <x:c r="C5" s="281" t="str">
        <x:v>https://www.bis.org/basel_framework/chapter/MAR/30.htm</x:v>
      </x:c>
      <x:c r="D5" s="192" t="str">
        <x:v>Context for internal ES models and trading-desk IMA requirements</x:v>
      </x:c>
      <x:c r="E5" s="191"/>
      <x:c r="F5" s="191"/>
      <x:c r="G5" s="191"/>
      <x:c r="H5" s="191"/>
      <x:c r="I5" s="191"/>
      <x:c r="J5" s="191"/>
      <x:c r="K5" s="191"/>
      <x:c r="L5" s="191"/>
      <x:c r="M5" s="191"/>
      <x:c r="N5" s="191"/>
      <x:c r="O5" s="191"/>
      <x:c r="P5" s="191"/>
      <x:c r="Q5" s="191"/>
      <x:c r="R5" s="191"/>
      <x:c r="S5" s="191"/>
      <x:c r="T5" s="191"/>
      <x:c r="U5" s="191"/>
      <x:c r="V5" s="191"/>
      <x:c r="W5" s="191"/>
      <x:c r="X5" s="191"/>
      <x:c r="Y5" s="191"/>
      <x:c r="Z5" s="191"/>
      <x:c r="AA5" s="191"/>
      <x:c r="AB5" s="191"/>
      <x:c r="AC5" s="191"/>
      <x:c r="AD5" s="191"/>
      <x:c r="AE5" s="191"/>
      <x:c r="AF5" s="191"/>
      <x:c r="AG5" s="191"/>
      <x:c r="AH5" s="191"/>
      <x:c r="AI5" s="191"/>
      <x:c r="AJ5" s="191"/>
      <x:c r="AK5" s="191"/>
    </x:row>
    <x:row r="6">
      <x:c r="A6" s="192" t="str">
        <x:v>IMA ES methodology</x:v>
      </x:c>
      <x:c r="B6" s="192" t="str">
        <x:v>Basel Framework MAR33</x:v>
      </x:c>
      <x:c r="C6" s="281" t="str">
        <x:v>https://www.bis.org/basel_framework/chapter/MAR/33.htm</x:v>
      </x:c>
      <x:c r="D6" s="192" t="str">
        <x:v>Context for expected shortfall calculation under the internal models approach</x:v>
      </x:c>
      <x:c r="E6" s="191"/>
      <x:c r="F6" s="191"/>
      <x:c r="G6" s="191"/>
      <x:c r="H6" s="191"/>
      <x:c r="I6" s="191"/>
      <x:c r="J6" s="191"/>
      <x:c r="K6" s="191"/>
      <x:c r="L6" s="191"/>
      <x:c r="M6" s="191"/>
      <x:c r="N6" s="191"/>
      <x:c r="O6" s="191"/>
      <x:c r="P6" s="191"/>
      <x:c r="Q6" s="191"/>
      <x:c r="R6" s="191"/>
      <x:c r="S6" s="191"/>
      <x:c r="T6" s="191"/>
      <x:c r="U6" s="191"/>
      <x:c r="V6" s="191"/>
      <x:c r="W6" s="191"/>
      <x:c r="X6" s="191"/>
      <x:c r="Y6" s="191"/>
      <x:c r="Z6" s="191"/>
      <x:c r="AA6" s="191"/>
      <x:c r="AB6" s="191"/>
      <x:c r="AC6" s="191"/>
      <x:c r="AD6" s="191"/>
      <x:c r="AE6" s="191"/>
      <x:c r="AF6" s="191"/>
      <x:c r="AG6" s="191"/>
      <x:c r="AH6" s="191"/>
      <x:c r="AI6" s="191"/>
      <x:c r="AJ6" s="191"/>
      <x:c r="AK6" s="191"/>
    </x:row>
    <x:row r="7">
      <x:c r="A7" s="192" t="str">
        <x:v>Workbook-specific assumptions</x:v>
      </x:c>
      <x:c r="B7" s="192" t="str">
        <x:v>User-provided design plus clearly marked illustrative values</x:v>
      </x:c>
      <x:c r="C7" s="192" t="str">
        <x:v>N/A</x:v>
      </x:c>
      <x:c r="D7" s="192" t="str">
        <x:v>Dates, trade ID, curve taxonomy, tenors and requested revaluation structure</x:v>
      </x:c>
      <x:c r="E7" s="191"/>
      <x:c r="F7" s="191"/>
      <x:c r="G7" s="191"/>
      <x:c r="H7" s="191"/>
      <x:c r="I7" s="191"/>
      <x:c r="J7" s="191"/>
      <x:c r="K7" s="191"/>
      <x:c r="L7" s="191"/>
      <x:c r="M7" s="191"/>
      <x:c r="N7" s="191"/>
      <x:c r="O7" s="191"/>
      <x:c r="P7" s="191"/>
      <x:c r="Q7" s="191"/>
      <x:c r="R7" s="191"/>
      <x:c r="S7" s="191"/>
      <x:c r="T7" s="191"/>
      <x:c r="U7" s="191"/>
      <x:c r="V7" s="191"/>
      <x:c r="W7" s="191"/>
      <x:c r="X7" s="191"/>
      <x:c r="Y7" s="191"/>
      <x:c r="Z7" s="191"/>
      <x:c r="AA7" s="191"/>
      <x:c r="AB7" s="191"/>
      <x:c r="AC7" s="191"/>
      <x:c r="AD7" s="191"/>
      <x:c r="AE7" s="191"/>
      <x:c r="AF7" s="191"/>
      <x:c r="AG7" s="191"/>
      <x:c r="AH7" s="191"/>
      <x:c r="AI7" s="191"/>
      <x:c r="AJ7" s="191"/>
      <x:c r="AK7" s="191"/>
    </x:row>
    <x:row r="8">
      <x:c r="A8" s="191"/>
      <x:c r="B8" s="191"/>
      <x:c r="C8" s="191"/>
      <x:c r="D8" s="191"/>
      <x:c r="E8" s="191"/>
      <x:c r="F8" s="191"/>
      <x:c r="G8" s="191"/>
      <x:c r="H8" s="191"/>
      <x:c r="I8" s="191"/>
      <x:c r="J8" s="191"/>
      <x:c r="K8" s="191"/>
      <x:c r="L8" s="191"/>
      <x:c r="M8" s="191"/>
      <x:c r="N8" s="191"/>
      <x:c r="O8" s="191"/>
      <x:c r="P8" s="191"/>
      <x:c r="Q8" s="191"/>
      <x:c r="R8" s="191"/>
      <x:c r="S8" s="191"/>
      <x:c r="T8" s="191"/>
      <x:c r="U8" s="191"/>
      <x:c r="V8" s="191"/>
      <x:c r="W8" s="191"/>
      <x:c r="X8" s="191"/>
      <x:c r="Y8" s="191"/>
      <x:c r="Z8" s="191"/>
      <x:c r="AA8" s="191"/>
      <x:c r="AB8" s="191"/>
      <x:c r="AC8" s="191"/>
      <x:c r="AD8" s="191"/>
      <x:c r="AE8" s="191"/>
      <x:c r="AF8" s="191"/>
      <x:c r="AG8" s="191"/>
      <x:c r="AH8" s="191"/>
      <x:c r="AI8" s="191"/>
      <x:c r="AJ8" s="191"/>
      <x:c r="AK8" s="191"/>
    </x:row>
    <x:row r="9">
      <x:c r="A9" s="188" t="str">
        <x:v>Model status: Educational / architecture illustration only. The workbook does not contain observed 20-Nov-2008 market data or a production pricing library. Replace the illustrative market levels, shock vectors, response coefficients and text-only UDF calls with approved historical data, market-object builders and the validated NPV engine.</x:v>
      </x:c>
      <x:c r="B9" s="188"/>
      <x:c r="C9" s="188"/>
      <x:c r="D9" s="188"/>
      <x:c r="E9" s="191"/>
      <x:c r="F9" s="191"/>
      <x:c r="G9" s="191"/>
      <x:c r="H9" s="191"/>
      <x:c r="I9" s="191"/>
      <x:c r="J9" s="191"/>
      <x:c r="K9" s="191"/>
      <x:c r="L9" s="191"/>
      <x:c r="M9" s="191"/>
      <x:c r="N9" s="191"/>
      <x:c r="O9" s="191"/>
      <x:c r="P9" s="191"/>
      <x:c r="Q9" s="191"/>
      <x:c r="R9" s="191"/>
      <x:c r="S9" s="191"/>
      <x:c r="T9" s="191"/>
      <x:c r="U9" s="191"/>
      <x:c r="V9" s="191"/>
      <x:c r="W9" s="191"/>
      <x:c r="X9" s="191"/>
      <x:c r="Y9" s="191"/>
      <x:c r="Z9" s="191"/>
      <x:c r="AA9" s="191"/>
      <x:c r="AB9" s="191"/>
      <x:c r="AC9" s="191"/>
      <x:c r="AD9" s="191"/>
      <x:c r="AE9" s="191"/>
      <x:c r="AF9" s="191"/>
      <x:c r="AG9" s="191"/>
      <x:c r="AH9" s="191"/>
      <x:c r="AI9" s="191"/>
      <x:c r="AJ9" s="191"/>
      <x:c r="AK9" s="191"/>
    </x:row>
    <x:row r="10">
      <x:c r="A10" s="188"/>
      <x:c r="B10" s="188"/>
      <x:c r="C10" s="188"/>
      <x:c r="D10" s="188"/>
      <x:c r="E10" s="191"/>
      <x:c r="F10" s="191"/>
      <x:c r="G10" s="191"/>
      <x:c r="H10" s="191"/>
      <x:c r="I10" s="191"/>
      <x:c r="J10" s="191"/>
      <x:c r="K10" s="191"/>
      <x:c r="L10" s="191"/>
      <x:c r="M10" s="191"/>
      <x:c r="N10" s="191"/>
      <x:c r="O10" s="191"/>
      <x:c r="P10" s="191"/>
      <x:c r="Q10" s="191"/>
      <x:c r="R10" s="191"/>
      <x:c r="S10" s="191"/>
      <x:c r="T10" s="191"/>
      <x:c r="U10" s="191"/>
      <x:c r="V10" s="191"/>
      <x:c r="W10" s="191"/>
      <x:c r="X10" s="191"/>
      <x:c r="Y10" s="191"/>
      <x:c r="Z10" s="191"/>
      <x:c r="AA10" s="191"/>
      <x:c r="AB10" s="191"/>
      <x:c r="AC10" s="191"/>
      <x:c r="AD10" s="191"/>
      <x:c r="AE10" s="191"/>
      <x:c r="AF10" s="191"/>
      <x:c r="AG10" s="191"/>
      <x:c r="AH10" s="191"/>
      <x:c r="AI10" s="191"/>
      <x:c r="AJ10" s="191"/>
      <x:c r="AK10" s="191"/>
    </x:row>
    <x:row r="11">
      <x:c r="A11" s="188"/>
      <x:c r="B11" s="188"/>
      <x:c r="C11" s="188"/>
      <x:c r="D11" s="188"/>
      <x:c r="E11" s="191"/>
      <x:c r="F11" s="191"/>
      <x:c r="G11" s="191"/>
      <x:c r="H11" s="191"/>
      <x:c r="I11" s="191"/>
      <x:c r="J11" s="191"/>
      <x:c r="K11" s="191"/>
      <x:c r="L11" s="191"/>
      <x:c r="M11" s="191"/>
      <x:c r="N11" s="191"/>
      <x:c r="O11" s="191"/>
      <x:c r="P11" s="191"/>
      <x:c r="Q11" s="191"/>
      <x:c r="R11" s="191"/>
      <x:c r="S11" s="191"/>
      <x:c r="T11" s="191"/>
      <x:c r="U11" s="191"/>
      <x:c r="V11" s="191"/>
      <x:c r="W11" s="191"/>
      <x:c r="X11" s="191"/>
      <x:c r="Y11" s="191"/>
      <x:c r="Z11" s="191"/>
      <x:c r="AA11" s="191"/>
      <x:c r="AB11" s="191"/>
      <x:c r="AC11" s="191"/>
      <x:c r="AD11" s="191"/>
      <x:c r="AE11" s="191"/>
      <x:c r="AF11" s="191"/>
      <x:c r="AG11" s="191"/>
      <x:c r="AH11" s="191"/>
      <x:c r="AI11" s="191"/>
      <x:c r="AJ11" s="191"/>
      <x:c r="AK11" s="191"/>
    </x:row>
    <x:row r="12">
      <x:c r="A12" s="188"/>
      <x:c r="B12" s="188"/>
      <x:c r="C12" s="188"/>
      <x:c r="D12" s="188"/>
      <x:c r="E12" s="191"/>
      <x:c r="F12" s="191"/>
      <x:c r="G12" s="191"/>
      <x:c r="H12" s="191"/>
      <x:c r="I12" s="191"/>
      <x:c r="J12" s="191"/>
      <x:c r="K12" s="191"/>
      <x:c r="L12" s="191"/>
      <x:c r="M12" s="191"/>
      <x:c r="N12" s="191"/>
      <x:c r="O12" s="191"/>
      <x:c r="P12" s="191"/>
      <x:c r="Q12" s="191"/>
      <x:c r="R12" s="191"/>
      <x:c r="S12" s="191"/>
      <x:c r="T12" s="191"/>
      <x:c r="U12" s="191"/>
      <x:c r="V12" s="191"/>
      <x:c r="W12" s="191"/>
      <x:c r="X12" s="191"/>
      <x:c r="Y12" s="191"/>
      <x:c r="Z12" s="191"/>
      <x:c r="AA12" s="191"/>
      <x:c r="AB12" s="191"/>
      <x:c r="AC12" s="191"/>
      <x:c r="AD12" s="191"/>
      <x:c r="AE12" s="191"/>
      <x:c r="AF12" s="191"/>
      <x:c r="AG12" s="191"/>
      <x:c r="AH12" s="191"/>
      <x:c r="AI12" s="191"/>
      <x:c r="AJ12" s="191"/>
      <x:c r="AK12" s="191"/>
    </x:row>
    <x:row r="13">
      <x:c r="A13" s="188"/>
      <x:c r="B13" s="188"/>
      <x:c r="C13" s="188"/>
      <x:c r="D13" s="188"/>
      <x:c r="E13" s="191"/>
      <x:c r="F13" s="191"/>
      <x:c r="G13" s="191"/>
      <x:c r="H13" s="191"/>
      <x:c r="I13" s="191"/>
      <x:c r="J13" s="191"/>
      <x:c r="K13" s="191"/>
      <x:c r="L13" s="191"/>
      <x:c r="M13" s="191"/>
      <x:c r="N13" s="191"/>
      <x:c r="O13" s="191"/>
      <x:c r="P13" s="191"/>
      <x:c r="Q13" s="191"/>
      <x:c r="R13" s="191"/>
      <x:c r="S13" s="191"/>
      <x:c r="T13" s="191"/>
      <x:c r="U13" s="191"/>
      <x:c r="V13" s="191"/>
      <x:c r="W13" s="191"/>
      <x:c r="X13" s="191"/>
      <x:c r="Y13" s="191"/>
      <x:c r="Z13" s="191"/>
      <x:c r="AA13" s="191"/>
      <x:c r="AB13" s="191"/>
      <x:c r="AC13" s="191"/>
      <x:c r="AD13" s="191"/>
      <x:c r="AE13" s="191"/>
      <x:c r="AF13" s="191"/>
      <x:c r="AG13" s="191"/>
      <x:c r="AH13" s="191"/>
      <x:c r="AI13" s="191"/>
      <x:c r="AJ13" s="191"/>
      <x:c r="AK13" s="191"/>
    </x:row>
    <x:row r="14">
      <x:c r="A14" s="191"/>
      <x:c r="B14" s="191"/>
      <x:c r="C14" s="191"/>
      <x:c r="D14" s="191"/>
      <x:c r="E14" s="191"/>
      <x:c r="F14" s="191"/>
      <x:c r="G14" s="191"/>
      <x:c r="H14" s="191"/>
      <x:c r="I14" s="191"/>
      <x:c r="J14" s="191"/>
      <x:c r="K14" s="191"/>
      <x:c r="L14" s="191"/>
      <x:c r="M14" s="191"/>
      <x:c r="N14" s="191"/>
      <x:c r="O14" s="191"/>
      <x:c r="P14" s="191"/>
      <x:c r="Q14" s="191"/>
      <x:c r="R14" s="191"/>
      <x:c r="S14" s="191"/>
      <x:c r="T14" s="191"/>
      <x:c r="U14" s="191"/>
      <x:c r="V14" s="191"/>
      <x:c r="W14" s="191"/>
      <x:c r="X14" s="191"/>
      <x:c r="Y14" s="191"/>
      <x:c r="Z14" s="191"/>
      <x:c r="AA14" s="191"/>
      <x:c r="AB14" s="191"/>
      <x:c r="AC14" s="191"/>
      <x:c r="AD14" s="191"/>
      <x:c r="AE14" s="191"/>
      <x:c r="AF14" s="191"/>
      <x:c r="AG14" s="191"/>
      <x:c r="AH14" s="191"/>
      <x:c r="AI14" s="191"/>
      <x:c r="AJ14" s="191"/>
      <x:c r="AK14" s="191"/>
    </x:row>
    <x:row r="15">
      <x:c r="A15" s="191"/>
      <x:c r="B15" s="191"/>
      <x:c r="C15" s="191"/>
      <x:c r="D15" s="191"/>
      <x:c r="E15" s="191"/>
      <x:c r="F15" s="191"/>
      <x:c r="G15" s="191"/>
      <x:c r="H15" s="191"/>
      <x:c r="I15" s="191"/>
      <x:c r="J15" s="191"/>
      <x:c r="K15" s="191"/>
      <x:c r="L15" s="191"/>
      <x:c r="M15" s="191"/>
      <x:c r="N15" s="191"/>
      <x:c r="O15" s="191"/>
      <x:c r="P15" s="191"/>
      <x:c r="Q15" s="191"/>
      <x:c r="R15" s="191"/>
      <x:c r="S15" s="191"/>
      <x:c r="T15" s="191"/>
      <x:c r="U15" s="191"/>
      <x:c r="V15" s="191"/>
      <x:c r="W15" s="191"/>
      <x:c r="X15" s="191"/>
      <x:c r="Y15" s="191"/>
      <x:c r="Z15" s="191"/>
      <x:c r="AA15" s="191"/>
      <x:c r="AB15" s="191"/>
      <x:c r="AC15" s="191"/>
      <x:c r="AD15" s="191"/>
      <x:c r="AE15" s="191"/>
      <x:c r="AF15" s="191"/>
      <x:c r="AG15" s="191"/>
      <x:c r="AH15" s="191"/>
      <x:c r="AI15" s="191"/>
      <x:c r="AJ15" s="191"/>
      <x:c r="AK15" s="191"/>
    </x:row>
    <x:row r="16">
      <x:c r="A16" s="191"/>
      <x:c r="B16" s="191"/>
      <x:c r="C16" s="191"/>
      <x:c r="D16" s="191"/>
      <x:c r="E16" s="191"/>
      <x:c r="F16" s="191"/>
      <x:c r="G16" s="191"/>
      <x:c r="H16" s="191"/>
      <x:c r="I16" s="191"/>
      <x:c r="J16" s="191"/>
      <x:c r="K16" s="191"/>
      <x:c r="L16" s="191"/>
      <x:c r="M16" s="191"/>
      <x:c r="N16" s="191"/>
      <x:c r="O16" s="191"/>
      <x:c r="P16" s="191"/>
      <x:c r="Q16" s="191"/>
      <x:c r="R16" s="191"/>
      <x:c r="S16" s="191"/>
      <x:c r="T16" s="191"/>
      <x:c r="U16" s="191"/>
      <x:c r="V16" s="191"/>
      <x:c r="W16" s="191"/>
      <x:c r="X16" s="191"/>
      <x:c r="Y16" s="191"/>
      <x:c r="Z16" s="191"/>
      <x:c r="AA16" s="191"/>
      <x:c r="AB16" s="191"/>
      <x:c r="AC16" s="191"/>
      <x:c r="AD16" s="191"/>
      <x:c r="AE16" s="191"/>
      <x:c r="AF16" s="191"/>
      <x:c r="AG16" s="191"/>
      <x:c r="AH16" s="191"/>
      <x:c r="AI16" s="191"/>
      <x:c r="AJ16" s="191"/>
      <x:c r="AK16" s="191"/>
    </x:row>
    <x:row r="17">
      <x:c r="A17" s="191"/>
      <x:c r="B17" s="191"/>
      <x:c r="C17" s="191"/>
      <x:c r="D17" s="191"/>
      <x:c r="E17" s="191"/>
      <x:c r="F17" s="191"/>
      <x:c r="G17" s="191"/>
      <x:c r="H17" s="191"/>
      <x:c r="I17" s="191"/>
      <x:c r="J17" s="191"/>
      <x:c r="K17" s="191"/>
      <x:c r="L17" s="191"/>
      <x:c r="M17" s="191"/>
      <x:c r="N17" s="191"/>
      <x:c r="O17" s="191"/>
      <x:c r="P17" s="191"/>
      <x:c r="Q17" s="191"/>
      <x:c r="R17" s="191"/>
      <x:c r="S17" s="191"/>
      <x:c r="T17" s="191"/>
      <x:c r="U17" s="191"/>
      <x:c r="V17" s="191"/>
      <x:c r="W17" s="191"/>
      <x:c r="X17" s="191"/>
      <x:c r="Y17" s="191"/>
      <x:c r="Z17" s="191"/>
      <x:c r="AA17" s="191"/>
      <x:c r="AB17" s="191"/>
      <x:c r="AC17" s="191"/>
      <x:c r="AD17" s="191"/>
      <x:c r="AE17" s="191"/>
      <x:c r="AF17" s="191"/>
      <x:c r="AG17" s="191"/>
      <x:c r="AH17" s="191"/>
      <x:c r="AI17" s="191"/>
      <x:c r="AJ17" s="191"/>
      <x:c r="AK17" s="191"/>
    </x:row>
    <x:row r="18">
      <x:c r="A18" s="191"/>
      <x:c r="B18" s="191"/>
      <x:c r="C18" s="191"/>
      <x:c r="D18" s="191"/>
      <x:c r="E18" s="191"/>
      <x:c r="F18" s="191"/>
      <x:c r="G18" s="191"/>
      <x:c r="H18" s="191"/>
      <x:c r="I18" s="191"/>
      <x:c r="J18" s="191"/>
      <x:c r="K18" s="191"/>
      <x:c r="L18" s="191"/>
      <x:c r="M18" s="191"/>
      <x:c r="N18" s="191"/>
      <x:c r="O18" s="191"/>
      <x:c r="P18" s="191"/>
      <x:c r="Q18" s="191"/>
      <x:c r="R18" s="191"/>
      <x:c r="S18" s="191"/>
      <x:c r="T18" s="191"/>
      <x:c r="U18" s="191"/>
      <x:c r="V18" s="191"/>
      <x:c r="W18" s="191"/>
      <x:c r="X18" s="191"/>
      <x:c r="Y18" s="191"/>
      <x:c r="Z18" s="191"/>
      <x:c r="AA18" s="191"/>
      <x:c r="AB18" s="191"/>
      <x:c r="AC18" s="191"/>
      <x:c r="AD18" s="191"/>
      <x:c r="AE18" s="191"/>
      <x:c r="AF18" s="191"/>
      <x:c r="AG18" s="191"/>
      <x:c r="AH18" s="191"/>
      <x:c r="AI18" s="191"/>
      <x:c r="AJ18" s="191"/>
      <x:c r="AK18" s="191"/>
    </x:row>
    <x:row r="19">
      <x:c r="A19" s="191"/>
      <x:c r="B19" s="191"/>
      <x:c r="C19" s="191"/>
      <x:c r="D19" s="191"/>
      <x:c r="E19" s="191"/>
      <x:c r="F19" s="191"/>
      <x:c r="G19" s="191"/>
      <x:c r="H19" s="191"/>
      <x:c r="I19" s="191"/>
      <x:c r="J19" s="191"/>
      <x:c r="K19" s="191"/>
      <x:c r="L19" s="191"/>
      <x:c r="M19" s="191"/>
      <x:c r="N19" s="191"/>
      <x:c r="O19" s="191"/>
      <x:c r="P19" s="191"/>
      <x:c r="Q19" s="191"/>
      <x:c r="R19" s="191"/>
      <x:c r="S19" s="191"/>
      <x:c r="T19" s="191"/>
      <x:c r="U19" s="191"/>
      <x:c r="V19" s="191"/>
      <x:c r="W19" s="191"/>
      <x:c r="X19" s="191"/>
      <x:c r="Y19" s="191"/>
      <x:c r="Z19" s="191"/>
      <x:c r="AA19" s="191"/>
      <x:c r="AB19" s="191"/>
      <x:c r="AC19" s="191"/>
      <x:c r="AD19" s="191"/>
      <x:c r="AE19" s="191"/>
      <x:c r="AF19" s="191"/>
      <x:c r="AG19" s="191"/>
      <x:c r="AH19" s="191"/>
      <x:c r="AI19" s="191"/>
      <x:c r="AJ19" s="191"/>
      <x:c r="AK19" s="191"/>
    </x:row>
    <x:row r="20">
      <x:c r="A20" s="191"/>
      <x:c r="B20" s="191"/>
      <x:c r="C20" s="191"/>
      <x:c r="D20" s="191"/>
      <x:c r="E20" s="191"/>
      <x:c r="F20" s="191"/>
      <x:c r="G20" s="191"/>
      <x:c r="H20" s="191"/>
      <x:c r="I20" s="191"/>
      <x:c r="J20" s="191"/>
      <x:c r="K20" s="191"/>
      <x:c r="L20" s="191"/>
      <x:c r="M20" s="191"/>
      <x:c r="N20" s="191"/>
      <x:c r="O20" s="191"/>
      <x:c r="P20" s="191"/>
      <x:c r="Q20" s="191"/>
      <x:c r="R20" s="191"/>
      <x:c r="S20" s="191"/>
      <x:c r="T20" s="191"/>
      <x:c r="U20" s="191"/>
      <x:c r="V20" s="191"/>
      <x:c r="W20" s="191"/>
      <x:c r="X20" s="191"/>
      <x:c r="Y20" s="191"/>
      <x:c r="Z20" s="191"/>
      <x:c r="AA20" s="191"/>
      <x:c r="AB20" s="191"/>
      <x:c r="AC20" s="191"/>
      <x:c r="AD20" s="191"/>
      <x:c r="AE20" s="191"/>
      <x:c r="AF20" s="191"/>
      <x:c r="AG20" s="191"/>
      <x:c r="AH20" s="191"/>
      <x:c r="AI20" s="191"/>
      <x:c r="AJ20" s="191"/>
      <x:c r="AK20" s="191"/>
    </x:row>
    <x:row r="21">
      <x:c r="A21" s="191"/>
      <x:c r="B21" s="191"/>
      <x:c r="C21" s="191"/>
      <x:c r="D21" s="191"/>
      <x:c r="E21" s="191"/>
      <x:c r="F21" s="191"/>
      <x:c r="G21" s="191"/>
      <x:c r="H21" s="191"/>
      <x:c r="I21" s="191"/>
      <x:c r="J21" s="191"/>
      <x:c r="K21" s="191"/>
      <x:c r="L21" s="191"/>
      <x:c r="M21" s="191"/>
      <x:c r="N21" s="191"/>
      <x:c r="O21" s="191"/>
      <x:c r="P21" s="191"/>
      <x:c r="Q21" s="191"/>
      <x:c r="R21" s="191"/>
      <x:c r="S21" s="191"/>
      <x:c r="T21" s="191"/>
      <x:c r="U21" s="191"/>
      <x:c r="V21" s="191"/>
      <x:c r="W21" s="191"/>
      <x:c r="X21" s="191"/>
      <x:c r="Y21" s="191"/>
      <x:c r="Z21" s="191"/>
      <x:c r="AA21" s="191"/>
      <x:c r="AB21" s="191"/>
      <x:c r="AC21" s="191"/>
      <x:c r="AD21" s="191"/>
      <x:c r="AE21" s="191"/>
      <x:c r="AF21" s="191"/>
      <x:c r="AG21" s="191"/>
      <x:c r="AH21" s="191"/>
      <x:c r="AI21" s="191"/>
      <x:c r="AJ21" s="191"/>
      <x:c r="AK21" s="191"/>
    </x:row>
    <x:row r="22">
      <x:c r="A22" s="191"/>
      <x:c r="B22" s="191"/>
      <x:c r="C22" s="191"/>
      <x:c r="D22" s="191"/>
      <x:c r="E22" s="191"/>
      <x:c r="F22" s="191"/>
      <x:c r="G22" s="191"/>
      <x:c r="H22" s="191"/>
      <x:c r="I22" s="191"/>
      <x:c r="J22" s="191"/>
      <x:c r="K22" s="191"/>
      <x:c r="L22" s="191"/>
      <x:c r="M22" s="191"/>
      <x:c r="N22" s="191"/>
      <x:c r="O22" s="191"/>
      <x:c r="P22" s="191"/>
      <x:c r="Q22" s="191"/>
      <x:c r="R22" s="191"/>
      <x:c r="S22" s="191"/>
      <x:c r="T22" s="191"/>
      <x:c r="U22" s="191"/>
      <x:c r="V22" s="191"/>
      <x:c r="W22" s="191"/>
      <x:c r="X22" s="191"/>
      <x:c r="Y22" s="191"/>
      <x:c r="Z22" s="191"/>
      <x:c r="AA22" s="191"/>
      <x:c r="AB22" s="191"/>
      <x:c r="AC22" s="191"/>
      <x:c r="AD22" s="191"/>
      <x:c r="AE22" s="191"/>
      <x:c r="AF22" s="191"/>
      <x:c r="AG22" s="191"/>
      <x:c r="AH22" s="191"/>
      <x:c r="AI22" s="191"/>
      <x:c r="AJ22" s="191"/>
      <x:c r="AK22" s="191"/>
    </x:row>
    <x:row r="23">
      <x:c r="A23" s="191"/>
      <x:c r="B23" s="191"/>
      <x:c r="C23" s="191"/>
      <x:c r="D23" s="191"/>
      <x:c r="E23" s="191"/>
      <x:c r="F23" s="191"/>
      <x:c r="G23" s="191"/>
      <x:c r="H23" s="191"/>
      <x:c r="I23" s="191"/>
      <x:c r="J23" s="191"/>
      <x:c r="K23" s="191"/>
      <x:c r="L23" s="191"/>
      <x:c r="M23" s="191"/>
      <x:c r="N23" s="191"/>
      <x:c r="O23" s="191"/>
      <x:c r="P23" s="191"/>
      <x:c r="Q23" s="191"/>
      <x:c r="R23" s="191"/>
      <x:c r="S23" s="191"/>
      <x:c r="T23" s="191"/>
      <x:c r="U23" s="191"/>
      <x:c r="V23" s="191"/>
      <x:c r="W23" s="191"/>
      <x:c r="X23" s="191"/>
      <x:c r="Y23" s="191"/>
      <x:c r="Z23" s="191"/>
      <x:c r="AA23" s="191"/>
      <x:c r="AB23" s="191"/>
      <x:c r="AC23" s="191"/>
      <x:c r="AD23" s="191"/>
      <x:c r="AE23" s="191"/>
      <x:c r="AF23" s="191"/>
      <x:c r="AG23" s="191"/>
      <x:c r="AH23" s="191"/>
      <x:c r="AI23" s="191"/>
      <x:c r="AJ23" s="191"/>
      <x:c r="AK23" s="191"/>
    </x:row>
    <x:row r="24">
      <x:c r="A24" s="191"/>
      <x:c r="B24" s="191"/>
      <x:c r="C24" s="191"/>
      <x:c r="D24" s="191"/>
      <x:c r="E24" s="191"/>
      <x:c r="F24" s="191"/>
      <x:c r="G24" s="191"/>
      <x:c r="H24" s="191"/>
      <x:c r="I24" s="191"/>
      <x:c r="J24" s="191"/>
      <x:c r="K24" s="191"/>
      <x:c r="L24" s="191"/>
      <x:c r="M24" s="191"/>
      <x:c r="N24" s="191"/>
      <x:c r="O24" s="191"/>
      <x:c r="P24" s="191"/>
      <x:c r="Q24" s="191"/>
      <x:c r="R24" s="191"/>
      <x:c r="S24" s="191"/>
      <x:c r="T24" s="191"/>
      <x:c r="U24" s="191"/>
      <x:c r="V24" s="191"/>
      <x:c r="W24" s="191"/>
      <x:c r="X24" s="191"/>
      <x:c r="Y24" s="191"/>
      <x:c r="Z24" s="191"/>
      <x:c r="AA24" s="191"/>
      <x:c r="AB24" s="191"/>
      <x:c r="AC24" s="191"/>
      <x:c r="AD24" s="191"/>
      <x:c r="AE24" s="191"/>
      <x:c r="AF24" s="191"/>
      <x:c r="AG24" s="191"/>
      <x:c r="AH24" s="191"/>
      <x:c r="AI24" s="191"/>
      <x:c r="AJ24" s="191"/>
      <x:c r="AK24" s="191"/>
    </x:row>
    <x:row r="25">
      <x:c r="A25" s="191"/>
      <x:c r="B25" s="191"/>
      <x:c r="C25" s="191"/>
      <x:c r="D25" s="191"/>
      <x:c r="E25" s="191"/>
      <x:c r="F25" s="191"/>
      <x:c r="G25" s="191"/>
      <x:c r="H25" s="191"/>
      <x:c r="I25" s="191"/>
      <x:c r="J25" s="191"/>
      <x:c r="K25" s="191"/>
      <x:c r="L25" s="191"/>
      <x:c r="M25" s="191"/>
      <x:c r="N25" s="191"/>
      <x:c r="O25" s="191"/>
      <x:c r="P25" s="191"/>
      <x:c r="Q25" s="191"/>
      <x:c r="R25" s="191"/>
      <x:c r="S25" s="191"/>
      <x:c r="T25" s="191"/>
      <x:c r="U25" s="191"/>
      <x:c r="V25" s="191"/>
      <x:c r="W25" s="191"/>
      <x:c r="X25" s="191"/>
      <x:c r="Y25" s="191"/>
      <x:c r="Z25" s="191"/>
      <x:c r="AA25" s="191"/>
      <x:c r="AB25" s="191"/>
      <x:c r="AC25" s="191"/>
      <x:c r="AD25" s="191"/>
      <x:c r="AE25" s="191"/>
      <x:c r="AF25" s="191"/>
      <x:c r="AG25" s="191"/>
      <x:c r="AH25" s="191"/>
      <x:c r="AI25" s="191"/>
      <x:c r="AJ25" s="191"/>
      <x:c r="AK25" s="191"/>
    </x:row>
    <x:row r="26">
      <x:c r="A26" s="191"/>
      <x:c r="B26" s="191"/>
      <x:c r="C26" s="191"/>
      <x:c r="D26" s="191"/>
      <x:c r="E26" s="191"/>
      <x:c r="F26" s="191"/>
      <x:c r="G26" s="191"/>
      <x:c r="H26" s="191"/>
      <x:c r="I26" s="191"/>
      <x:c r="J26" s="191"/>
      <x:c r="K26" s="191"/>
      <x:c r="L26" s="191"/>
      <x:c r="M26" s="191"/>
      <x:c r="N26" s="191"/>
      <x:c r="O26" s="191"/>
      <x:c r="P26" s="191"/>
      <x:c r="Q26" s="191"/>
      <x:c r="R26" s="191"/>
      <x:c r="S26" s="191"/>
      <x:c r="T26" s="191"/>
      <x:c r="U26" s="191"/>
      <x:c r="V26" s="191"/>
      <x:c r="W26" s="191"/>
      <x:c r="X26" s="191"/>
      <x:c r="Y26" s="191"/>
      <x:c r="Z26" s="191"/>
      <x:c r="AA26" s="191"/>
      <x:c r="AB26" s="191"/>
      <x:c r="AC26" s="191"/>
      <x:c r="AD26" s="191"/>
      <x:c r="AE26" s="191"/>
      <x:c r="AF26" s="191"/>
      <x:c r="AG26" s="191"/>
      <x:c r="AH26" s="191"/>
      <x:c r="AI26" s="191"/>
      <x:c r="AJ26" s="191"/>
      <x:c r="AK26" s="191"/>
    </x:row>
    <x:row r="27">
      <x:c r="A27" s="191"/>
      <x:c r="B27" s="191"/>
      <x:c r="C27" s="191"/>
      <x:c r="D27" s="191"/>
      <x:c r="E27" s="191"/>
      <x:c r="F27" s="191"/>
      <x:c r="G27" s="191"/>
      <x:c r="H27" s="191"/>
      <x:c r="I27" s="191"/>
      <x:c r="J27" s="191"/>
      <x:c r="K27" s="191"/>
      <x:c r="L27" s="191"/>
      <x:c r="M27" s="191"/>
      <x:c r="N27" s="191"/>
      <x:c r="O27" s="191"/>
      <x:c r="P27" s="191"/>
      <x:c r="Q27" s="191"/>
      <x:c r="R27" s="191"/>
      <x:c r="S27" s="191"/>
      <x:c r="T27" s="191"/>
      <x:c r="U27" s="191"/>
      <x:c r="V27" s="191"/>
      <x:c r="W27" s="191"/>
      <x:c r="X27" s="191"/>
      <x:c r="Y27" s="191"/>
      <x:c r="Z27" s="191"/>
      <x:c r="AA27" s="191"/>
      <x:c r="AB27" s="191"/>
      <x:c r="AC27" s="191"/>
      <x:c r="AD27" s="191"/>
      <x:c r="AE27" s="191"/>
      <x:c r="AF27" s="191"/>
      <x:c r="AG27" s="191"/>
      <x:c r="AH27" s="191"/>
      <x:c r="AI27" s="191"/>
      <x:c r="AJ27" s="191"/>
      <x:c r="AK27" s="191"/>
    </x:row>
    <x:row r="28">
      <x:c r="A28" s="191"/>
      <x:c r="B28" s="191"/>
      <x:c r="C28" s="191"/>
      <x:c r="D28" s="191"/>
      <x:c r="E28" s="191"/>
      <x:c r="F28" s="191"/>
      <x:c r="G28" s="191"/>
      <x:c r="H28" s="191"/>
      <x:c r="I28" s="191"/>
      <x:c r="J28" s="191"/>
      <x:c r="K28" s="191"/>
      <x:c r="L28" s="191"/>
      <x:c r="M28" s="191"/>
      <x:c r="N28" s="191"/>
      <x:c r="O28" s="191"/>
      <x:c r="P28" s="191"/>
      <x:c r="Q28" s="191"/>
      <x:c r="R28" s="191"/>
      <x:c r="S28" s="191"/>
      <x:c r="T28" s="191"/>
      <x:c r="U28" s="191"/>
      <x:c r="V28" s="191"/>
      <x:c r="W28" s="191"/>
      <x:c r="X28" s="191"/>
      <x:c r="Y28" s="191"/>
      <x:c r="Z28" s="191"/>
      <x:c r="AA28" s="191"/>
      <x:c r="AB28" s="191"/>
      <x:c r="AC28" s="191"/>
      <x:c r="AD28" s="191"/>
      <x:c r="AE28" s="191"/>
      <x:c r="AF28" s="191"/>
      <x:c r="AG28" s="191"/>
      <x:c r="AH28" s="191"/>
      <x:c r="AI28" s="191"/>
      <x:c r="AJ28" s="191"/>
      <x:c r="AK28" s="191"/>
    </x:row>
    <x:row r="29">
      <x:c r="A29" s="191"/>
      <x:c r="B29" s="191"/>
      <x:c r="C29" s="191"/>
      <x:c r="D29" s="191"/>
      <x:c r="E29" s="191"/>
      <x:c r="F29" s="191"/>
      <x:c r="G29" s="191"/>
      <x:c r="H29" s="191"/>
      <x:c r="I29" s="191"/>
      <x:c r="J29" s="191"/>
      <x:c r="K29" s="191"/>
      <x:c r="L29" s="191"/>
      <x:c r="M29" s="191"/>
      <x:c r="N29" s="191"/>
      <x:c r="O29" s="191"/>
      <x:c r="P29" s="191"/>
      <x:c r="Q29" s="191"/>
      <x:c r="R29" s="191"/>
      <x:c r="S29" s="191"/>
      <x:c r="T29" s="191"/>
      <x:c r="U29" s="191"/>
      <x:c r="V29" s="191"/>
      <x:c r="W29" s="191"/>
      <x:c r="X29" s="191"/>
      <x:c r="Y29" s="191"/>
      <x:c r="Z29" s="191"/>
      <x:c r="AA29" s="191"/>
      <x:c r="AB29" s="191"/>
      <x:c r="AC29" s="191"/>
      <x:c r="AD29" s="191"/>
      <x:c r="AE29" s="191"/>
      <x:c r="AF29" s="191"/>
      <x:c r="AG29" s="191"/>
      <x:c r="AH29" s="191"/>
      <x:c r="AI29" s="191"/>
      <x:c r="AJ29" s="191"/>
      <x:c r="AK29" s="191"/>
    </x:row>
    <x:row r="30">
      <x:c r="A30" s="191"/>
      <x:c r="B30" s="191"/>
      <x:c r="C30" s="191"/>
      <x:c r="D30" s="191"/>
      <x:c r="E30" s="191"/>
      <x:c r="F30" s="191"/>
      <x:c r="G30" s="191"/>
      <x:c r="H30" s="191"/>
      <x:c r="I30" s="191"/>
      <x:c r="J30" s="191"/>
      <x:c r="K30" s="191"/>
      <x:c r="L30" s="191"/>
      <x:c r="M30" s="191"/>
      <x:c r="N30" s="191"/>
      <x:c r="O30" s="191"/>
      <x:c r="P30" s="191"/>
      <x:c r="Q30" s="191"/>
      <x:c r="R30" s="191"/>
      <x:c r="S30" s="191"/>
      <x:c r="T30" s="191"/>
      <x:c r="U30" s="191"/>
      <x:c r="V30" s="191"/>
      <x:c r="W30" s="191"/>
      <x:c r="X30" s="191"/>
      <x:c r="Y30" s="191"/>
      <x:c r="Z30" s="191"/>
      <x:c r="AA30" s="191"/>
      <x:c r="AB30" s="191"/>
      <x:c r="AC30" s="191"/>
      <x:c r="AD30" s="191"/>
      <x:c r="AE30" s="191"/>
      <x:c r="AF30" s="191"/>
      <x:c r="AG30" s="191"/>
      <x:c r="AH30" s="191"/>
      <x:c r="AI30" s="191"/>
      <x:c r="AJ30" s="191"/>
      <x:c r="AK30" s="191"/>
    </x:row>
    <x:row r="31">
      <x:c r="A31" s="191"/>
      <x:c r="B31" s="191"/>
      <x:c r="C31" s="191"/>
      <x:c r="D31" s="191"/>
      <x:c r="E31" s="191"/>
      <x:c r="F31" s="191"/>
      <x:c r="G31" s="191"/>
      <x:c r="H31" s="191"/>
      <x:c r="I31" s="191"/>
      <x:c r="J31" s="191"/>
      <x:c r="K31" s="191"/>
      <x:c r="L31" s="191"/>
      <x:c r="M31" s="191"/>
      <x:c r="N31" s="191"/>
      <x:c r="O31" s="191"/>
      <x:c r="P31" s="191"/>
      <x:c r="Q31" s="191"/>
      <x:c r="R31" s="191"/>
      <x:c r="S31" s="191"/>
      <x:c r="T31" s="191"/>
      <x:c r="U31" s="191"/>
      <x:c r="V31" s="191"/>
      <x:c r="W31" s="191"/>
      <x:c r="X31" s="191"/>
      <x:c r="Y31" s="191"/>
      <x:c r="Z31" s="191"/>
      <x:c r="AA31" s="191"/>
      <x:c r="AB31" s="191"/>
      <x:c r="AC31" s="191"/>
      <x:c r="AD31" s="191"/>
      <x:c r="AE31" s="191"/>
      <x:c r="AF31" s="191"/>
      <x:c r="AG31" s="191"/>
      <x:c r="AH31" s="191"/>
      <x:c r="AI31" s="191"/>
      <x:c r="AJ31" s="191"/>
      <x:c r="AK31" s="191"/>
    </x:row>
    <x:row r="32">
      <x:c r="A32" s="191"/>
      <x:c r="B32" s="191"/>
      <x:c r="C32" s="191"/>
      <x:c r="D32" s="191"/>
      <x:c r="E32" s="191"/>
      <x:c r="F32" s="191"/>
      <x:c r="G32" s="191"/>
      <x:c r="H32" s="191"/>
      <x:c r="I32" s="191"/>
      <x:c r="J32" s="191"/>
      <x:c r="K32" s="191"/>
      <x:c r="L32" s="191"/>
      <x:c r="M32" s="191"/>
      <x:c r="N32" s="191"/>
      <x:c r="O32" s="191"/>
      <x:c r="P32" s="191"/>
      <x:c r="Q32" s="191"/>
      <x:c r="R32" s="191"/>
      <x:c r="S32" s="191"/>
      <x:c r="T32" s="191"/>
      <x:c r="U32" s="191"/>
      <x:c r="V32" s="191"/>
      <x:c r="W32" s="191"/>
      <x:c r="X32" s="191"/>
      <x:c r="Y32" s="191"/>
      <x:c r="Z32" s="191"/>
      <x:c r="AA32" s="191"/>
      <x:c r="AB32" s="191"/>
      <x:c r="AC32" s="191"/>
      <x:c r="AD32" s="191"/>
      <x:c r="AE32" s="191"/>
      <x:c r="AF32" s="191"/>
      <x:c r="AG32" s="191"/>
      <x:c r="AH32" s="191"/>
      <x:c r="AI32" s="191"/>
      <x:c r="AJ32" s="191"/>
      <x:c r="AK32" s="191"/>
    </x:row>
    <x:row r="33">
      <x:c r="A33" s="191"/>
      <x:c r="B33" s="191"/>
      <x:c r="C33" s="191"/>
      <x:c r="D33" s="191"/>
      <x:c r="E33" s="191"/>
      <x:c r="F33" s="191"/>
      <x:c r="G33" s="191"/>
      <x:c r="H33" s="191"/>
      <x:c r="I33" s="191"/>
      <x:c r="J33" s="191"/>
      <x:c r="K33" s="191"/>
      <x:c r="L33" s="191"/>
      <x:c r="M33" s="191"/>
      <x:c r="N33" s="191"/>
      <x:c r="O33" s="191"/>
      <x:c r="P33" s="191"/>
      <x:c r="Q33" s="191"/>
      <x:c r="R33" s="191"/>
      <x:c r="S33" s="191"/>
      <x:c r="T33" s="191"/>
      <x:c r="U33" s="191"/>
      <x:c r="V33" s="191"/>
      <x:c r="W33" s="191"/>
      <x:c r="X33" s="191"/>
      <x:c r="Y33" s="191"/>
      <x:c r="Z33" s="191"/>
      <x:c r="AA33" s="191"/>
      <x:c r="AB33" s="191"/>
      <x:c r="AC33" s="191"/>
      <x:c r="AD33" s="191"/>
      <x:c r="AE33" s="191"/>
      <x:c r="AF33" s="191"/>
      <x:c r="AG33" s="191"/>
      <x:c r="AH33" s="191"/>
      <x:c r="AI33" s="191"/>
      <x:c r="AJ33" s="191"/>
      <x:c r="AK33" s="191"/>
    </x:row>
    <x:row r="34">
      <x:c r="A34" s="191"/>
      <x:c r="B34" s="191"/>
      <x:c r="C34" s="191"/>
      <x:c r="D34" s="191"/>
      <x:c r="E34" s="191"/>
      <x:c r="F34" s="191"/>
      <x:c r="G34" s="191"/>
      <x:c r="H34" s="191"/>
      <x:c r="I34" s="191"/>
      <x:c r="J34" s="191"/>
      <x:c r="K34" s="191"/>
      <x:c r="L34" s="191"/>
      <x:c r="M34" s="191"/>
      <x:c r="N34" s="191"/>
      <x:c r="O34" s="191"/>
      <x:c r="P34" s="191"/>
      <x:c r="Q34" s="191"/>
      <x:c r="R34" s="191"/>
      <x:c r="S34" s="191"/>
      <x:c r="T34" s="191"/>
      <x:c r="U34" s="191"/>
      <x:c r="V34" s="191"/>
      <x:c r="W34" s="191"/>
      <x:c r="X34" s="191"/>
      <x:c r="Y34" s="191"/>
      <x:c r="Z34" s="191"/>
      <x:c r="AA34" s="191"/>
      <x:c r="AB34" s="191"/>
      <x:c r="AC34" s="191"/>
      <x:c r="AD34" s="191"/>
      <x:c r="AE34" s="191"/>
      <x:c r="AF34" s="191"/>
      <x:c r="AG34" s="191"/>
      <x:c r="AH34" s="191"/>
      <x:c r="AI34" s="191"/>
      <x:c r="AJ34" s="191"/>
      <x:c r="AK34" s="191"/>
    </x:row>
    <x:row r="35">
      <x:c r="A35" s="191"/>
      <x:c r="B35" s="191"/>
      <x:c r="C35" s="191"/>
      <x:c r="D35" s="191"/>
      <x:c r="E35" s="191"/>
      <x:c r="F35" s="191"/>
      <x:c r="G35" s="191"/>
      <x:c r="H35" s="191"/>
      <x:c r="I35" s="191"/>
      <x:c r="J35" s="191"/>
      <x:c r="K35" s="191"/>
      <x:c r="L35" s="191"/>
      <x:c r="M35" s="191"/>
      <x:c r="N35" s="191"/>
      <x:c r="O35" s="191"/>
      <x:c r="P35" s="191"/>
      <x:c r="Q35" s="191"/>
      <x:c r="R35" s="191"/>
      <x:c r="S35" s="191"/>
      <x:c r="T35" s="191"/>
      <x:c r="U35" s="191"/>
      <x:c r="V35" s="191"/>
      <x:c r="W35" s="191"/>
      <x:c r="X35" s="191"/>
      <x:c r="Y35" s="191"/>
      <x:c r="Z35" s="191"/>
      <x:c r="AA35" s="191"/>
      <x:c r="AB35" s="191"/>
      <x:c r="AC35" s="191"/>
      <x:c r="AD35" s="191"/>
      <x:c r="AE35" s="191"/>
      <x:c r="AF35" s="191"/>
      <x:c r="AG35" s="191"/>
      <x:c r="AH35" s="191"/>
      <x:c r="AI35" s="191"/>
      <x:c r="AJ35" s="191"/>
      <x:c r="AK35" s="191"/>
    </x:row>
    <x:row r="36">
      <x:c r="A36" s="191"/>
      <x:c r="B36" s="191"/>
      <x:c r="C36" s="191"/>
      <x:c r="D36" s="191"/>
      <x:c r="E36" s="191"/>
      <x:c r="F36" s="191"/>
      <x:c r="G36" s="191"/>
      <x:c r="H36" s="191"/>
      <x:c r="I36" s="191"/>
      <x:c r="J36" s="191"/>
      <x:c r="K36" s="191"/>
      <x:c r="L36" s="191"/>
      <x:c r="M36" s="191"/>
      <x:c r="N36" s="191"/>
      <x:c r="O36" s="191"/>
      <x:c r="P36" s="191"/>
      <x:c r="Q36" s="191"/>
      <x:c r="R36" s="191"/>
      <x:c r="S36" s="191"/>
      <x:c r="T36" s="191"/>
      <x:c r="U36" s="191"/>
      <x:c r="V36" s="191"/>
      <x:c r="W36" s="191"/>
      <x:c r="X36" s="191"/>
      <x:c r="Y36" s="191"/>
      <x:c r="Z36" s="191"/>
      <x:c r="AA36" s="191"/>
      <x:c r="AB36" s="191"/>
      <x:c r="AC36" s="191"/>
      <x:c r="AD36" s="191"/>
      <x:c r="AE36" s="191"/>
      <x:c r="AF36" s="191"/>
      <x:c r="AG36" s="191"/>
      <x:c r="AH36" s="191"/>
      <x:c r="AI36" s="191"/>
      <x:c r="AJ36" s="191"/>
      <x:c r="AK36" s="191"/>
    </x:row>
    <x:row r="37">
      <x:c r="A37" s="191"/>
      <x:c r="B37" s="191"/>
      <x:c r="C37" s="191"/>
      <x:c r="D37" s="191"/>
      <x:c r="E37" s="191"/>
      <x:c r="F37" s="191"/>
      <x:c r="G37" s="191"/>
      <x:c r="H37" s="191"/>
      <x:c r="I37" s="191"/>
      <x:c r="J37" s="191"/>
      <x:c r="K37" s="191"/>
      <x:c r="L37" s="191"/>
      <x:c r="M37" s="191"/>
      <x:c r="N37" s="191"/>
      <x:c r="O37" s="191"/>
      <x:c r="P37" s="191"/>
      <x:c r="Q37" s="191"/>
      <x:c r="R37" s="191"/>
      <x:c r="S37" s="191"/>
      <x:c r="T37" s="191"/>
      <x:c r="U37" s="191"/>
      <x:c r="V37" s="191"/>
      <x:c r="W37" s="191"/>
      <x:c r="X37" s="191"/>
      <x:c r="Y37" s="191"/>
      <x:c r="Z37" s="191"/>
      <x:c r="AA37" s="191"/>
      <x:c r="AB37" s="191"/>
      <x:c r="AC37" s="191"/>
      <x:c r="AD37" s="191"/>
      <x:c r="AE37" s="191"/>
      <x:c r="AF37" s="191"/>
      <x:c r="AG37" s="191"/>
      <x:c r="AH37" s="191"/>
      <x:c r="AI37" s="191"/>
      <x:c r="AJ37" s="191"/>
      <x:c r="AK37" s="191"/>
    </x:row>
    <x:row r="38">
      <x:c r="A38" s="191"/>
      <x:c r="B38" s="191"/>
      <x:c r="C38" s="191"/>
      <x:c r="D38" s="191"/>
      <x:c r="E38" s="191"/>
      <x:c r="F38" s="191"/>
      <x:c r="G38" s="191"/>
      <x:c r="H38" s="191"/>
      <x:c r="I38" s="191"/>
      <x:c r="J38" s="191"/>
      <x:c r="K38" s="191"/>
      <x:c r="L38" s="191"/>
      <x:c r="M38" s="191"/>
      <x:c r="N38" s="191"/>
      <x:c r="O38" s="191"/>
      <x:c r="P38" s="191"/>
      <x:c r="Q38" s="191"/>
      <x:c r="R38" s="191"/>
      <x:c r="S38" s="191"/>
      <x:c r="T38" s="191"/>
      <x:c r="U38" s="191"/>
      <x:c r="V38" s="191"/>
      <x:c r="W38" s="191"/>
      <x:c r="X38" s="191"/>
      <x:c r="Y38" s="191"/>
      <x:c r="Z38" s="191"/>
      <x:c r="AA38" s="191"/>
      <x:c r="AB38" s="191"/>
      <x:c r="AC38" s="191"/>
      <x:c r="AD38" s="191"/>
      <x:c r="AE38" s="191"/>
      <x:c r="AF38" s="191"/>
      <x:c r="AG38" s="191"/>
      <x:c r="AH38" s="191"/>
      <x:c r="AI38" s="191"/>
      <x:c r="AJ38" s="191"/>
      <x:c r="AK38" s="191"/>
    </x:row>
    <x:row r="39">
      <x:c r="A39" s="191"/>
      <x:c r="B39" s="191"/>
      <x:c r="C39" s="191"/>
      <x:c r="D39" s="191"/>
      <x:c r="E39" s="191"/>
      <x:c r="F39" s="191"/>
      <x:c r="G39" s="191"/>
      <x:c r="H39" s="191"/>
      <x:c r="I39" s="191"/>
      <x:c r="J39" s="191"/>
      <x:c r="K39" s="191"/>
      <x:c r="L39" s="191"/>
      <x:c r="M39" s="191"/>
      <x:c r="N39" s="191"/>
      <x:c r="O39" s="191"/>
      <x:c r="P39" s="191"/>
      <x:c r="Q39" s="191"/>
      <x:c r="R39" s="191"/>
      <x:c r="S39" s="191"/>
      <x:c r="T39" s="191"/>
      <x:c r="U39" s="191"/>
      <x:c r="V39" s="191"/>
      <x:c r="W39" s="191"/>
      <x:c r="X39" s="191"/>
      <x:c r="Y39" s="191"/>
      <x:c r="Z39" s="191"/>
      <x:c r="AA39" s="191"/>
      <x:c r="AB39" s="191"/>
      <x:c r="AC39" s="191"/>
      <x:c r="AD39" s="191"/>
      <x:c r="AE39" s="191"/>
      <x:c r="AF39" s="191"/>
      <x:c r="AG39" s="191"/>
      <x:c r="AH39" s="191"/>
      <x:c r="AI39" s="191"/>
      <x:c r="AJ39" s="191"/>
      <x:c r="AK39" s="191"/>
    </x:row>
    <x:row r="40">
      <x:c r="A40" s="191"/>
      <x:c r="B40" s="191"/>
      <x:c r="C40" s="191"/>
      <x:c r="D40" s="191"/>
      <x:c r="E40" s="191"/>
      <x:c r="F40" s="191"/>
      <x:c r="G40" s="191"/>
      <x:c r="H40" s="191"/>
      <x:c r="I40" s="191"/>
      <x:c r="J40" s="191"/>
      <x:c r="K40" s="191"/>
      <x:c r="L40" s="191"/>
      <x:c r="M40" s="191"/>
      <x:c r="N40" s="191"/>
      <x:c r="O40" s="191"/>
      <x:c r="P40" s="191"/>
      <x:c r="Q40" s="191"/>
      <x:c r="R40" s="191"/>
      <x:c r="S40" s="191"/>
      <x:c r="T40" s="191"/>
      <x:c r="U40" s="191"/>
      <x:c r="V40" s="191"/>
      <x:c r="W40" s="191"/>
      <x:c r="X40" s="191"/>
      <x:c r="Y40" s="191"/>
      <x:c r="Z40" s="191"/>
      <x:c r="AA40" s="191"/>
      <x:c r="AB40" s="191"/>
      <x:c r="AC40" s="191"/>
      <x:c r="AD40" s="191"/>
      <x:c r="AE40" s="191"/>
      <x:c r="AF40" s="191"/>
      <x:c r="AG40" s="191"/>
      <x:c r="AH40" s="191"/>
      <x:c r="AI40" s="191"/>
      <x:c r="AJ40" s="191"/>
      <x:c r="AK40" s="191"/>
    </x:row>
    <x:row r="41">
      <x:c r="A41" s="191"/>
      <x:c r="B41" s="191"/>
      <x:c r="C41" s="191"/>
      <x:c r="D41" s="191"/>
      <x:c r="E41" s="191"/>
      <x:c r="F41" s="191"/>
      <x:c r="G41" s="191"/>
      <x:c r="H41" s="191"/>
      <x:c r="I41" s="191"/>
      <x:c r="J41" s="191"/>
      <x:c r="K41" s="191"/>
      <x:c r="L41" s="191"/>
      <x:c r="M41" s="191"/>
      <x:c r="N41" s="191"/>
      <x:c r="O41" s="191"/>
      <x:c r="P41" s="191"/>
      <x:c r="Q41" s="191"/>
      <x:c r="R41" s="191"/>
      <x:c r="S41" s="191"/>
      <x:c r="T41" s="191"/>
      <x:c r="U41" s="191"/>
      <x:c r="V41" s="191"/>
      <x:c r="W41" s="191"/>
      <x:c r="X41" s="191"/>
      <x:c r="Y41" s="191"/>
      <x:c r="Z41" s="191"/>
      <x:c r="AA41" s="191"/>
      <x:c r="AB41" s="191"/>
      <x:c r="AC41" s="191"/>
      <x:c r="AD41" s="191"/>
      <x:c r="AE41" s="191"/>
      <x:c r="AF41" s="191"/>
      <x:c r="AG41" s="191"/>
      <x:c r="AH41" s="191"/>
      <x:c r="AI41" s="191"/>
      <x:c r="AJ41" s="191"/>
      <x:c r="AK41" s="191"/>
    </x:row>
    <x:row r="42">
      <x:c r="A42" s="191"/>
      <x:c r="B42" s="191"/>
      <x:c r="C42" s="191"/>
      <x:c r="D42" s="191"/>
      <x:c r="E42" s="191"/>
      <x:c r="F42" s="191"/>
      <x:c r="G42" s="191"/>
      <x:c r="H42" s="191"/>
      <x:c r="I42" s="191"/>
      <x:c r="J42" s="191"/>
      <x:c r="K42" s="191"/>
      <x:c r="L42" s="191"/>
      <x:c r="M42" s="191"/>
      <x:c r="N42" s="191"/>
      <x:c r="O42" s="191"/>
      <x:c r="P42" s="191"/>
      <x:c r="Q42" s="191"/>
      <x:c r="R42" s="191"/>
      <x:c r="S42" s="191"/>
      <x:c r="T42" s="191"/>
      <x:c r="U42" s="191"/>
      <x:c r="V42" s="191"/>
      <x:c r="W42" s="191"/>
      <x:c r="X42" s="191"/>
      <x:c r="Y42" s="191"/>
      <x:c r="Z42" s="191"/>
      <x:c r="AA42" s="191"/>
      <x:c r="AB42" s="191"/>
      <x:c r="AC42" s="191"/>
      <x:c r="AD42" s="191"/>
      <x:c r="AE42" s="191"/>
      <x:c r="AF42" s="191"/>
      <x:c r="AG42" s="191"/>
      <x:c r="AH42" s="191"/>
      <x:c r="AI42" s="191"/>
      <x:c r="AJ42" s="191"/>
      <x:c r="AK42" s="191"/>
    </x:row>
    <x:row r="43">
      <x:c r="A43" s="191"/>
      <x:c r="B43" s="191"/>
      <x:c r="C43" s="191"/>
      <x:c r="D43" s="191"/>
      <x:c r="E43" s="191"/>
      <x:c r="F43" s="191"/>
      <x:c r="G43" s="191"/>
      <x:c r="H43" s="191"/>
      <x:c r="I43" s="191"/>
      <x:c r="J43" s="191"/>
      <x:c r="K43" s="191"/>
      <x:c r="L43" s="191"/>
      <x:c r="M43" s="191"/>
      <x:c r="N43" s="191"/>
      <x:c r="O43" s="191"/>
      <x:c r="P43" s="191"/>
      <x:c r="Q43" s="191"/>
      <x:c r="R43" s="191"/>
      <x:c r="S43" s="191"/>
      <x:c r="T43" s="191"/>
      <x:c r="U43" s="191"/>
      <x:c r="V43" s="191"/>
      <x:c r="W43" s="191"/>
      <x:c r="X43" s="191"/>
      <x:c r="Y43" s="191"/>
      <x:c r="Z43" s="191"/>
      <x:c r="AA43" s="191"/>
      <x:c r="AB43" s="191"/>
      <x:c r="AC43" s="191"/>
      <x:c r="AD43" s="191"/>
      <x:c r="AE43" s="191"/>
      <x:c r="AF43" s="191"/>
      <x:c r="AG43" s="191"/>
      <x:c r="AH43" s="191"/>
      <x:c r="AI43" s="191"/>
      <x:c r="AJ43" s="191"/>
      <x:c r="AK43" s="191"/>
    </x:row>
    <x:row r="44">
      <x:c r="A44" s="191"/>
      <x:c r="B44" s="191"/>
      <x:c r="C44" s="191"/>
      <x:c r="D44" s="191"/>
      <x:c r="E44" s="191"/>
      <x:c r="F44" s="191"/>
      <x:c r="G44" s="191"/>
      <x:c r="H44" s="191"/>
      <x:c r="I44" s="191"/>
      <x:c r="J44" s="191"/>
      <x:c r="K44" s="191"/>
      <x:c r="L44" s="191"/>
      <x:c r="M44" s="191"/>
      <x:c r="N44" s="191"/>
      <x:c r="O44" s="191"/>
      <x:c r="P44" s="191"/>
      <x:c r="Q44" s="191"/>
      <x:c r="R44" s="191"/>
      <x:c r="S44" s="191"/>
      <x:c r="T44" s="191"/>
      <x:c r="U44" s="191"/>
      <x:c r="V44" s="191"/>
      <x:c r="W44" s="191"/>
      <x:c r="X44" s="191"/>
      <x:c r="Y44" s="191"/>
      <x:c r="Z44" s="191"/>
      <x:c r="AA44" s="191"/>
      <x:c r="AB44" s="191"/>
      <x:c r="AC44" s="191"/>
      <x:c r="AD44" s="191"/>
      <x:c r="AE44" s="191"/>
      <x:c r="AF44" s="191"/>
      <x:c r="AG44" s="191"/>
      <x:c r="AH44" s="191"/>
      <x:c r="AI44" s="191"/>
      <x:c r="AJ44" s="191"/>
      <x:c r="AK44" s="191"/>
    </x:row>
    <x:row r="45">
      <x:c r="A45" s="191"/>
      <x:c r="B45" s="191"/>
      <x:c r="C45" s="191"/>
      <x:c r="D45" s="191"/>
      <x:c r="E45" s="191"/>
      <x:c r="F45" s="191"/>
      <x:c r="G45" s="191"/>
      <x:c r="H45" s="191"/>
      <x:c r="I45" s="191"/>
      <x:c r="J45" s="191"/>
      <x:c r="K45" s="191"/>
      <x:c r="L45" s="191"/>
      <x:c r="M45" s="191"/>
      <x:c r="N45" s="191"/>
      <x:c r="O45" s="191"/>
      <x:c r="P45" s="191"/>
      <x:c r="Q45" s="191"/>
      <x:c r="R45" s="191"/>
      <x:c r="S45" s="191"/>
      <x:c r="T45" s="191"/>
      <x:c r="U45" s="191"/>
      <x:c r="V45" s="191"/>
      <x:c r="W45" s="191"/>
      <x:c r="X45" s="191"/>
      <x:c r="Y45" s="191"/>
      <x:c r="Z45" s="191"/>
      <x:c r="AA45" s="191"/>
      <x:c r="AB45" s="191"/>
      <x:c r="AC45" s="191"/>
      <x:c r="AD45" s="191"/>
      <x:c r="AE45" s="191"/>
      <x:c r="AF45" s="191"/>
      <x:c r="AG45" s="191"/>
      <x:c r="AH45" s="191"/>
      <x:c r="AI45" s="191"/>
      <x:c r="AJ45" s="191"/>
      <x:c r="AK45" s="191"/>
    </x:row>
    <x:row r="46">
      <x:c r="A46" s="191"/>
      <x:c r="B46" s="191"/>
      <x:c r="C46" s="191"/>
      <x:c r="D46" s="191"/>
      <x:c r="E46" s="191"/>
      <x:c r="F46" s="191"/>
      <x:c r="G46" s="191"/>
      <x:c r="H46" s="191"/>
      <x:c r="I46" s="191"/>
      <x:c r="J46" s="191"/>
      <x:c r="K46" s="191"/>
      <x:c r="L46" s="191"/>
      <x:c r="M46" s="191"/>
      <x:c r="N46" s="191"/>
      <x:c r="O46" s="191"/>
      <x:c r="P46" s="191"/>
      <x:c r="Q46" s="191"/>
      <x:c r="R46" s="191"/>
      <x:c r="S46" s="191"/>
      <x:c r="T46" s="191"/>
      <x:c r="U46" s="191"/>
      <x:c r="V46" s="191"/>
      <x:c r="W46" s="191"/>
      <x:c r="X46" s="191"/>
      <x:c r="Y46" s="191"/>
      <x:c r="Z46" s="191"/>
      <x:c r="AA46" s="191"/>
      <x:c r="AB46" s="191"/>
      <x:c r="AC46" s="191"/>
      <x:c r="AD46" s="191"/>
      <x:c r="AE46" s="191"/>
      <x:c r="AF46" s="191"/>
      <x:c r="AG46" s="191"/>
      <x:c r="AH46" s="191"/>
      <x:c r="AI46" s="191"/>
      <x:c r="AJ46" s="191"/>
      <x:c r="AK46" s="191"/>
    </x:row>
    <x:row r="47">
      <x:c r="A47" s="191"/>
      <x:c r="B47" s="191"/>
      <x:c r="C47" s="191"/>
      <x:c r="D47" s="191"/>
      <x:c r="E47" s="191"/>
      <x:c r="F47" s="191"/>
      <x:c r="G47" s="191"/>
      <x:c r="H47" s="191"/>
      <x:c r="I47" s="191"/>
      <x:c r="J47" s="191"/>
      <x:c r="K47" s="191"/>
      <x:c r="L47" s="191"/>
      <x:c r="M47" s="191"/>
      <x:c r="N47" s="191"/>
      <x:c r="O47" s="191"/>
      <x:c r="P47" s="191"/>
      <x:c r="Q47" s="191"/>
      <x:c r="R47" s="191"/>
      <x:c r="S47" s="191"/>
      <x:c r="T47" s="191"/>
      <x:c r="U47" s="191"/>
      <x:c r="V47" s="191"/>
      <x:c r="W47" s="191"/>
      <x:c r="X47" s="191"/>
      <x:c r="Y47" s="191"/>
      <x:c r="Z47" s="191"/>
      <x:c r="AA47" s="191"/>
      <x:c r="AB47" s="191"/>
      <x:c r="AC47" s="191"/>
      <x:c r="AD47" s="191"/>
      <x:c r="AE47" s="191"/>
      <x:c r="AF47" s="191"/>
      <x:c r="AG47" s="191"/>
      <x:c r="AH47" s="191"/>
      <x:c r="AI47" s="191"/>
      <x:c r="AJ47" s="191"/>
      <x:c r="AK47" s="191"/>
    </x:row>
    <x:row r="48">
      <x:c r="A48" s="191"/>
      <x:c r="B48" s="191"/>
      <x:c r="C48" s="191"/>
      <x:c r="D48" s="191"/>
      <x:c r="E48" s="191"/>
      <x:c r="F48" s="191"/>
      <x:c r="G48" s="191"/>
      <x:c r="H48" s="191"/>
      <x:c r="I48" s="191"/>
      <x:c r="J48" s="191"/>
      <x:c r="K48" s="191"/>
      <x:c r="L48" s="191"/>
      <x:c r="M48" s="191"/>
      <x:c r="N48" s="191"/>
      <x:c r="O48" s="191"/>
      <x:c r="P48" s="191"/>
      <x:c r="Q48" s="191"/>
      <x:c r="R48" s="191"/>
      <x:c r="S48" s="191"/>
      <x:c r="T48" s="191"/>
      <x:c r="U48" s="191"/>
      <x:c r="V48" s="191"/>
      <x:c r="W48" s="191"/>
      <x:c r="X48" s="191"/>
      <x:c r="Y48" s="191"/>
      <x:c r="Z48" s="191"/>
      <x:c r="AA48" s="191"/>
      <x:c r="AB48" s="191"/>
      <x:c r="AC48" s="191"/>
      <x:c r="AD48" s="191"/>
      <x:c r="AE48" s="191"/>
      <x:c r="AF48" s="191"/>
      <x:c r="AG48" s="191"/>
      <x:c r="AH48" s="191"/>
      <x:c r="AI48" s="191"/>
      <x:c r="AJ48" s="191"/>
      <x:c r="AK48" s="191"/>
    </x:row>
    <x:row r="49">
      <x:c r="A49" s="191"/>
      <x:c r="B49" s="191"/>
      <x:c r="C49" s="191"/>
      <x:c r="D49" s="191"/>
      <x:c r="E49" s="191"/>
      <x:c r="F49" s="191"/>
      <x:c r="G49" s="191"/>
      <x:c r="H49" s="191"/>
      <x:c r="I49" s="191"/>
      <x:c r="J49" s="191"/>
      <x:c r="K49" s="191"/>
      <x:c r="L49" s="191"/>
      <x:c r="M49" s="191"/>
      <x:c r="N49" s="191"/>
      <x:c r="O49" s="191"/>
      <x:c r="P49" s="191"/>
      <x:c r="Q49" s="191"/>
      <x:c r="R49" s="191"/>
      <x:c r="S49" s="191"/>
      <x:c r="T49" s="191"/>
      <x:c r="U49" s="191"/>
      <x:c r="V49" s="191"/>
      <x:c r="W49" s="191"/>
      <x:c r="X49" s="191"/>
      <x:c r="Y49" s="191"/>
      <x:c r="Z49" s="191"/>
      <x:c r="AA49" s="191"/>
      <x:c r="AB49" s="191"/>
      <x:c r="AC49" s="191"/>
      <x:c r="AD49" s="191"/>
      <x:c r="AE49" s="191"/>
      <x:c r="AF49" s="191"/>
      <x:c r="AG49" s="191"/>
      <x:c r="AH49" s="191"/>
      <x:c r="AI49" s="191"/>
      <x:c r="AJ49" s="191"/>
      <x:c r="AK49" s="191"/>
    </x:row>
    <x:row r="50">
      <x:c r="A50" s="191"/>
      <x:c r="B50" s="191"/>
      <x:c r="C50" s="191"/>
      <x:c r="D50" s="191"/>
      <x:c r="E50" s="191"/>
      <x:c r="F50" s="191"/>
      <x:c r="G50" s="191"/>
      <x:c r="H50" s="191"/>
      <x:c r="I50" s="191"/>
      <x:c r="J50" s="191"/>
      <x:c r="K50" s="191"/>
      <x:c r="L50" s="191"/>
      <x:c r="M50" s="191"/>
      <x:c r="N50" s="191"/>
      <x:c r="O50" s="191"/>
      <x:c r="P50" s="191"/>
      <x:c r="Q50" s="191"/>
      <x:c r="R50" s="191"/>
      <x:c r="S50" s="191"/>
      <x:c r="T50" s="191"/>
      <x:c r="U50" s="191"/>
      <x:c r="V50" s="191"/>
      <x:c r="W50" s="191"/>
      <x:c r="X50" s="191"/>
      <x:c r="Y50" s="191"/>
      <x:c r="Z50" s="191"/>
      <x:c r="AA50" s="191"/>
      <x:c r="AB50" s="191"/>
      <x:c r="AC50" s="191"/>
      <x:c r="AD50" s="191"/>
      <x:c r="AE50" s="191"/>
      <x:c r="AF50" s="191"/>
      <x:c r="AG50" s="191"/>
      <x:c r="AH50" s="191"/>
      <x:c r="AI50" s="191"/>
      <x:c r="AJ50" s="191"/>
      <x:c r="AK50" s="191"/>
    </x:row>
    <x:row r="51">
      <x:c r="A51" s="191"/>
      <x:c r="B51" s="191"/>
      <x:c r="C51" s="191"/>
      <x:c r="D51" s="191"/>
      <x:c r="E51" s="191"/>
      <x:c r="F51" s="191"/>
      <x:c r="G51" s="191"/>
      <x:c r="H51" s="191"/>
      <x:c r="I51" s="191"/>
      <x:c r="J51" s="191"/>
      <x:c r="K51" s="191"/>
      <x:c r="L51" s="191"/>
      <x:c r="M51" s="191"/>
      <x:c r="N51" s="191"/>
      <x:c r="O51" s="191"/>
      <x:c r="P51" s="191"/>
      <x:c r="Q51" s="191"/>
      <x:c r="R51" s="191"/>
      <x:c r="S51" s="191"/>
      <x:c r="T51" s="191"/>
      <x:c r="U51" s="191"/>
      <x:c r="V51" s="191"/>
      <x:c r="W51" s="191"/>
      <x:c r="X51" s="191"/>
      <x:c r="Y51" s="191"/>
      <x:c r="Z51" s="191"/>
      <x:c r="AA51" s="191"/>
      <x:c r="AB51" s="191"/>
      <x:c r="AC51" s="191"/>
      <x:c r="AD51" s="191"/>
      <x:c r="AE51" s="191"/>
      <x:c r="AF51" s="191"/>
      <x:c r="AG51" s="191"/>
      <x:c r="AH51" s="191"/>
      <x:c r="AI51" s="191"/>
      <x:c r="AJ51" s="191"/>
      <x:c r="AK51" s="191"/>
    </x:row>
    <x:row r="52">
      <x:c r="A52" s="191"/>
      <x:c r="B52" s="191"/>
      <x:c r="C52" s="191"/>
      <x:c r="D52" s="191"/>
      <x:c r="E52" s="191"/>
      <x:c r="F52" s="191"/>
      <x:c r="G52" s="191"/>
      <x:c r="H52" s="191"/>
      <x:c r="I52" s="191"/>
      <x:c r="J52" s="191"/>
      <x:c r="K52" s="191"/>
      <x:c r="L52" s="191"/>
      <x:c r="M52" s="191"/>
      <x:c r="N52" s="191"/>
      <x:c r="O52" s="191"/>
      <x:c r="P52" s="191"/>
      <x:c r="Q52" s="191"/>
      <x:c r="R52" s="191"/>
      <x:c r="S52" s="191"/>
      <x:c r="T52" s="191"/>
      <x:c r="U52" s="191"/>
      <x:c r="V52" s="191"/>
      <x:c r="W52" s="191"/>
      <x:c r="X52" s="191"/>
      <x:c r="Y52" s="191"/>
      <x:c r="Z52" s="191"/>
      <x:c r="AA52" s="191"/>
      <x:c r="AB52" s="191"/>
      <x:c r="AC52" s="191"/>
      <x:c r="AD52" s="191"/>
      <x:c r="AE52" s="191"/>
      <x:c r="AF52" s="191"/>
      <x:c r="AG52" s="191"/>
      <x:c r="AH52" s="191"/>
      <x:c r="AI52" s="191"/>
      <x:c r="AJ52" s="191"/>
      <x:c r="AK52" s="191"/>
    </x:row>
    <x:row r="53">
      <x:c r="A53" s="191"/>
      <x:c r="B53" s="191"/>
      <x:c r="C53" s="191"/>
      <x:c r="D53" s="191"/>
      <x:c r="E53" s="191"/>
      <x:c r="F53" s="191"/>
      <x:c r="G53" s="191"/>
      <x:c r="H53" s="191"/>
      <x:c r="I53" s="191"/>
      <x:c r="J53" s="191"/>
      <x:c r="K53" s="191"/>
      <x:c r="L53" s="191"/>
      <x:c r="M53" s="191"/>
      <x:c r="N53" s="191"/>
      <x:c r="O53" s="191"/>
      <x:c r="P53" s="191"/>
      <x:c r="Q53" s="191"/>
      <x:c r="R53" s="191"/>
      <x:c r="S53" s="191"/>
      <x:c r="T53" s="191"/>
      <x:c r="U53" s="191"/>
      <x:c r="V53" s="191"/>
      <x:c r="W53" s="191"/>
      <x:c r="X53" s="191"/>
      <x:c r="Y53" s="191"/>
      <x:c r="Z53" s="191"/>
      <x:c r="AA53" s="191"/>
      <x:c r="AB53" s="191"/>
      <x:c r="AC53" s="191"/>
      <x:c r="AD53" s="191"/>
      <x:c r="AE53" s="191"/>
      <x:c r="AF53" s="191"/>
      <x:c r="AG53" s="191"/>
      <x:c r="AH53" s="191"/>
      <x:c r="AI53" s="191"/>
      <x:c r="AJ53" s="191"/>
      <x:c r="AK53" s="191"/>
    </x:row>
    <x:row r="54">
      <x:c r="A54" s="191"/>
      <x:c r="B54" s="191"/>
      <x:c r="C54" s="191"/>
      <x:c r="D54" s="191"/>
      <x:c r="E54" s="191"/>
      <x:c r="F54" s="191"/>
      <x:c r="G54" s="191"/>
      <x:c r="H54" s="191"/>
      <x:c r="I54" s="191"/>
      <x:c r="J54" s="191"/>
      <x:c r="K54" s="191"/>
      <x:c r="L54" s="191"/>
      <x:c r="M54" s="191"/>
      <x:c r="N54" s="191"/>
      <x:c r="O54" s="191"/>
      <x:c r="P54" s="191"/>
      <x:c r="Q54" s="191"/>
      <x:c r="R54" s="191"/>
      <x:c r="S54" s="191"/>
      <x:c r="T54" s="191"/>
      <x:c r="U54" s="191"/>
      <x:c r="V54" s="191"/>
      <x:c r="W54" s="191"/>
      <x:c r="X54" s="191"/>
      <x:c r="Y54" s="191"/>
      <x:c r="Z54" s="191"/>
      <x:c r="AA54" s="191"/>
      <x:c r="AB54" s="191"/>
      <x:c r="AC54" s="191"/>
      <x:c r="AD54" s="191"/>
      <x:c r="AE54" s="191"/>
      <x:c r="AF54" s="191"/>
      <x:c r="AG54" s="191"/>
      <x:c r="AH54" s="191"/>
      <x:c r="AI54" s="191"/>
      <x:c r="AJ54" s="191"/>
      <x:c r="AK54" s="191"/>
    </x:row>
    <x:row r="55">
      <x:c r="A55" s="191"/>
      <x:c r="B55" s="191"/>
      <x:c r="C55" s="191"/>
      <x:c r="D55" s="191"/>
      <x:c r="E55" s="191"/>
      <x:c r="F55" s="191"/>
      <x:c r="G55" s="191"/>
      <x:c r="H55" s="191"/>
      <x:c r="I55" s="191"/>
      <x:c r="J55" s="191"/>
      <x:c r="K55" s="191"/>
      <x:c r="L55" s="191"/>
      <x:c r="M55" s="191"/>
      <x:c r="N55" s="191"/>
      <x:c r="O55" s="191"/>
      <x:c r="P55" s="191"/>
      <x:c r="Q55" s="191"/>
      <x:c r="R55" s="191"/>
      <x:c r="S55" s="191"/>
      <x:c r="T55" s="191"/>
      <x:c r="U55" s="191"/>
      <x:c r="V55" s="191"/>
      <x:c r="W55" s="191"/>
      <x:c r="X55" s="191"/>
      <x:c r="Y55" s="191"/>
      <x:c r="Z55" s="191"/>
      <x:c r="AA55" s="191"/>
      <x:c r="AB55" s="191"/>
      <x:c r="AC55" s="191"/>
      <x:c r="AD55" s="191"/>
      <x:c r="AE55" s="191"/>
      <x:c r="AF55" s="191"/>
      <x:c r="AG55" s="191"/>
      <x:c r="AH55" s="191"/>
      <x:c r="AI55" s="191"/>
      <x:c r="AJ55" s="191"/>
      <x:c r="AK55" s="191"/>
    </x:row>
    <x:row r="56">
      <x:c r="A56" s="191"/>
      <x:c r="B56" s="191"/>
      <x:c r="C56" s="191"/>
      <x:c r="D56" s="191"/>
      <x:c r="E56" s="191"/>
      <x:c r="F56" s="191"/>
      <x:c r="G56" s="191"/>
      <x:c r="H56" s="191"/>
      <x:c r="I56" s="191"/>
      <x:c r="J56" s="191"/>
      <x:c r="K56" s="191"/>
      <x:c r="L56" s="191"/>
      <x:c r="M56" s="191"/>
      <x:c r="N56" s="191"/>
      <x:c r="O56" s="191"/>
      <x:c r="P56" s="191"/>
      <x:c r="Q56" s="191"/>
      <x:c r="R56" s="191"/>
      <x:c r="S56" s="191"/>
      <x:c r="T56" s="191"/>
      <x:c r="U56" s="191"/>
      <x:c r="V56" s="191"/>
      <x:c r="W56" s="191"/>
      <x:c r="X56" s="191"/>
      <x:c r="Y56" s="191"/>
      <x:c r="Z56" s="191"/>
      <x:c r="AA56" s="191"/>
      <x:c r="AB56" s="191"/>
      <x:c r="AC56" s="191"/>
      <x:c r="AD56" s="191"/>
      <x:c r="AE56" s="191"/>
      <x:c r="AF56" s="191"/>
      <x:c r="AG56" s="191"/>
      <x:c r="AH56" s="191"/>
      <x:c r="AI56" s="191"/>
      <x:c r="AJ56" s="191"/>
      <x:c r="AK56" s="191"/>
    </x:row>
    <x:row r="57">
      <x:c r="A57" s="191"/>
      <x:c r="B57" s="191"/>
      <x:c r="C57" s="191"/>
      <x:c r="D57" s="191"/>
      <x:c r="E57" s="191"/>
      <x:c r="F57" s="191"/>
      <x:c r="G57" s="191"/>
      <x:c r="H57" s="191"/>
      <x:c r="I57" s="191"/>
      <x:c r="J57" s="191"/>
      <x:c r="K57" s="191"/>
      <x:c r="L57" s="191"/>
      <x:c r="M57" s="191"/>
      <x:c r="N57" s="191"/>
      <x:c r="O57" s="191"/>
      <x:c r="P57" s="191"/>
      <x:c r="Q57" s="191"/>
      <x:c r="R57" s="191"/>
      <x:c r="S57" s="191"/>
      <x:c r="T57" s="191"/>
      <x:c r="U57" s="191"/>
      <x:c r="V57" s="191"/>
      <x:c r="W57" s="191"/>
      <x:c r="X57" s="191"/>
      <x:c r="Y57" s="191"/>
      <x:c r="Z57" s="191"/>
      <x:c r="AA57" s="191"/>
      <x:c r="AB57" s="191"/>
      <x:c r="AC57" s="191"/>
      <x:c r="AD57" s="191"/>
      <x:c r="AE57" s="191"/>
      <x:c r="AF57" s="191"/>
      <x:c r="AG57" s="191"/>
      <x:c r="AH57" s="191"/>
      <x:c r="AI57" s="191"/>
      <x:c r="AJ57" s="191"/>
      <x:c r="AK57" s="191"/>
    </x:row>
    <x:row r="58">
      <x:c r="A58" s="191"/>
      <x:c r="B58" s="191"/>
      <x:c r="C58" s="191"/>
      <x:c r="D58" s="191"/>
      <x:c r="E58" s="191"/>
      <x:c r="F58" s="191"/>
      <x:c r="G58" s="191"/>
      <x:c r="H58" s="191"/>
      <x:c r="I58" s="191"/>
      <x:c r="J58" s="191"/>
      <x:c r="K58" s="191"/>
      <x:c r="L58" s="191"/>
      <x:c r="M58" s="191"/>
      <x:c r="N58" s="191"/>
      <x:c r="O58" s="191"/>
      <x:c r="P58" s="191"/>
      <x:c r="Q58" s="191"/>
      <x:c r="R58" s="191"/>
      <x:c r="S58" s="191"/>
      <x:c r="T58" s="191"/>
      <x:c r="U58" s="191"/>
      <x:c r="V58" s="191"/>
      <x:c r="W58" s="191"/>
      <x:c r="X58" s="191"/>
      <x:c r="Y58" s="191"/>
      <x:c r="Z58" s="191"/>
      <x:c r="AA58" s="191"/>
      <x:c r="AB58" s="191"/>
      <x:c r="AC58" s="191"/>
      <x:c r="AD58" s="191"/>
      <x:c r="AE58" s="191"/>
      <x:c r="AF58" s="191"/>
      <x:c r="AG58" s="191"/>
      <x:c r="AH58" s="191"/>
      <x:c r="AI58" s="191"/>
      <x:c r="AJ58" s="191"/>
      <x:c r="AK58" s="191"/>
    </x:row>
    <x:row r="59">
      <x:c r="A59" s="191"/>
      <x:c r="B59" s="191"/>
      <x:c r="C59" s="191"/>
      <x:c r="D59" s="191"/>
      <x:c r="E59" s="191"/>
      <x:c r="F59" s="191"/>
      <x:c r="G59" s="191"/>
      <x:c r="H59" s="191"/>
      <x:c r="I59" s="191"/>
      <x:c r="J59" s="191"/>
      <x:c r="K59" s="191"/>
      <x:c r="L59" s="191"/>
      <x:c r="M59" s="191"/>
      <x:c r="N59" s="191"/>
      <x:c r="O59" s="191"/>
      <x:c r="P59" s="191"/>
      <x:c r="Q59" s="191"/>
      <x:c r="R59" s="191"/>
      <x:c r="S59" s="191"/>
      <x:c r="T59" s="191"/>
      <x:c r="U59" s="191"/>
      <x:c r="V59" s="191"/>
      <x:c r="W59" s="191"/>
      <x:c r="X59" s="191"/>
      <x:c r="Y59" s="191"/>
      <x:c r="Z59" s="191"/>
      <x:c r="AA59" s="191"/>
      <x:c r="AB59" s="191"/>
      <x:c r="AC59" s="191"/>
      <x:c r="AD59" s="191"/>
      <x:c r="AE59" s="191"/>
      <x:c r="AF59" s="191"/>
      <x:c r="AG59" s="191"/>
      <x:c r="AH59" s="191"/>
      <x:c r="AI59" s="191"/>
      <x:c r="AJ59" s="191"/>
      <x:c r="AK59" s="191"/>
    </x:row>
    <x:row r="60">
      <x:c r="A60" s="191"/>
      <x:c r="B60" s="191"/>
      <x:c r="C60" s="191"/>
      <x:c r="D60" s="191"/>
      <x:c r="E60" s="191"/>
      <x:c r="F60" s="191"/>
      <x:c r="G60" s="191"/>
      <x:c r="H60" s="191"/>
      <x:c r="I60" s="191"/>
      <x:c r="J60" s="191"/>
      <x:c r="K60" s="191"/>
      <x:c r="L60" s="191"/>
      <x:c r="M60" s="191"/>
      <x:c r="N60" s="191"/>
      <x:c r="O60" s="191"/>
      <x:c r="P60" s="191"/>
      <x:c r="Q60" s="191"/>
      <x:c r="R60" s="191"/>
      <x:c r="S60" s="191"/>
      <x:c r="T60" s="191"/>
      <x:c r="U60" s="191"/>
      <x:c r="V60" s="191"/>
      <x:c r="W60" s="191"/>
      <x:c r="X60" s="191"/>
      <x:c r="Y60" s="191"/>
      <x:c r="Z60" s="191"/>
      <x:c r="AA60" s="191"/>
      <x:c r="AB60" s="191"/>
      <x:c r="AC60" s="191"/>
      <x:c r="AD60" s="191"/>
      <x:c r="AE60" s="191"/>
      <x:c r="AF60" s="191"/>
      <x:c r="AG60" s="191"/>
      <x:c r="AH60" s="191"/>
      <x:c r="AI60" s="191"/>
      <x:c r="AJ60" s="191"/>
      <x:c r="AK60" s="191"/>
    </x:row>
    <x:row r="61">
      <x:c r="A61" s="191"/>
      <x:c r="B61" s="191"/>
      <x:c r="C61" s="191"/>
      <x:c r="D61" s="191"/>
      <x:c r="E61" s="191"/>
      <x:c r="F61" s="191"/>
      <x:c r="G61" s="191"/>
      <x:c r="H61" s="191"/>
      <x:c r="I61" s="191"/>
      <x:c r="J61" s="191"/>
      <x:c r="K61" s="191"/>
      <x:c r="L61" s="191"/>
      <x:c r="M61" s="191"/>
      <x:c r="N61" s="191"/>
      <x:c r="O61" s="191"/>
      <x:c r="P61" s="191"/>
      <x:c r="Q61" s="191"/>
      <x:c r="R61" s="191"/>
      <x:c r="S61" s="191"/>
      <x:c r="T61" s="191"/>
      <x:c r="U61" s="191"/>
      <x:c r="V61" s="191"/>
      <x:c r="W61" s="191"/>
      <x:c r="X61" s="191"/>
      <x:c r="Y61" s="191"/>
      <x:c r="Z61" s="191"/>
      <x:c r="AA61" s="191"/>
      <x:c r="AB61" s="191"/>
      <x:c r="AC61" s="191"/>
      <x:c r="AD61" s="191"/>
      <x:c r="AE61" s="191"/>
      <x:c r="AF61" s="191"/>
      <x:c r="AG61" s="191"/>
      <x:c r="AH61" s="191"/>
      <x:c r="AI61" s="191"/>
      <x:c r="AJ61" s="191"/>
      <x:c r="AK61" s="191"/>
    </x:row>
    <x:row r="62">
      <x:c r="A62" s="191"/>
      <x:c r="B62" s="191"/>
      <x:c r="C62" s="191"/>
      <x:c r="D62" s="191"/>
      <x:c r="E62" s="191"/>
      <x:c r="F62" s="191"/>
      <x:c r="G62" s="191"/>
      <x:c r="H62" s="191"/>
      <x:c r="I62" s="191"/>
      <x:c r="J62" s="191"/>
      <x:c r="K62" s="191"/>
      <x:c r="L62" s="191"/>
      <x:c r="M62" s="191"/>
      <x:c r="N62" s="191"/>
      <x:c r="O62" s="191"/>
      <x:c r="P62" s="191"/>
      <x:c r="Q62" s="191"/>
      <x:c r="R62" s="191"/>
      <x:c r="S62" s="191"/>
      <x:c r="T62" s="191"/>
      <x:c r="U62" s="191"/>
      <x:c r="V62" s="191"/>
      <x:c r="W62" s="191"/>
      <x:c r="X62" s="191"/>
      <x:c r="Y62" s="191"/>
      <x:c r="Z62" s="191"/>
      <x:c r="AA62" s="191"/>
      <x:c r="AB62" s="191"/>
      <x:c r="AC62" s="191"/>
      <x:c r="AD62" s="191"/>
      <x:c r="AE62" s="191"/>
      <x:c r="AF62" s="191"/>
      <x:c r="AG62" s="191"/>
      <x:c r="AH62" s="191"/>
      <x:c r="AI62" s="191"/>
      <x:c r="AJ62" s="191"/>
      <x:c r="AK62" s="191"/>
    </x:row>
    <x:row r="63">
      <x:c r="A63" s="191"/>
      <x:c r="B63" s="191"/>
      <x:c r="C63" s="191"/>
      <x:c r="D63" s="191"/>
      <x:c r="E63" s="191"/>
      <x:c r="F63" s="191"/>
      <x:c r="G63" s="191"/>
      <x:c r="H63" s="191"/>
      <x:c r="I63" s="191"/>
      <x:c r="J63" s="191"/>
      <x:c r="K63" s="191"/>
      <x:c r="L63" s="191"/>
      <x:c r="M63" s="191"/>
      <x:c r="N63" s="191"/>
      <x:c r="O63" s="191"/>
      <x:c r="P63" s="191"/>
      <x:c r="Q63" s="191"/>
      <x:c r="R63" s="191"/>
      <x:c r="S63" s="191"/>
      <x:c r="T63" s="191"/>
      <x:c r="U63" s="191"/>
      <x:c r="V63" s="191"/>
      <x:c r="W63" s="191"/>
      <x:c r="X63" s="191"/>
      <x:c r="Y63" s="191"/>
      <x:c r="Z63" s="191"/>
      <x:c r="AA63" s="191"/>
      <x:c r="AB63" s="191"/>
      <x:c r="AC63" s="191"/>
      <x:c r="AD63" s="191"/>
      <x:c r="AE63" s="191"/>
      <x:c r="AF63" s="191"/>
      <x:c r="AG63" s="191"/>
      <x:c r="AH63" s="191"/>
      <x:c r="AI63" s="191"/>
      <x:c r="AJ63" s="191"/>
      <x:c r="AK63" s="191"/>
    </x:row>
    <x:row r="64">
      <x:c r="A64" s="191"/>
      <x:c r="B64" s="191"/>
      <x:c r="C64" s="191"/>
      <x:c r="D64" s="191"/>
      <x:c r="E64" s="191"/>
      <x:c r="F64" s="191"/>
      <x:c r="G64" s="191"/>
      <x:c r="H64" s="191"/>
      <x:c r="I64" s="191"/>
      <x:c r="J64" s="191"/>
      <x:c r="K64" s="191"/>
      <x:c r="L64" s="191"/>
      <x:c r="M64" s="191"/>
      <x:c r="N64" s="191"/>
      <x:c r="O64" s="191"/>
      <x:c r="P64" s="191"/>
      <x:c r="Q64" s="191"/>
      <x:c r="R64" s="191"/>
      <x:c r="S64" s="191"/>
      <x:c r="T64" s="191"/>
      <x:c r="U64" s="191"/>
      <x:c r="V64" s="191"/>
      <x:c r="W64" s="191"/>
      <x:c r="X64" s="191"/>
      <x:c r="Y64" s="191"/>
      <x:c r="Z64" s="191"/>
      <x:c r="AA64" s="191"/>
      <x:c r="AB64" s="191"/>
      <x:c r="AC64" s="191"/>
      <x:c r="AD64" s="191"/>
      <x:c r="AE64" s="191"/>
      <x:c r="AF64" s="191"/>
      <x:c r="AG64" s="191"/>
      <x:c r="AH64" s="191"/>
      <x:c r="AI64" s="191"/>
      <x:c r="AJ64" s="191"/>
      <x:c r="AK64" s="191"/>
    </x:row>
    <x:row r="65">
      <x:c r="A65" s="191"/>
      <x:c r="B65" s="191"/>
      <x:c r="C65" s="191"/>
      <x:c r="D65" s="191"/>
      <x:c r="E65" s="191"/>
      <x:c r="F65" s="191"/>
      <x:c r="G65" s="191"/>
      <x:c r="H65" s="191"/>
      <x:c r="I65" s="191"/>
      <x:c r="J65" s="191"/>
      <x:c r="K65" s="191"/>
      <x:c r="L65" s="191"/>
      <x:c r="M65" s="191"/>
      <x:c r="N65" s="191"/>
      <x:c r="O65" s="191"/>
      <x:c r="P65" s="191"/>
      <x:c r="Q65" s="191"/>
      <x:c r="R65" s="191"/>
      <x:c r="S65" s="191"/>
      <x:c r="T65" s="191"/>
      <x:c r="U65" s="191"/>
      <x:c r="V65" s="191"/>
      <x:c r="W65" s="191"/>
      <x:c r="X65" s="191"/>
      <x:c r="Y65" s="191"/>
      <x:c r="Z65" s="191"/>
      <x:c r="AA65" s="191"/>
      <x:c r="AB65" s="191"/>
      <x:c r="AC65" s="191"/>
      <x:c r="AD65" s="191"/>
      <x:c r="AE65" s="191"/>
      <x:c r="AF65" s="191"/>
      <x:c r="AG65" s="191"/>
      <x:c r="AH65" s="191"/>
      <x:c r="AI65" s="191"/>
      <x:c r="AJ65" s="191"/>
      <x:c r="AK65" s="191"/>
    </x:row>
    <x:row r="66">
      <x:c r="A66" s="191"/>
      <x:c r="B66" s="191"/>
      <x:c r="C66" s="191"/>
      <x:c r="D66" s="191"/>
      <x:c r="E66" s="191"/>
      <x:c r="F66" s="191"/>
      <x:c r="G66" s="191"/>
      <x:c r="H66" s="191"/>
      <x:c r="I66" s="191"/>
      <x:c r="J66" s="191"/>
      <x:c r="K66" s="191"/>
      <x:c r="L66" s="191"/>
      <x:c r="M66" s="191"/>
      <x:c r="N66" s="191"/>
      <x:c r="O66" s="191"/>
      <x:c r="P66" s="191"/>
      <x:c r="Q66" s="191"/>
      <x:c r="R66" s="191"/>
      <x:c r="S66" s="191"/>
      <x:c r="T66" s="191"/>
      <x:c r="U66" s="191"/>
      <x:c r="V66" s="191"/>
      <x:c r="W66" s="191"/>
      <x:c r="X66" s="191"/>
      <x:c r="Y66" s="191"/>
      <x:c r="Z66" s="191"/>
      <x:c r="AA66" s="191"/>
      <x:c r="AB66" s="191"/>
      <x:c r="AC66" s="191"/>
      <x:c r="AD66" s="191"/>
      <x:c r="AE66" s="191"/>
      <x:c r="AF66" s="191"/>
      <x:c r="AG66" s="191"/>
      <x:c r="AH66" s="191"/>
      <x:c r="AI66" s="191"/>
      <x:c r="AJ66" s="191"/>
      <x:c r="AK66" s="191"/>
    </x:row>
    <x:row r="67">
      <x:c r="A67" s="191"/>
      <x:c r="B67" s="191"/>
      <x:c r="C67" s="191"/>
      <x:c r="D67" s="191"/>
      <x:c r="E67" s="191"/>
      <x:c r="F67" s="191"/>
      <x:c r="G67" s="191"/>
      <x:c r="H67" s="191"/>
      <x:c r="I67" s="191"/>
      <x:c r="J67" s="191"/>
      <x:c r="K67" s="191"/>
      <x:c r="L67" s="191"/>
      <x:c r="M67" s="191"/>
      <x:c r="N67" s="191"/>
      <x:c r="O67" s="191"/>
      <x:c r="P67" s="191"/>
      <x:c r="Q67" s="191"/>
      <x:c r="R67" s="191"/>
      <x:c r="S67" s="191"/>
      <x:c r="T67" s="191"/>
      <x:c r="U67" s="191"/>
      <x:c r="V67" s="191"/>
      <x:c r="W67" s="191"/>
      <x:c r="X67" s="191"/>
      <x:c r="Y67" s="191"/>
      <x:c r="Z67" s="191"/>
      <x:c r="AA67" s="191"/>
      <x:c r="AB67" s="191"/>
      <x:c r="AC67" s="191"/>
      <x:c r="AD67" s="191"/>
      <x:c r="AE67" s="191"/>
      <x:c r="AF67" s="191"/>
      <x:c r="AG67" s="191"/>
      <x:c r="AH67" s="191"/>
      <x:c r="AI67" s="191"/>
      <x:c r="AJ67" s="191"/>
      <x:c r="AK67" s="191"/>
    </x:row>
    <x:row r="68">
      <x:c r="A68" s="191"/>
      <x:c r="B68" s="191"/>
      <x:c r="C68" s="191"/>
      <x:c r="D68" s="191"/>
      <x:c r="E68" s="191"/>
      <x:c r="F68" s="191"/>
      <x:c r="G68" s="191"/>
      <x:c r="H68" s="191"/>
      <x:c r="I68" s="191"/>
      <x:c r="J68" s="191"/>
      <x:c r="K68" s="191"/>
      <x:c r="L68" s="191"/>
      <x:c r="M68" s="191"/>
      <x:c r="N68" s="191"/>
      <x:c r="O68" s="191"/>
      <x:c r="P68" s="191"/>
      <x:c r="Q68" s="191"/>
      <x:c r="R68" s="191"/>
      <x:c r="S68" s="191"/>
      <x:c r="T68" s="191"/>
      <x:c r="U68" s="191"/>
      <x:c r="V68" s="191"/>
      <x:c r="W68" s="191"/>
      <x:c r="X68" s="191"/>
      <x:c r="Y68" s="191"/>
      <x:c r="Z68" s="191"/>
      <x:c r="AA68" s="191"/>
      <x:c r="AB68" s="191"/>
      <x:c r="AC68" s="191"/>
      <x:c r="AD68" s="191"/>
      <x:c r="AE68" s="191"/>
      <x:c r="AF68" s="191"/>
      <x:c r="AG68" s="191"/>
      <x:c r="AH68" s="191"/>
      <x:c r="AI68" s="191"/>
      <x:c r="AJ68" s="191"/>
      <x:c r="AK68" s="191"/>
    </x:row>
    <x:row r="69">
      <x:c r="A69" s="191"/>
      <x:c r="B69" s="191"/>
      <x:c r="C69" s="191"/>
      <x:c r="D69" s="191"/>
      <x:c r="E69" s="191"/>
      <x:c r="F69" s="191"/>
      <x:c r="G69" s="191"/>
      <x:c r="H69" s="191"/>
      <x:c r="I69" s="191"/>
      <x:c r="J69" s="191"/>
      <x:c r="K69" s="191"/>
      <x:c r="L69" s="191"/>
      <x:c r="M69" s="191"/>
      <x:c r="N69" s="191"/>
      <x:c r="O69" s="191"/>
      <x:c r="P69" s="191"/>
      <x:c r="Q69" s="191"/>
      <x:c r="R69" s="191"/>
      <x:c r="S69" s="191"/>
      <x:c r="T69" s="191"/>
      <x:c r="U69" s="191"/>
      <x:c r="V69" s="191"/>
      <x:c r="W69" s="191"/>
      <x:c r="X69" s="191"/>
      <x:c r="Y69" s="191"/>
      <x:c r="Z69" s="191"/>
      <x:c r="AA69" s="191"/>
      <x:c r="AB69" s="191"/>
      <x:c r="AC69" s="191"/>
      <x:c r="AD69" s="191"/>
      <x:c r="AE69" s="191"/>
      <x:c r="AF69" s="191"/>
      <x:c r="AG69" s="191"/>
      <x:c r="AH69" s="191"/>
      <x:c r="AI69" s="191"/>
      <x:c r="AJ69" s="191"/>
      <x:c r="AK69" s="191"/>
    </x:row>
    <x:row r="70">
      <x:c r="A70" s="191"/>
      <x:c r="B70" s="191"/>
      <x:c r="C70" s="191"/>
      <x:c r="D70" s="191"/>
      <x:c r="E70" s="191"/>
      <x:c r="F70" s="191"/>
      <x:c r="G70" s="191"/>
      <x:c r="H70" s="191"/>
      <x:c r="I70" s="191"/>
      <x:c r="J70" s="191"/>
      <x:c r="K70" s="191"/>
      <x:c r="L70" s="191"/>
      <x:c r="M70" s="191"/>
      <x:c r="N70" s="191"/>
      <x:c r="O70" s="191"/>
      <x:c r="P70" s="191"/>
      <x:c r="Q70" s="191"/>
      <x:c r="R70" s="191"/>
      <x:c r="S70" s="191"/>
      <x:c r="T70" s="191"/>
      <x:c r="U70" s="191"/>
      <x:c r="V70" s="191"/>
      <x:c r="W70" s="191"/>
      <x:c r="X70" s="191"/>
      <x:c r="Y70" s="191"/>
      <x:c r="Z70" s="191"/>
      <x:c r="AA70" s="191"/>
      <x:c r="AB70" s="191"/>
      <x:c r="AC70" s="191"/>
      <x:c r="AD70" s="191"/>
      <x:c r="AE70" s="191"/>
      <x:c r="AF70" s="191"/>
      <x:c r="AG70" s="191"/>
      <x:c r="AH70" s="191"/>
      <x:c r="AI70" s="191"/>
      <x:c r="AJ70" s="191"/>
      <x:c r="AK70" s="191"/>
    </x:row>
    <x:row r="71">
      <x:c r="A71" s="191"/>
      <x:c r="B71" s="191"/>
      <x:c r="C71" s="191"/>
      <x:c r="D71" s="191"/>
      <x:c r="E71" s="191"/>
      <x:c r="F71" s="191"/>
      <x:c r="G71" s="191"/>
      <x:c r="H71" s="191"/>
      <x:c r="I71" s="191"/>
      <x:c r="J71" s="191"/>
      <x:c r="K71" s="191"/>
      <x:c r="L71" s="191"/>
      <x:c r="M71" s="191"/>
      <x:c r="N71" s="191"/>
      <x:c r="O71" s="191"/>
      <x:c r="P71" s="191"/>
      <x:c r="Q71" s="191"/>
      <x:c r="R71" s="191"/>
      <x:c r="S71" s="191"/>
      <x:c r="T71" s="191"/>
      <x:c r="U71" s="191"/>
      <x:c r="V71" s="191"/>
      <x:c r="W71" s="191"/>
      <x:c r="X71" s="191"/>
      <x:c r="Y71" s="191"/>
      <x:c r="Z71" s="191"/>
      <x:c r="AA71" s="191"/>
      <x:c r="AB71" s="191"/>
      <x:c r="AC71" s="191"/>
      <x:c r="AD71" s="191"/>
      <x:c r="AE71" s="191"/>
      <x:c r="AF71" s="191"/>
      <x:c r="AG71" s="191"/>
      <x:c r="AH71" s="191"/>
      <x:c r="AI71" s="191"/>
      <x:c r="AJ71" s="191"/>
      <x:c r="AK71" s="191"/>
    </x:row>
    <x:row r="72">
      <x:c r="A72" s="191"/>
      <x:c r="B72" s="191"/>
      <x:c r="C72" s="191"/>
      <x:c r="D72" s="191"/>
      <x:c r="E72" s="191"/>
      <x:c r="F72" s="191"/>
      <x:c r="G72" s="191"/>
      <x:c r="H72" s="191"/>
      <x:c r="I72" s="191"/>
      <x:c r="J72" s="191"/>
      <x:c r="K72" s="191"/>
      <x:c r="L72" s="191"/>
      <x:c r="M72" s="191"/>
      <x:c r="N72" s="191"/>
      <x:c r="O72" s="191"/>
      <x:c r="P72" s="191"/>
      <x:c r="Q72" s="191"/>
      <x:c r="R72" s="191"/>
      <x:c r="S72" s="191"/>
      <x:c r="T72" s="191"/>
      <x:c r="U72" s="191"/>
      <x:c r="V72" s="191"/>
      <x:c r="W72" s="191"/>
      <x:c r="X72" s="191"/>
      <x:c r="Y72" s="191"/>
      <x:c r="Z72" s="191"/>
      <x:c r="AA72" s="191"/>
      <x:c r="AB72" s="191"/>
      <x:c r="AC72" s="191"/>
      <x:c r="AD72" s="191"/>
      <x:c r="AE72" s="191"/>
      <x:c r="AF72" s="191"/>
      <x:c r="AG72" s="191"/>
      <x:c r="AH72" s="191"/>
      <x:c r="AI72" s="191"/>
      <x:c r="AJ72" s="191"/>
      <x:c r="AK72" s="191"/>
    </x:row>
    <x:row r="73">
      <x:c r="A73" s="191"/>
      <x:c r="B73" s="191"/>
      <x:c r="C73" s="191"/>
      <x:c r="D73" s="191"/>
      <x:c r="E73" s="191"/>
      <x:c r="F73" s="191"/>
      <x:c r="G73" s="191"/>
      <x:c r="H73" s="191"/>
      <x:c r="I73" s="191"/>
      <x:c r="J73" s="191"/>
      <x:c r="K73" s="191"/>
      <x:c r="L73" s="191"/>
      <x:c r="M73" s="191"/>
      <x:c r="N73" s="191"/>
      <x:c r="O73" s="191"/>
      <x:c r="P73" s="191"/>
      <x:c r="Q73" s="191"/>
      <x:c r="R73" s="191"/>
      <x:c r="S73" s="191"/>
      <x:c r="T73" s="191"/>
      <x:c r="U73" s="191"/>
      <x:c r="V73" s="191"/>
      <x:c r="W73" s="191"/>
      <x:c r="X73" s="191"/>
      <x:c r="Y73" s="191"/>
      <x:c r="Z73" s="191"/>
      <x:c r="AA73" s="191"/>
      <x:c r="AB73" s="191"/>
      <x:c r="AC73" s="191"/>
      <x:c r="AD73" s="191"/>
      <x:c r="AE73" s="191"/>
      <x:c r="AF73" s="191"/>
      <x:c r="AG73" s="191"/>
      <x:c r="AH73" s="191"/>
      <x:c r="AI73" s="191"/>
      <x:c r="AJ73" s="191"/>
      <x:c r="AK73" s="191"/>
    </x:row>
    <x:row r="74">
      <x:c r="A74" s="191"/>
      <x:c r="B74" s="191"/>
      <x:c r="C74" s="191"/>
      <x:c r="D74" s="191"/>
      <x:c r="E74" s="191"/>
      <x:c r="F74" s="191"/>
      <x:c r="G74" s="191"/>
      <x:c r="H74" s="191"/>
      <x:c r="I74" s="191"/>
      <x:c r="J74" s="191"/>
      <x:c r="K74" s="191"/>
      <x:c r="L74" s="191"/>
      <x:c r="M74" s="191"/>
      <x:c r="N74" s="191"/>
      <x:c r="O74" s="191"/>
      <x:c r="P74" s="191"/>
      <x:c r="Q74" s="191"/>
      <x:c r="R74" s="191"/>
      <x:c r="S74" s="191"/>
      <x:c r="T74" s="191"/>
      <x:c r="U74" s="191"/>
      <x:c r="V74" s="191"/>
      <x:c r="W74" s="191"/>
      <x:c r="X74" s="191"/>
      <x:c r="Y74" s="191"/>
      <x:c r="Z74" s="191"/>
      <x:c r="AA74" s="191"/>
      <x:c r="AB74" s="191"/>
      <x:c r="AC74" s="191"/>
      <x:c r="AD74" s="191"/>
      <x:c r="AE74" s="191"/>
      <x:c r="AF74" s="191"/>
      <x:c r="AG74" s="191"/>
      <x:c r="AH74" s="191"/>
      <x:c r="AI74" s="191"/>
      <x:c r="AJ74" s="191"/>
      <x:c r="AK74" s="191"/>
    </x:row>
    <x:row r="75">
      <x:c r="A75" s="191"/>
      <x:c r="B75" s="191"/>
      <x:c r="C75" s="191"/>
      <x:c r="D75" s="191"/>
      <x:c r="E75" s="191"/>
      <x:c r="F75" s="191"/>
      <x:c r="G75" s="191"/>
      <x:c r="H75" s="191"/>
      <x:c r="I75" s="191"/>
      <x:c r="J75" s="191"/>
      <x:c r="K75" s="191"/>
      <x:c r="L75" s="191"/>
      <x:c r="M75" s="191"/>
      <x:c r="N75" s="191"/>
      <x:c r="O75" s="191"/>
      <x:c r="P75" s="191"/>
      <x:c r="Q75" s="191"/>
      <x:c r="R75" s="191"/>
      <x:c r="S75" s="191"/>
      <x:c r="T75" s="191"/>
      <x:c r="U75" s="191"/>
      <x:c r="V75" s="191"/>
      <x:c r="W75" s="191"/>
      <x:c r="X75" s="191"/>
      <x:c r="Y75" s="191"/>
      <x:c r="Z75" s="191"/>
      <x:c r="AA75" s="191"/>
      <x:c r="AB75" s="191"/>
      <x:c r="AC75" s="191"/>
      <x:c r="AD75" s="191"/>
      <x:c r="AE75" s="191"/>
      <x:c r="AF75" s="191"/>
      <x:c r="AG75" s="191"/>
      <x:c r="AH75" s="191"/>
      <x:c r="AI75" s="191"/>
      <x:c r="AJ75" s="191"/>
      <x:c r="AK75" s="191"/>
    </x:row>
    <x:row r="76">
      <x:c r="A76" s="191"/>
      <x:c r="B76" s="191"/>
      <x:c r="C76" s="191"/>
      <x:c r="D76" s="191"/>
      <x:c r="E76" s="191"/>
      <x:c r="F76" s="191"/>
      <x:c r="G76" s="191"/>
      <x:c r="H76" s="191"/>
      <x:c r="I76" s="191"/>
      <x:c r="J76" s="191"/>
      <x:c r="K76" s="191"/>
      <x:c r="L76" s="191"/>
      <x:c r="M76" s="191"/>
      <x:c r="N76" s="191"/>
      <x:c r="O76" s="191"/>
      <x:c r="P76" s="191"/>
      <x:c r="Q76" s="191"/>
      <x:c r="R76" s="191"/>
      <x:c r="S76" s="191"/>
      <x:c r="T76" s="191"/>
      <x:c r="U76" s="191"/>
      <x:c r="V76" s="191"/>
      <x:c r="W76" s="191"/>
      <x:c r="X76" s="191"/>
      <x:c r="Y76" s="191"/>
      <x:c r="Z76" s="191"/>
      <x:c r="AA76" s="191"/>
      <x:c r="AB76" s="191"/>
      <x:c r="AC76" s="191"/>
      <x:c r="AD76" s="191"/>
      <x:c r="AE76" s="191"/>
      <x:c r="AF76" s="191"/>
      <x:c r="AG76" s="191"/>
      <x:c r="AH76" s="191"/>
      <x:c r="AI76" s="191"/>
      <x:c r="AJ76" s="191"/>
      <x:c r="AK76" s="191"/>
    </x:row>
    <x:row r="77">
      <x:c r="A77" s="191"/>
      <x:c r="B77" s="191"/>
      <x:c r="C77" s="191"/>
      <x:c r="D77" s="191"/>
      <x:c r="E77" s="191"/>
      <x:c r="F77" s="191"/>
      <x:c r="G77" s="191"/>
      <x:c r="H77" s="191"/>
      <x:c r="I77" s="191"/>
      <x:c r="J77" s="191"/>
      <x:c r="K77" s="191"/>
      <x:c r="L77" s="191"/>
      <x:c r="M77" s="191"/>
      <x:c r="N77" s="191"/>
      <x:c r="O77" s="191"/>
      <x:c r="P77" s="191"/>
      <x:c r="Q77" s="191"/>
      <x:c r="R77" s="191"/>
      <x:c r="S77" s="191"/>
      <x:c r="T77" s="191"/>
      <x:c r="U77" s="191"/>
      <x:c r="V77" s="191"/>
      <x:c r="W77" s="191"/>
      <x:c r="X77" s="191"/>
      <x:c r="Y77" s="191"/>
      <x:c r="Z77" s="191"/>
      <x:c r="AA77" s="191"/>
      <x:c r="AB77" s="191"/>
      <x:c r="AC77" s="191"/>
      <x:c r="AD77" s="191"/>
      <x:c r="AE77" s="191"/>
      <x:c r="AF77" s="191"/>
      <x:c r="AG77" s="191"/>
      <x:c r="AH77" s="191"/>
      <x:c r="AI77" s="191"/>
      <x:c r="AJ77" s="191"/>
      <x:c r="AK77" s="191"/>
    </x:row>
    <x:row r="78">
      <x:c r="A78" s="191"/>
      <x:c r="B78" s="191"/>
      <x:c r="C78" s="191"/>
      <x:c r="D78" s="191"/>
      <x:c r="E78" s="191"/>
      <x:c r="F78" s="191"/>
      <x:c r="G78" s="191"/>
      <x:c r="H78" s="191"/>
      <x:c r="I78" s="191"/>
      <x:c r="J78" s="191"/>
      <x:c r="K78" s="191"/>
      <x:c r="L78" s="191"/>
      <x:c r="M78" s="191"/>
      <x:c r="N78" s="191"/>
      <x:c r="O78" s="191"/>
      <x:c r="P78" s="191"/>
      <x:c r="Q78" s="191"/>
      <x:c r="R78" s="191"/>
      <x:c r="S78" s="191"/>
      <x:c r="T78" s="191"/>
      <x:c r="U78" s="191"/>
      <x:c r="V78" s="191"/>
      <x:c r="W78" s="191"/>
      <x:c r="X78" s="191"/>
      <x:c r="Y78" s="191"/>
      <x:c r="Z78" s="191"/>
      <x:c r="AA78" s="191"/>
      <x:c r="AB78" s="191"/>
      <x:c r="AC78" s="191"/>
      <x:c r="AD78" s="191"/>
      <x:c r="AE78" s="191"/>
      <x:c r="AF78" s="191"/>
      <x:c r="AG78" s="191"/>
      <x:c r="AH78" s="191"/>
      <x:c r="AI78" s="191"/>
      <x:c r="AJ78" s="191"/>
      <x:c r="AK78" s="191"/>
    </x:row>
    <x:row r="79">
      <x:c r="A79" s="191"/>
      <x:c r="B79" s="191"/>
      <x:c r="C79" s="191"/>
      <x:c r="D79" s="191"/>
      <x:c r="E79" s="191"/>
      <x:c r="F79" s="191"/>
      <x:c r="G79" s="191"/>
      <x:c r="H79" s="191"/>
      <x:c r="I79" s="191"/>
      <x:c r="J79" s="191"/>
      <x:c r="K79" s="191"/>
      <x:c r="L79" s="191"/>
      <x:c r="M79" s="191"/>
      <x:c r="N79" s="191"/>
      <x:c r="O79" s="191"/>
      <x:c r="P79" s="191"/>
      <x:c r="Q79" s="191"/>
      <x:c r="R79" s="191"/>
      <x:c r="S79" s="191"/>
      <x:c r="T79" s="191"/>
      <x:c r="U79" s="191"/>
      <x:c r="V79" s="191"/>
      <x:c r="W79" s="191"/>
      <x:c r="X79" s="191"/>
      <x:c r="Y79" s="191"/>
      <x:c r="Z79" s="191"/>
      <x:c r="AA79" s="191"/>
      <x:c r="AB79" s="191"/>
      <x:c r="AC79" s="191"/>
      <x:c r="AD79" s="191"/>
      <x:c r="AE79" s="191"/>
      <x:c r="AF79" s="191"/>
      <x:c r="AG79" s="191"/>
      <x:c r="AH79" s="191"/>
      <x:c r="AI79" s="191"/>
      <x:c r="AJ79" s="191"/>
      <x:c r="AK79" s="191"/>
    </x:row>
    <x:row r="80">
      <x:c r="A80" s="191"/>
      <x:c r="B80" s="191"/>
      <x:c r="C80" s="191"/>
      <x:c r="D80" s="191"/>
      <x:c r="E80" s="191"/>
      <x:c r="F80" s="191"/>
      <x:c r="G80" s="191"/>
      <x:c r="H80" s="191"/>
      <x:c r="I80" s="191"/>
      <x:c r="J80" s="191"/>
      <x:c r="K80" s="191"/>
      <x:c r="L80" s="191"/>
      <x:c r="M80" s="191"/>
      <x:c r="N80" s="191"/>
      <x:c r="O80" s="191"/>
      <x:c r="P80" s="191"/>
      <x:c r="Q80" s="191"/>
      <x:c r="R80" s="191"/>
      <x:c r="S80" s="191"/>
      <x:c r="T80" s="191"/>
      <x:c r="U80" s="191"/>
      <x:c r="V80" s="191"/>
      <x:c r="W80" s="191"/>
      <x:c r="X80" s="191"/>
      <x:c r="Y80" s="191"/>
      <x:c r="Z80" s="191"/>
      <x:c r="AA80" s="191"/>
      <x:c r="AB80" s="191"/>
      <x:c r="AC80" s="191"/>
      <x:c r="AD80" s="191"/>
      <x:c r="AE80" s="191"/>
      <x:c r="AF80" s="191"/>
      <x:c r="AG80" s="191"/>
      <x:c r="AH80" s="191"/>
      <x:c r="AI80" s="191"/>
      <x:c r="AJ80" s="191"/>
      <x:c r="AK80" s="191"/>
    </x:row>
    <x:row r="81">
      <x:c r="A81" s="191"/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  <x:c r="S81" s="191"/>
      <x:c r="T81" s="191"/>
      <x:c r="U81" s="191"/>
      <x:c r="V81" s="191"/>
      <x:c r="W81" s="191"/>
      <x:c r="X81" s="191"/>
      <x:c r="Y81" s="191"/>
      <x:c r="Z81" s="191"/>
      <x:c r="AA81" s="191"/>
      <x:c r="AB81" s="191"/>
      <x:c r="AC81" s="191"/>
      <x:c r="AD81" s="191"/>
      <x:c r="AE81" s="191"/>
      <x:c r="AF81" s="191"/>
      <x:c r="AG81" s="191"/>
      <x:c r="AH81" s="191"/>
      <x:c r="AI81" s="191"/>
      <x:c r="AJ81" s="191"/>
      <x:c r="AK81" s="191"/>
    </x:row>
    <x:row r="82">
      <x:c r="A82" s="191"/>
      <x:c r="B82" s="191"/>
      <x:c r="C82" s="191"/>
      <x:c r="D82" s="191"/>
      <x:c r="E82" s="191"/>
      <x:c r="F82" s="191"/>
      <x:c r="G82" s="191"/>
      <x:c r="H82" s="191"/>
      <x:c r="I82" s="191"/>
      <x:c r="J82" s="191"/>
      <x:c r="K82" s="191"/>
      <x:c r="L82" s="191"/>
      <x:c r="M82" s="191"/>
      <x:c r="N82" s="191"/>
      <x:c r="O82" s="191"/>
      <x:c r="P82" s="191"/>
      <x:c r="Q82" s="191"/>
      <x:c r="R82" s="191"/>
      <x:c r="S82" s="191"/>
      <x:c r="T82" s="191"/>
      <x:c r="U82" s="191"/>
      <x:c r="V82" s="191"/>
      <x:c r="W82" s="191"/>
      <x:c r="X82" s="191"/>
      <x:c r="Y82" s="191"/>
      <x:c r="Z82" s="191"/>
      <x:c r="AA82" s="191"/>
      <x:c r="AB82" s="191"/>
      <x:c r="AC82" s="191"/>
      <x:c r="AD82" s="191"/>
      <x:c r="AE82" s="191"/>
      <x:c r="AF82" s="191"/>
      <x:c r="AG82" s="191"/>
      <x:c r="AH82" s="191"/>
      <x:c r="AI82" s="191"/>
      <x:c r="AJ82" s="191"/>
      <x:c r="AK82" s="191"/>
    </x:row>
    <x:row r="83">
      <x:c r="A83" s="191"/>
      <x:c r="B83" s="191"/>
      <x:c r="C83" s="191"/>
      <x:c r="D83" s="191"/>
      <x:c r="E83" s="191"/>
      <x:c r="F83" s="191"/>
      <x:c r="G83" s="191"/>
      <x:c r="H83" s="191"/>
      <x:c r="I83" s="191"/>
      <x:c r="J83" s="191"/>
      <x:c r="K83" s="191"/>
      <x:c r="L83" s="191"/>
      <x:c r="M83" s="191"/>
      <x:c r="N83" s="191"/>
      <x:c r="O83" s="191"/>
      <x:c r="P83" s="191"/>
      <x:c r="Q83" s="191"/>
      <x:c r="R83" s="191"/>
      <x:c r="S83" s="191"/>
      <x:c r="T83" s="191"/>
      <x:c r="U83" s="191"/>
      <x:c r="V83" s="191"/>
      <x:c r="W83" s="191"/>
      <x:c r="X83" s="191"/>
      <x:c r="Y83" s="191"/>
      <x:c r="Z83" s="191"/>
      <x:c r="AA83" s="191"/>
      <x:c r="AB83" s="191"/>
      <x:c r="AC83" s="191"/>
      <x:c r="AD83" s="191"/>
      <x:c r="AE83" s="191"/>
      <x:c r="AF83" s="191"/>
      <x:c r="AG83" s="191"/>
      <x:c r="AH83" s="191"/>
      <x:c r="AI83" s="191"/>
      <x:c r="AJ83" s="191"/>
      <x:c r="AK83" s="191"/>
    </x:row>
    <x:row r="84">
      <x:c r="A84" s="191"/>
      <x:c r="B84" s="191"/>
      <x:c r="C84" s="191"/>
      <x:c r="D84" s="191"/>
      <x:c r="E84" s="191"/>
      <x:c r="F84" s="191"/>
      <x:c r="G84" s="191"/>
      <x:c r="H84" s="191"/>
      <x:c r="I84" s="191"/>
      <x:c r="J84" s="191"/>
      <x:c r="K84" s="191"/>
      <x:c r="L84" s="191"/>
      <x:c r="M84" s="191"/>
      <x:c r="N84" s="191"/>
      <x:c r="O84" s="191"/>
      <x:c r="P84" s="191"/>
      <x:c r="Q84" s="191"/>
      <x:c r="R84" s="191"/>
      <x:c r="S84" s="191"/>
      <x:c r="T84" s="191"/>
      <x:c r="U84" s="191"/>
      <x:c r="V84" s="191"/>
      <x:c r="W84" s="191"/>
      <x:c r="X84" s="191"/>
      <x:c r="Y84" s="191"/>
      <x:c r="Z84" s="191"/>
      <x:c r="AA84" s="191"/>
      <x:c r="AB84" s="191"/>
      <x:c r="AC84" s="191"/>
      <x:c r="AD84" s="191"/>
      <x:c r="AE84" s="191"/>
      <x:c r="AF84" s="191"/>
      <x:c r="AG84" s="191"/>
      <x:c r="AH84" s="191"/>
      <x:c r="AI84" s="191"/>
      <x:c r="AJ84" s="191"/>
      <x:c r="AK84" s="191"/>
    </x:row>
    <x:row r="85">
      <x:c r="A85" s="191"/>
      <x:c r="B85" s="191"/>
      <x:c r="C85" s="191"/>
      <x:c r="D85" s="191"/>
      <x:c r="E85" s="191"/>
      <x:c r="F85" s="191"/>
      <x:c r="G85" s="191"/>
      <x:c r="H85" s="191"/>
      <x:c r="I85" s="191"/>
      <x:c r="J85" s="191"/>
      <x:c r="K85" s="191"/>
      <x:c r="L85" s="191"/>
      <x:c r="M85" s="191"/>
      <x:c r="N85" s="191"/>
      <x:c r="O85" s="191"/>
      <x:c r="P85" s="191"/>
      <x:c r="Q85" s="191"/>
      <x:c r="R85" s="191"/>
      <x:c r="S85" s="191"/>
      <x:c r="T85" s="191"/>
      <x:c r="U85" s="191"/>
      <x:c r="V85" s="191"/>
      <x:c r="W85" s="191"/>
      <x:c r="X85" s="191"/>
      <x:c r="Y85" s="191"/>
      <x:c r="Z85" s="191"/>
      <x:c r="AA85" s="191"/>
      <x:c r="AB85" s="191"/>
      <x:c r="AC85" s="191"/>
      <x:c r="AD85" s="191"/>
      <x:c r="AE85" s="191"/>
      <x:c r="AF85" s="191"/>
      <x:c r="AG85" s="191"/>
      <x:c r="AH85" s="191"/>
      <x:c r="AI85" s="191"/>
      <x:c r="AJ85" s="191"/>
      <x:c r="AK85" s="191"/>
    </x:row>
    <x:row r="86">
      <x:c r="A86" s="191"/>
      <x:c r="B86" s="191"/>
      <x:c r="C86" s="191"/>
      <x:c r="D86" s="191"/>
      <x:c r="E86" s="191"/>
      <x:c r="F86" s="191"/>
      <x:c r="G86" s="191"/>
      <x:c r="H86" s="191"/>
      <x:c r="I86" s="191"/>
      <x:c r="J86" s="191"/>
      <x:c r="K86" s="191"/>
      <x:c r="L86" s="191"/>
      <x:c r="M86" s="191"/>
      <x:c r="N86" s="191"/>
      <x:c r="O86" s="191"/>
      <x:c r="P86" s="191"/>
      <x:c r="Q86" s="191"/>
      <x:c r="R86" s="191"/>
      <x:c r="S86" s="191"/>
      <x:c r="T86" s="191"/>
      <x:c r="U86" s="191"/>
      <x:c r="V86" s="191"/>
      <x:c r="W86" s="191"/>
      <x:c r="X86" s="191"/>
      <x:c r="Y86" s="191"/>
      <x:c r="Z86" s="191"/>
      <x:c r="AA86" s="191"/>
      <x:c r="AB86" s="191"/>
      <x:c r="AC86" s="191"/>
      <x:c r="AD86" s="191"/>
      <x:c r="AE86" s="191"/>
      <x:c r="AF86" s="191"/>
      <x:c r="AG86" s="191"/>
      <x:c r="AH86" s="191"/>
      <x:c r="AI86" s="191"/>
      <x:c r="AJ86" s="191"/>
      <x:c r="AK86" s="191"/>
    </x:row>
    <x:row r="87">
      <x:c r="A87" s="191"/>
      <x:c r="B87" s="191"/>
      <x:c r="C87" s="191"/>
      <x:c r="D87" s="191"/>
      <x:c r="E87" s="191"/>
      <x:c r="F87" s="191"/>
      <x:c r="G87" s="191"/>
      <x:c r="H87" s="191"/>
      <x:c r="I87" s="191"/>
      <x:c r="J87" s="191"/>
      <x:c r="K87" s="191"/>
      <x:c r="L87" s="191"/>
      <x:c r="M87" s="191"/>
      <x:c r="N87" s="191"/>
      <x:c r="O87" s="191"/>
      <x:c r="P87" s="191"/>
      <x:c r="Q87" s="191"/>
      <x:c r="R87" s="191"/>
      <x:c r="S87" s="191"/>
      <x:c r="T87" s="191"/>
      <x:c r="U87" s="191"/>
      <x:c r="V87" s="191"/>
      <x:c r="W87" s="191"/>
      <x:c r="X87" s="191"/>
      <x:c r="Y87" s="191"/>
      <x:c r="Z87" s="191"/>
      <x:c r="AA87" s="191"/>
      <x:c r="AB87" s="191"/>
      <x:c r="AC87" s="191"/>
      <x:c r="AD87" s="191"/>
      <x:c r="AE87" s="191"/>
      <x:c r="AF87" s="191"/>
      <x:c r="AG87" s="191"/>
      <x:c r="AH87" s="191"/>
      <x:c r="AI87" s="191"/>
      <x:c r="AJ87" s="191"/>
      <x:c r="AK87" s="191"/>
    </x:row>
    <x:row r="88">
      <x:c r="A88" s="191"/>
      <x:c r="B88" s="191"/>
      <x:c r="C88" s="191"/>
      <x:c r="D88" s="191"/>
      <x:c r="E88" s="191"/>
      <x:c r="F88" s="191"/>
      <x:c r="G88" s="191"/>
      <x:c r="H88" s="191"/>
      <x:c r="I88" s="191"/>
      <x:c r="J88" s="191"/>
      <x:c r="K88" s="191"/>
      <x:c r="L88" s="191"/>
      <x:c r="M88" s="191"/>
      <x:c r="N88" s="191"/>
      <x:c r="O88" s="191"/>
      <x:c r="P88" s="191"/>
      <x:c r="Q88" s="191"/>
      <x:c r="R88" s="191"/>
      <x:c r="S88" s="191"/>
      <x:c r="T88" s="191"/>
      <x:c r="U88" s="191"/>
      <x:c r="V88" s="191"/>
      <x:c r="W88" s="191"/>
      <x:c r="X88" s="191"/>
      <x:c r="Y88" s="191"/>
      <x:c r="Z88" s="191"/>
      <x:c r="AA88" s="191"/>
      <x:c r="AB88" s="191"/>
      <x:c r="AC88" s="191"/>
      <x:c r="AD88" s="191"/>
      <x:c r="AE88" s="191"/>
      <x:c r="AF88" s="191"/>
      <x:c r="AG88" s="191"/>
      <x:c r="AH88" s="191"/>
      <x:c r="AI88" s="191"/>
      <x:c r="AJ88" s="191"/>
      <x:c r="AK88" s="191"/>
    </x:row>
    <x:row r="89">
      <x:c r="A89" s="191"/>
      <x:c r="B89" s="191"/>
      <x:c r="C89" s="191"/>
      <x:c r="D89" s="191"/>
      <x:c r="E89" s="191"/>
      <x:c r="F89" s="191"/>
      <x:c r="G89" s="191"/>
      <x:c r="H89" s="191"/>
      <x:c r="I89" s="191"/>
      <x:c r="J89" s="191"/>
      <x:c r="K89" s="191"/>
      <x:c r="L89" s="191"/>
      <x:c r="M89" s="191"/>
      <x:c r="N89" s="191"/>
      <x:c r="O89" s="191"/>
      <x:c r="P89" s="191"/>
      <x:c r="Q89" s="191"/>
      <x:c r="R89" s="191"/>
      <x:c r="S89" s="191"/>
      <x:c r="T89" s="191"/>
      <x:c r="U89" s="191"/>
      <x:c r="V89" s="191"/>
      <x:c r="W89" s="191"/>
      <x:c r="X89" s="191"/>
      <x:c r="Y89" s="191"/>
      <x:c r="Z89" s="191"/>
      <x:c r="AA89" s="191"/>
      <x:c r="AB89" s="191"/>
      <x:c r="AC89" s="191"/>
      <x:c r="AD89" s="191"/>
      <x:c r="AE89" s="191"/>
      <x:c r="AF89" s="191"/>
      <x:c r="AG89" s="191"/>
      <x:c r="AH89" s="191"/>
      <x:c r="AI89" s="191"/>
      <x:c r="AJ89" s="191"/>
      <x:c r="AK89" s="191"/>
    </x:row>
    <x:row r="90">
      <x:c r="A90" s="191"/>
      <x:c r="B90" s="191"/>
      <x:c r="C90" s="191"/>
      <x:c r="D90" s="191"/>
      <x:c r="E90" s="191"/>
      <x:c r="F90" s="191"/>
      <x:c r="G90" s="191"/>
      <x:c r="H90" s="191"/>
      <x:c r="I90" s="191"/>
      <x:c r="J90" s="191"/>
      <x:c r="K90" s="191"/>
      <x:c r="L90" s="191"/>
      <x:c r="M90" s="191"/>
      <x:c r="N90" s="191"/>
      <x:c r="O90" s="191"/>
      <x:c r="P90" s="191"/>
      <x:c r="Q90" s="191"/>
      <x:c r="R90" s="191"/>
      <x:c r="S90" s="191"/>
      <x:c r="T90" s="191"/>
      <x:c r="U90" s="191"/>
      <x:c r="V90" s="191"/>
      <x:c r="W90" s="191"/>
      <x:c r="X90" s="191"/>
      <x:c r="Y90" s="191"/>
      <x:c r="Z90" s="191"/>
      <x:c r="AA90" s="191"/>
      <x:c r="AB90" s="191"/>
      <x:c r="AC90" s="191"/>
      <x:c r="AD90" s="191"/>
      <x:c r="AE90" s="191"/>
      <x:c r="AF90" s="191"/>
      <x:c r="AG90" s="191"/>
      <x:c r="AH90" s="191"/>
      <x:c r="AI90" s="191"/>
      <x:c r="AJ90" s="191"/>
      <x:c r="AK90" s="191"/>
    </x:row>
    <x:row r="91">
      <x:c r="A91" s="191"/>
      <x:c r="B91" s="191"/>
      <x:c r="C91" s="191"/>
      <x:c r="D91" s="191"/>
      <x:c r="E91" s="191"/>
      <x:c r="F91" s="191"/>
      <x:c r="G91" s="191"/>
      <x:c r="H91" s="191"/>
      <x:c r="I91" s="191"/>
      <x:c r="J91" s="191"/>
      <x:c r="K91" s="191"/>
      <x:c r="L91" s="191"/>
      <x:c r="M91" s="191"/>
      <x:c r="N91" s="191"/>
      <x:c r="O91" s="191"/>
      <x:c r="P91" s="191"/>
      <x:c r="Q91" s="191"/>
      <x:c r="R91" s="191"/>
      <x:c r="S91" s="191"/>
      <x:c r="T91" s="191"/>
      <x:c r="U91" s="191"/>
      <x:c r="V91" s="191"/>
      <x:c r="W91" s="191"/>
      <x:c r="X91" s="191"/>
      <x:c r="Y91" s="191"/>
      <x:c r="Z91" s="191"/>
      <x:c r="AA91" s="191"/>
      <x:c r="AB91" s="191"/>
      <x:c r="AC91" s="191"/>
      <x:c r="AD91" s="191"/>
      <x:c r="AE91" s="191"/>
      <x:c r="AF91" s="191"/>
      <x:c r="AG91" s="191"/>
      <x:c r="AH91" s="191"/>
      <x:c r="AI91" s="191"/>
      <x:c r="AJ91" s="191"/>
      <x:c r="AK91" s="191"/>
    </x:row>
    <x:row r="92">
      <x:c r="A92" s="191"/>
      <x:c r="B92" s="191"/>
      <x:c r="C92" s="191"/>
      <x:c r="D92" s="191"/>
      <x:c r="E92" s="191"/>
      <x:c r="F92" s="191"/>
      <x:c r="G92" s="191"/>
      <x:c r="H92" s="191"/>
      <x:c r="I92" s="191"/>
      <x:c r="J92" s="191"/>
      <x:c r="K92" s="191"/>
      <x:c r="L92" s="191"/>
      <x:c r="M92" s="191"/>
      <x:c r="N92" s="191"/>
      <x:c r="O92" s="191"/>
      <x:c r="P92" s="191"/>
      <x:c r="Q92" s="191"/>
      <x:c r="R92" s="191"/>
      <x:c r="S92" s="191"/>
      <x:c r="T92" s="191"/>
      <x:c r="U92" s="191"/>
      <x:c r="V92" s="191"/>
      <x:c r="W92" s="191"/>
      <x:c r="X92" s="191"/>
      <x:c r="Y92" s="191"/>
      <x:c r="Z92" s="191"/>
      <x:c r="AA92" s="191"/>
      <x:c r="AB92" s="191"/>
      <x:c r="AC92" s="191"/>
      <x:c r="AD92" s="191"/>
      <x:c r="AE92" s="191"/>
      <x:c r="AF92" s="191"/>
      <x:c r="AG92" s="191"/>
      <x:c r="AH92" s="191"/>
      <x:c r="AI92" s="191"/>
      <x:c r="AJ92" s="191"/>
      <x:c r="AK92" s="191"/>
    </x:row>
    <x:row r="93">
      <x:c r="A93" s="191"/>
      <x:c r="B93" s="191"/>
      <x:c r="C93" s="191"/>
      <x:c r="D93" s="191"/>
      <x:c r="E93" s="191"/>
      <x:c r="F93" s="191"/>
      <x:c r="G93" s="191"/>
      <x:c r="H93" s="191"/>
      <x:c r="I93" s="191"/>
      <x:c r="J93" s="191"/>
      <x:c r="K93" s="191"/>
      <x:c r="L93" s="191"/>
      <x:c r="M93" s="191"/>
      <x:c r="N93" s="191"/>
      <x:c r="O93" s="191"/>
      <x:c r="P93" s="191"/>
      <x:c r="Q93" s="191"/>
      <x:c r="R93" s="191"/>
      <x:c r="S93" s="191"/>
      <x:c r="T93" s="191"/>
      <x:c r="U93" s="191"/>
      <x:c r="V93" s="191"/>
      <x:c r="W93" s="191"/>
      <x:c r="X93" s="191"/>
      <x:c r="Y93" s="191"/>
      <x:c r="Z93" s="191"/>
      <x:c r="AA93" s="191"/>
      <x:c r="AB93" s="191"/>
      <x:c r="AC93" s="191"/>
      <x:c r="AD93" s="191"/>
      <x:c r="AE93" s="191"/>
      <x:c r="AF93" s="191"/>
      <x:c r="AG93" s="191"/>
      <x:c r="AH93" s="191"/>
      <x:c r="AI93" s="191"/>
      <x:c r="AJ93" s="191"/>
      <x:c r="AK93" s="191"/>
    </x:row>
    <x:row r="94">
      <x:c r="A94" s="191"/>
      <x:c r="B94" s="191"/>
      <x:c r="C94" s="191"/>
      <x:c r="D94" s="191"/>
      <x:c r="E94" s="191"/>
      <x:c r="F94" s="191"/>
      <x:c r="G94" s="191"/>
      <x:c r="H94" s="191"/>
      <x:c r="I94" s="191"/>
      <x:c r="J94" s="191"/>
      <x:c r="K94" s="191"/>
      <x:c r="L94" s="191"/>
      <x:c r="M94" s="191"/>
      <x:c r="N94" s="191"/>
      <x:c r="O94" s="191"/>
      <x:c r="P94" s="191"/>
      <x:c r="Q94" s="191"/>
      <x:c r="R94" s="191"/>
      <x:c r="S94" s="191"/>
      <x:c r="T94" s="191"/>
      <x:c r="U94" s="191"/>
      <x:c r="V94" s="191"/>
      <x:c r="W94" s="191"/>
      <x:c r="X94" s="191"/>
      <x:c r="Y94" s="191"/>
      <x:c r="Z94" s="191"/>
      <x:c r="AA94" s="191"/>
      <x:c r="AB94" s="191"/>
      <x:c r="AC94" s="191"/>
      <x:c r="AD94" s="191"/>
      <x:c r="AE94" s="191"/>
      <x:c r="AF94" s="191"/>
      <x:c r="AG94" s="191"/>
      <x:c r="AH94" s="191"/>
      <x:c r="AI94" s="191"/>
      <x:c r="AJ94" s="191"/>
      <x:c r="AK94" s="191"/>
    </x:row>
    <x:row r="95">
      <x:c r="A95" s="191"/>
      <x:c r="B95" s="191"/>
      <x:c r="C95" s="191"/>
      <x:c r="D95" s="191"/>
      <x:c r="E95" s="191"/>
      <x:c r="F95" s="191"/>
      <x:c r="G95" s="191"/>
      <x:c r="H95" s="191"/>
      <x:c r="I95" s="191"/>
      <x:c r="J95" s="191"/>
      <x:c r="K95" s="191"/>
      <x:c r="L95" s="191"/>
      <x:c r="M95" s="191"/>
      <x:c r="N95" s="191"/>
      <x:c r="O95" s="191"/>
      <x:c r="P95" s="191"/>
      <x:c r="Q95" s="191"/>
      <x:c r="R95" s="191"/>
      <x:c r="S95" s="191"/>
      <x:c r="T95" s="191"/>
      <x:c r="U95" s="191"/>
      <x:c r="V95" s="191"/>
      <x:c r="W95" s="191"/>
      <x:c r="X95" s="191"/>
      <x:c r="Y95" s="191"/>
      <x:c r="Z95" s="191"/>
      <x:c r="AA95" s="191"/>
      <x:c r="AB95" s="191"/>
      <x:c r="AC95" s="191"/>
      <x:c r="AD95" s="191"/>
      <x:c r="AE95" s="191"/>
      <x:c r="AF95" s="191"/>
      <x:c r="AG95" s="191"/>
      <x:c r="AH95" s="191"/>
      <x:c r="AI95" s="191"/>
      <x:c r="AJ95" s="191"/>
      <x:c r="AK95" s="191"/>
    </x:row>
    <x:row r="96">
      <x:c r="A96" s="191"/>
      <x:c r="B96" s="191"/>
      <x:c r="C96" s="191"/>
      <x:c r="D96" s="191"/>
      <x:c r="E96" s="191"/>
      <x:c r="F96" s="191"/>
      <x:c r="G96" s="191"/>
      <x:c r="H96" s="191"/>
      <x:c r="I96" s="191"/>
      <x:c r="J96" s="191"/>
      <x:c r="K96" s="191"/>
      <x:c r="L96" s="191"/>
      <x:c r="M96" s="191"/>
      <x:c r="N96" s="191"/>
      <x:c r="O96" s="191"/>
      <x:c r="P96" s="191"/>
      <x:c r="Q96" s="191"/>
      <x:c r="R96" s="191"/>
      <x:c r="S96" s="191"/>
      <x:c r="T96" s="191"/>
      <x:c r="U96" s="191"/>
      <x:c r="V96" s="191"/>
      <x:c r="W96" s="191"/>
      <x:c r="X96" s="191"/>
      <x:c r="Y96" s="191"/>
      <x:c r="Z96" s="191"/>
      <x:c r="AA96" s="191"/>
      <x:c r="AB96" s="191"/>
      <x:c r="AC96" s="191"/>
      <x:c r="AD96" s="191"/>
      <x:c r="AE96" s="191"/>
      <x:c r="AF96" s="191"/>
      <x:c r="AG96" s="191"/>
      <x:c r="AH96" s="191"/>
      <x:c r="AI96" s="191"/>
      <x:c r="AJ96" s="191"/>
      <x:c r="AK96" s="191"/>
    </x:row>
    <x:row r="97">
      <x:c r="A97" s="191"/>
      <x:c r="B97" s="191"/>
      <x:c r="C97" s="191"/>
      <x:c r="D97" s="191"/>
      <x:c r="E97" s="191"/>
      <x:c r="F97" s="191"/>
      <x:c r="G97" s="191"/>
      <x:c r="H97" s="191"/>
      <x:c r="I97" s="191"/>
      <x:c r="J97" s="191"/>
      <x:c r="K97" s="191"/>
      <x:c r="L97" s="191"/>
      <x:c r="M97" s="191"/>
      <x:c r="N97" s="191"/>
      <x:c r="O97" s="191"/>
      <x:c r="P97" s="191"/>
      <x:c r="Q97" s="191"/>
      <x:c r="R97" s="191"/>
      <x:c r="S97" s="191"/>
      <x:c r="T97" s="191"/>
      <x:c r="U97" s="191"/>
      <x:c r="V97" s="191"/>
      <x:c r="W97" s="191"/>
      <x:c r="X97" s="191"/>
      <x:c r="Y97" s="191"/>
      <x:c r="Z97" s="191"/>
      <x:c r="AA97" s="191"/>
      <x:c r="AB97" s="191"/>
      <x:c r="AC97" s="191"/>
      <x:c r="AD97" s="191"/>
      <x:c r="AE97" s="191"/>
      <x:c r="AF97" s="191"/>
      <x:c r="AG97" s="191"/>
      <x:c r="AH97" s="191"/>
      <x:c r="AI97" s="191"/>
      <x:c r="AJ97" s="191"/>
      <x:c r="AK97" s="191"/>
    </x:row>
    <x:row r="98">
      <x:c r="A98" s="191"/>
      <x:c r="B98" s="191"/>
      <x:c r="C98" s="191"/>
      <x:c r="D98" s="191"/>
      <x:c r="E98" s="191"/>
      <x:c r="F98" s="191"/>
      <x:c r="G98" s="191"/>
      <x:c r="H98" s="191"/>
      <x:c r="I98" s="191"/>
      <x:c r="J98" s="191"/>
      <x:c r="K98" s="191"/>
      <x:c r="L98" s="191"/>
      <x:c r="M98" s="191"/>
      <x:c r="N98" s="191"/>
      <x:c r="O98" s="191"/>
      <x:c r="P98" s="191"/>
      <x:c r="Q98" s="191"/>
      <x:c r="R98" s="191"/>
      <x:c r="S98" s="191"/>
      <x:c r="T98" s="191"/>
      <x:c r="U98" s="191"/>
      <x:c r="V98" s="191"/>
      <x:c r="W98" s="191"/>
      <x:c r="X98" s="191"/>
      <x:c r="Y98" s="191"/>
      <x:c r="Z98" s="191"/>
      <x:c r="AA98" s="191"/>
      <x:c r="AB98" s="191"/>
      <x:c r="AC98" s="191"/>
      <x:c r="AD98" s="191"/>
      <x:c r="AE98" s="191"/>
      <x:c r="AF98" s="191"/>
      <x:c r="AG98" s="191"/>
      <x:c r="AH98" s="191"/>
      <x:c r="AI98" s="191"/>
      <x:c r="AJ98" s="191"/>
      <x:c r="AK98" s="191"/>
    </x:row>
    <x:row r="99">
      <x:c r="A99" s="191"/>
      <x:c r="B99" s="191"/>
      <x:c r="C99" s="191"/>
      <x:c r="D99" s="191"/>
      <x:c r="E99" s="191"/>
      <x:c r="F99" s="191"/>
      <x:c r="G99" s="191"/>
      <x:c r="H99" s="191"/>
      <x:c r="I99" s="191"/>
      <x:c r="J99" s="191"/>
      <x:c r="K99" s="191"/>
      <x:c r="L99" s="191"/>
      <x:c r="M99" s="191"/>
      <x:c r="N99" s="191"/>
      <x:c r="O99" s="191"/>
      <x:c r="P99" s="191"/>
      <x:c r="Q99" s="191"/>
      <x:c r="R99" s="191"/>
      <x:c r="S99" s="191"/>
      <x:c r="T99" s="191"/>
      <x:c r="U99" s="191"/>
      <x:c r="V99" s="191"/>
      <x:c r="W99" s="191"/>
      <x:c r="X99" s="191"/>
      <x:c r="Y99" s="191"/>
      <x:c r="Z99" s="191"/>
      <x:c r="AA99" s="191"/>
      <x:c r="AB99" s="191"/>
      <x:c r="AC99" s="191"/>
      <x:c r="AD99" s="191"/>
      <x:c r="AE99" s="191"/>
      <x:c r="AF99" s="191"/>
      <x:c r="AG99" s="191"/>
      <x:c r="AH99" s="191"/>
      <x:c r="AI99" s="191"/>
      <x:c r="AJ99" s="191"/>
      <x:c r="AK99" s="191"/>
    </x:row>
    <x:row r="100">
      <x:c r="A100" s="191"/>
      <x:c r="B100" s="191"/>
      <x:c r="C100" s="191"/>
      <x:c r="D100" s="191"/>
      <x:c r="E100" s="191"/>
      <x:c r="F100" s="191"/>
      <x:c r="G100" s="191"/>
      <x:c r="H100" s="191"/>
      <x:c r="I100" s="191"/>
      <x:c r="J100" s="191"/>
      <x:c r="K100" s="191"/>
      <x:c r="L100" s="191"/>
      <x:c r="M100" s="191"/>
      <x:c r="N100" s="191"/>
      <x:c r="O100" s="191"/>
      <x:c r="P100" s="191"/>
      <x:c r="Q100" s="191"/>
      <x:c r="R100" s="191"/>
      <x:c r="S100" s="191"/>
      <x:c r="T100" s="191"/>
      <x:c r="U100" s="191"/>
      <x:c r="V100" s="191"/>
      <x:c r="W100" s="191"/>
      <x:c r="X100" s="191"/>
      <x:c r="Y100" s="191"/>
      <x:c r="Z100" s="191"/>
      <x:c r="AA100" s="191"/>
      <x:c r="AB100" s="191"/>
      <x:c r="AC100" s="191"/>
      <x:c r="AD100" s="191"/>
      <x:c r="AE100" s="191"/>
      <x:c r="AF100" s="191"/>
      <x:c r="AG100" s="191"/>
      <x:c r="AH100" s="191"/>
      <x:c r="AI100" s="191"/>
      <x:c r="AJ100" s="191"/>
      <x:c r="AK100" s="191"/>
    </x:row>
    <x:row r="101">
      <x:c r="A101" s="191"/>
      <x:c r="B101" s="191"/>
      <x:c r="C101" s="191"/>
      <x:c r="D101" s="191"/>
      <x:c r="E101" s="191"/>
      <x:c r="F101" s="191"/>
      <x:c r="G101" s="191"/>
      <x:c r="H101" s="191"/>
      <x:c r="I101" s="191"/>
      <x:c r="J101" s="191"/>
      <x:c r="K101" s="191"/>
      <x:c r="L101" s="191"/>
      <x:c r="M101" s="191"/>
      <x:c r="N101" s="191"/>
      <x:c r="O101" s="191"/>
      <x:c r="P101" s="191"/>
      <x:c r="Q101" s="191"/>
      <x:c r="R101" s="191"/>
      <x:c r="S101" s="191"/>
      <x:c r="T101" s="191"/>
      <x:c r="U101" s="191"/>
      <x:c r="V101" s="191"/>
      <x:c r="W101" s="191"/>
      <x:c r="X101" s="191"/>
      <x:c r="Y101" s="191"/>
      <x:c r="Z101" s="191"/>
      <x:c r="AA101" s="191"/>
      <x:c r="AB101" s="191"/>
      <x:c r="AC101" s="191"/>
      <x:c r="AD101" s="191"/>
      <x:c r="AE101" s="191"/>
      <x:c r="AF101" s="191"/>
      <x:c r="AG101" s="191"/>
      <x:c r="AH101" s="191"/>
      <x:c r="AI101" s="191"/>
      <x:c r="AJ101" s="191"/>
      <x:c r="AK101" s="191"/>
    </x:row>
    <x:row r="102">
      <x:c r="A102" s="191"/>
      <x:c r="B102" s="191"/>
      <x:c r="C102" s="191"/>
      <x:c r="D102" s="191"/>
      <x:c r="E102" s="191"/>
      <x:c r="F102" s="191"/>
      <x:c r="G102" s="191"/>
      <x:c r="H102" s="191"/>
      <x:c r="I102" s="191"/>
      <x:c r="J102" s="191"/>
      <x:c r="K102" s="191"/>
      <x:c r="L102" s="191"/>
      <x:c r="M102" s="191"/>
      <x:c r="N102" s="191"/>
      <x:c r="O102" s="191"/>
      <x:c r="P102" s="191"/>
      <x:c r="Q102" s="191"/>
      <x:c r="R102" s="191"/>
      <x:c r="S102" s="191"/>
      <x:c r="T102" s="191"/>
      <x:c r="U102" s="191"/>
      <x:c r="V102" s="191"/>
      <x:c r="W102" s="191"/>
      <x:c r="X102" s="191"/>
      <x:c r="Y102" s="191"/>
      <x:c r="Z102" s="191"/>
      <x:c r="AA102" s="191"/>
      <x:c r="AB102" s="191"/>
      <x:c r="AC102" s="191"/>
      <x:c r="AD102" s="191"/>
      <x:c r="AE102" s="191"/>
      <x:c r="AF102" s="191"/>
      <x:c r="AG102" s="191"/>
      <x:c r="AH102" s="191"/>
      <x:c r="AI102" s="191"/>
      <x:c r="AJ102" s="191"/>
      <x:c r="AK102" s="191"/>
    </x:row>
    <x:row r="103">
      <x:c r="A103" s="191"/>
      <x:c r="B103" s="191"/>
      <x:c r="C103" s="191"/>
      <x:c r="D103" s="191"/>
      <x:c r="E103" s="191"/>
      <x:c r="F103" s="191"/>
      <x:c r="G103" s="191"/>
      <x:c r="H103" s="191"/>
      <x:c r="I103" s="191"/>
      <x:c r="J103" s="191"/>
      <x:c r="K103" s="191"/>
      <x:c r="L103" s="191"/>
      <x:c r="M103" s="191"/>
      <x:c r="N103" s="191"/>
      <x:c r="O103" s="191"/>
      <x:c r="P103" s="191"/>
      <x:c r="Q103" s="191"/>
      <x:c r="R103" s="191"/>
      <x:c r="S103" s="191"/>
      <x:c r="T103" s="191"/>
      <x:c r="U103" s="191"/>
      <x:c r="V103" s="191"/>
      <x:c r="W103" s="191"/>
      <x:c r="X103" s="191"/>
      <x:c r="Y103" s="191"/>
      <x:c r="Z103" s="191"/>
      <x:c r="AA103" s="191"/>
      <x:c r="AB103" s="191"/>
      <x:c r="AC103" s="191"/>
      <x:c r="AD103" s="191"/>
      <x:c r="AE103" s="191"/>
      <x:c r="AF103" s="191"/>
      <x:c r="AG103" s="191"/>
      <x:c r="AH103" s="191"/>
      <x:c r="AI103" s="191"/>
      <x:c r="AJ103" s="191"/>
      <x:c r="AK103" s="191"/>
    </x:row>
    <x:row r="104">
      <x:c r="A104" s="191"/>
      <x:c r="B104" s="191"/>
      <x:c r="C104" s="191"/>
      <x:c r="D104" s="191"/>
      <x:c r="E104" s="191"/>
      <x:c r="F104" s="191"/>
      <x:c r="G104" s="191"/>
      <x:c r="H104" s="191"/>
      <x:c r="I104" s="191"/>
      <x:c r="J104" s="191"/>
      <x:c r="K104" s="191"/>
      <x:c r="L104" s="191"/>
      <x:c r="M104" s="191"/>
      <x:c r="N104" s="191"/>
      <x:c r="O104" s="191"/>
      <x:c r="P104" s="191"/>
      <x:c r="Q104" s="191"/>
      <x:c r="R104" s="191"/>
      <x:c r="S104" s="191"/>
      <x:c r="T104" s="191"/>
      <x:c r="U104" s="191"/>
      <x:c r="V104" s="191"/>
      <x:c r="W104" s="191"/>
      <x:c r="X104" s="191"/>
      <x:c r="Y104" s="191"/>
      <x:c r="Z104" s="191"/>
      <x:c r="AA104" s="191"/>
      <x:c r="AB104" s="191"/>
      <x:c r="AC104" s="191"/>
      <x:c r="AD104" s="191"/>
      <x:c r="AE104" s="191"/>
      <x:c r="AF104" s="191"/>
      <x:c r="AG104" s="191"/>
      <x:c r="AH104" s="191"/>
      <x:c r="AI104" s="191"/>
      <x:c r="AJ104" s="191"/>
      <x:c r="AK104" s="191"/>
    </x:row>
    <x:row r="105">
      <x:c r="A105" s="191"/>
      <x:c r="B105" s="191"/>
      <x:c r="C105" s="191"/>
      <x:c r="D105" s="191"/>
      <x:c r="E105" s="191"/>
      <x:c r="F105" s="191"/>
      <x:c r="G105" s="191"/>
      <x:c r="H105" s="191"/>
      <x:c r="I105" s="191"/>
      <x:c r="J105" s="191"/>
      <x:c r="K105" s="191"/>
      <x:c r="L105" s="191"/>
      <x:c r="M105" s="191"/>
      <x:c r="N105" s="191"/>
      <x:c r="O105" s="191"/>
      <x:c r="P105" s="191"/>
      <x:c r="Q105" s="191"/>
      <x:c r="R105" s="191"/>
      <x:c r="S105" s="191"/>
      <x:c r="T105" s="191"/>
      <x:c r="U105" s="191"/>
      <x:c r="V105" s="191"/>
      <x:c r="W105" s="191"/>
      <x:c r="X105" s="191"/>
      <x:c r="Y105" s="191"/>
      <x:c r="Z105" s="191"/>
      <x:c r="AA105" s="191"/>
      <x:c r="AB105" s="191"/>
      <x:c r="AC105" s="191"/>
      <x:c r="AD105" s="191"/>
      <x:c r="AE105" s="191"/>
      <x:c r="AF105" s="191"/>
      <x:c r="AG105" s="191"/>
      <x:c r="AH105" s="191"/>
      <x:c r="AI105" s="191"/>
      <x:c r="AJ105" s="191"/>
      <x:c r="AK105" s="191"/>
    </x:row>
    <x:row r="106">
      <x:c r="A106" s="191"/>
      <x:c r="B106" s="191"/>
      <x:c r="C106" s="191"/>
      <x:c r="D106" s="191"/>
      <x:c r="E106" s="191"/>
      <x:c r="F106" s="191"/>
      <x:c r="G106" s="191"/>
      <x:c r="H106" s="191"/>
      <x:c r="I106" s="191"/>
      <x:c r="J106" s="191"/>
      <x:c r="K106" s="191"/>
      <x:c r="L106" s="191"/>
      <x:c r="M106" s="191"/>
      <x:c r="N106" s="191"/>
      <x:c r="O106" s="191"/>
      <x:c r="P106" s="191"/>
      <x:c r="Q106" s="191"/>
      <x:c r="R106" s="191"/>
      <x:c r="S106" s="191"/>
      <x:c r="T106" s="191"/>
      <x:c r="U106" s="191"/>
      <x:c r="V106" s="191"/>
      <x:c r="W106" s="191"/>
      <x:c r="X106" s="191"/>
      <x:c r="Y106" s="191"/>
      <x:c r="Z106" s="191"/>
      <x:c r="AA106" s="191"/>
      <x:c r="AB106" s="191"/>
      <x:c r="AC106" s="191"/>
      <x:c r="AD106" s="191"/>
      <x:c r="AE106" s="191"/>
      <x:c r="AF106" s="191"/>
      <x:c r="AG106" s="191"/>
      <x:c r="AH106" s="191"/>
      <x:c r="AI106" s="191"/>
      <x:c r="AJ106" s="191"/>
      <x:c r="AK106" s="191"/>
    </x:row>
    <x:row r="107">
      <x:c r="A107" s="191"/>
      <x:c r="B107" s="191"/>
      <x:c r="C107" s="191"/>
      <x:c r="D107" s="191"/>
      <x:c r="E107" s="191"/>
      <x:c r="F107" s="191"/>
      <x:c r="G107" s="191"/>
      <x:c r="H107" s="191"/>
      <x:c r="I107" s="191"/>
      <x:c r="J107" s="191"/>
      <x:c r="K107" s="191"/>
      <x:c r="L107" s="191"/>
      <x:c r="M107" s="191"/>
      <x:c r="N107" s="191"/>
      <x:c r="O107" s="191"/>
      <x:c r="P107" s="191"/>
      <x:c r="Q107" s="191"/>
      <x:c r="R107" s="191"/>
      <x:c r="S107" s="191"/>
      <x:c r="T107" s="191"/>
      <x:c r="U107" s="191"/>
      <x:c r="V107" s="191"/>
      <x:c r="W107" s="191"/>
      <x:c r="X107" s="191"/>
      <x:c r="Y107" s="191"/>
      <x:c r="Z107" s="191"/>
      <x:c r="AA107" s="191"/>
      <x:c r="AB107" s="191"/>
      <x:c r="AC107" s="191"/>
      <x:c r="AD107" s="191"/>
      <x:c r="AE107" s="191"/>
      <x:c r="AF107" s="191"/>
      <x:c r="AG107" s="191"/>
      <x:c r="AH107" s="191"/>
      <x:c r="AI107" s="191"/>
      <x:c r="AJ107" s="191"/>
      <x:c r="AK107" s="191"/>
    </x:row>
    <x:row r="108">
      <x:c r="A108" s="191"/>
      <x:c r="B108" s="191"/>
      <x:c r="C108" s="191"/>
      <x:c r="D108" s="191"/>
      <x:c r="E108" s="191"/>
      <x:c r="F108" s="191"/>
      <x:c r="G108" s="191"/>
      <x:c r="H108" s="191"/>
      <x:c r="I108" s="191"/>
      <x:c r="J108" s="191"/>
      <x:c r="K108" s="191"/>
      <x:c r="L108" s="191"/>
      <x:c r="M108" s="191"/>
      <x:c r="N108" s="191"/>
      <x:c r="O108" s="191"/>
      <x:c r="P108" s="191"/>
      <x:c r="Q108" s="191"/>
      <x:c r="R108" s="191"/>
      <x:c r="S108" s="191"/>
      <x:c r="T108" s="191"/>
      <x:c r="U108" s="191"/>
      <x:c r="V108" s="191"/>
      <x:c r="W108" s="191"/>
      <x:c r="X108" s="191"/>
      <x:c r="Y108" s="191"/>
      <x:c r="Z108" s="191"/>
      <x:c r="AA108" s="191"/>
      <x:c r="AB108" s="191"/>
      <x:c r="AC108" s="191"/>
      <x:c r="AD108" s="191"/>
      <x:c r="AE108" s="191"/>
      <x:c r="AF108" s="191"/>
      <x:c r="AG108" s="191"/>
      <x:c r="AH108" s="191"/>
      <x:c r="AI108" s="191"/>
      <x:c r="AJ108" s="191"/>
      <x:c r="AK108" s="191"/>
    </x:row>
    <x:row r="109">
      <x:c r="A109" s="191"/>
      <x:c r="B109" s="191"/>
      <x:c r="C109" s="191"/>
      <x:c r="D109" s="191"/>
      <x:c r="E109" s="191"/>
      <x:c r="F109" s="191"/>
      <x:c r="G109" s="191"/>
      <x:c r="H109" s="191"/>
      <x:c r="I109" s="191"/>
      <x:c r="J109" s="191"/>
      <x:c r="K109" s="191"/>
      <x:c r="L109" s="191"/>
      <x:c r="M109" s="191"/>
      <x:c r="N109" s="191"/>
      <x:c r="O109" s="191"/>
      <x:c r="P109" s="191"/>
      <x:c r="Q109" s="191"/>
      <x:c r="R109" s="191"/>
      <x:c r="S109" s="191"/>
      <x:c r="T109" s="191"/>
      <x:c r="U109" s="191"/>
      <x:c r="V109" s="191"/>
      <x:c r="W109" s="191"/>
      <x:c r="X109" s="191"/>
      <x:c r="Y109" s="191"/>
      <x:c r="Z109" s="191"/>
      <x:c r="AA109" s="191"/>
      <x:c r="AB109" s="191"/>
      <x:c r="AC109" s="191"/>
      <x:c r="AD109" s="191"/>
      <x:c r="AE109" s="191"/>
      <x:c r="AF109" s="191"/>
      <x:c r="AG109" s="191"/>
      <x:c r="AH109" s="191"/>
      <x:c r="AI109" s="191"/>
      <x:c r="AJ109" s="191"/>
      <x:c r="AK109" s="191"/>
    </x:row>
    <x:row r="110">
      <x:c r="A110" s="191"/>
      <x:c r="B110" s="191"/>
      <x:c r="C110" s="191"/>
      <x:c r="D110" s="191"/>
      <x:c r="E110" s="191"/>
      <x:c r="F110" s="191"/>
      <x:c r="G110" s="191"/>
      <x:c r="H110" s="191"/>
      <x:c r="I110" s="191"/>
      <x:c r="J110" s="191"/>
      <x:c r="K110" s="191"/>
      <x:c r="L110" s="191"/>
      <x:c r="M110" s="191"/>
      <x:c r="N110" s="191"/>
      <x:c r="O110" s="191"/>
      <x:c r="P110" s="191"/>
      <x:c r="Q110" s="191"/>
      <x:c r="R110" s="191"/>
      <x:c r="S110" s="191"/>
      <x:c r="T110" s="191"/>
      <x:c r="U110" s="191"/>
      <x:c r="V110" s="191"/>
      <x:c r="W110" s="191"/>
      <x:c r="X110" s="191"/>
      <x:c r="Y110" s="191"/>
      <x:c r="Z110" s="191"/>
      <x:c r="AA110" s="191"/>
      <x:c r="AB110" s="191"/>
      <x:c r="AC110" s="191"/>
      <x:c r="AD110" s="191"/>
      <x:c r="AE110" s="191"/>
      <x:c r="AF110" s="191"/>
      <x:c r="AG110" s="191"/>
      <x:c r="AH110" s="191"/>
      <x:c r="AI110" s="191"/>
      <x:c r="AJ110" s="191"/>
      <x:c r="AK110" s="191"/>
    </x:row>
    <x:row r="111">
      <x:c r="A111" s="191"/>
      <x:c r="B111" s="191"/>
      <x:c r="C111" s="191"/>
      <x:c r="D111" s="191"/>
      <x:c r="E111" s="191"/>
      <x:c r="F111" s="191"/>
      <x:c r="G111" s="191"/>
      <x:c r="H111" s="191"/>
      <x:c r="I111" s="191"/>
      <x:c r="J111" s="191"/>
      <x:c r="K111" s="191"/>
      <x:c r="L111" s="191"/>
      <x:c r="M111" s="191"/>
      <x:c r="N111" s="191"/>
      <x:c r="O111" s="191"/>
      <x:c r="P111" s="191"/>
      <x:c r="Q111" s="191"/>
      <x:c r="R111" s="191"/>
      <x:c r="S111" s="191"/>
      <x:c r="T111" s="191"/>
      <x:c r="U111" s="191"/>
      <x:c r="V111" s="191"/>
      <x:c r="W111" s="191"/>
      <x:c r="X111" s="191"/>
      <x:c r="Y111" s="191"/>
      <x:c r="Z111" s="191"/>
      <x:c r="AA111" s="191"/>
      <x:c r="AB111" s="191"/>
      <x:c r="AC111" s="191"/>
      <x:c r="AD111" s="191"/>
      <x:c r="AE111" s="191"/>
      <x:c r="AF111" s="191"/>
      <x:c r="AG111" s="191"/>
      <x:c r="AH111" s="191"/>
      <x:c r="AI111" s="191"/>
      <x:c r="AJ111" s="191"/>
      <x:c r="AK111" s="191"/>
    </x:row>
    <x:row r="112">
      <x:c r="A112" s="191"/>
      <x:c r="B112" s="191"/>
      <x:c r="C112" s="191"/>
      <x:c r="D112" s="191"/>
      <x:c r="E112" s="191"/>
      <x:c r="F112" s="191"/>
      <x:c r="G112" s="191"/>
      <x:c r="H112" s="191"/>
      <x:c r="I112" s="191"/>
      <x:c r="J112" s="191"/>
      <x:c r="K112" s="191"/>
      <x:c r="L112" s="191"/>
      <x:c r="M112" s="191"/>
      <x:c r="N112" s="191"/>
      <x:c r="O112" s="191"/>
      <x:c r="P112" s="191"/>
      <x:c r="Q112" s="191"/>
      <x:c r="R112" s="191"/>
      <x:c r="S112" s="191"/>
      <x:c r="T112" s="191"/>
      <x:c r="U112" s="191"/>
      <x:c r="V112" s="191"/>
      <x:c r="W112" s="191"/>
      <x:c r="X112" s="191"/>
      <x:c r="Y112" s="191"/>
      <x:c r="Z112" s="191"/>
      <x:c r="AA112" s="191"/>
      <x:c r="AB112" s="191"/>
      <x:c r="AC112" s="191"/>
      <x:c r="AD112" s="191"/>
      <x:c r="AE112" s="191"/>
      <x:c r="AF112" s="191"/>
      <x:c r="AG112" s="191"/>
      <x:c r="AH112" s="191"/>
      <x:c r="AI112" s="191"/>
      <x:c r="AJ112" s="191"/>
      <x:c r="AK112" s="191"/>
    </x:row>
    <x:row r="113">
      <x:c r="A113" s="191"/>
      <x:c r="B113" s="191"/>
      <x:c r="C113" s="191"/>
      <x:c r="D113" s="191"/>
      <x:c r="E113" s="191"/>
      <x:c r="F113" s="191"/>
      <x:c r="G113" s="191"/>
      <x:c r="H113" s="191"/>
      <x:c r="I113" s="191"/>
      <x:c r="J113" s="191"/>
      <x:c r="K113" s="191"/>
      <x:c r="L113" s="191"/>
      <x:c r="M113" s="191"/>
      <x:c r="N113" s="191"/>
      <x:c r="O113" s="191"/>
      <x:c r="P113" s="191"/>
      <x:c r="Q113" s="191"/>
      <x:c r="R113" s="191"/>
      <x:c r="S113" s="191"/>
      <x:c r="T113" s="191"/>
      <x:c r="U113" s="191"/>
      <x:c r="V113" s="191"/>
      <x:c r="W113" s="191"/>
      <x:c r="X113" s="191"/>
      <x:c r="Y113" s="191"/>
      <x:c r="Z113" s="191"/>
      <x:c r="AA113" s="191"/>
      <x:c r="AB113" s="191"/>
      <x:c r="AC113" s="191"/>
      <x:c r="AD113" s="191"/>
      <x:c r="AE113" s="191"/>
      <x:c r="AF113" s="191"/>
      <x:c r="AG113" s="191"/>
      <x:c r="AH113" s="191"/>
      <x:c r="AI113" s="191"/>
      <x:c r="AJ113" s="191"/>
      <x:c r="AK113" s="191"/>
    </x:row>
    <x:row r="114">
      <x:c r="A114" s="191"/>
      <x:c r="B114" s="191"/>
      <x:c r="C114" s="191"/>
      <x:c r="D114" s="191"/>
      <x:c r="E114" s="191"/>
      <x:c r="F114" s="191"/>
      <x:c r="G114" s="191"/>
      <x:c r="H114" s="191"/>
      <x:c r="I114" s="191"/>
      <x:c r="J114" s="191"/>
      <x:c r="K114" s="191"/>
      <x:c r="L114" s="191"/>
      <x:c r="M114" s="191"/>
      <x:c r="N114" s="191"/>
      <x:c r="O114" s="191"/>
      <x:c r="P114" s="191"/>
      <x:c r="Q114" s="191"/>
      <x:c r="R114" s="191"/>
      <x:c r="S114" s="191"/>
      <x:c r="T114" s="191"/>
      <x:c r="U114" s="191"/>
      <x:c r="V114" s="191"/>
      <x:c r="W114" s="191"/>
      <x:c r="X114" s="191"/>
      <x:c r="Y114" s="191"/>
      <x:c r="Z114" s="191"/>
      <x:c r="AA114" s="191"/>
      <x:c r="AB114" s="191"/>
      <x:c r="AC114" s="191"/>
      <x:c r="AD114" s="191"/>
      <x:c r="AE114" s="191"/>
      <x:c r="AF114" s="191"/>
      <x:c r="AG114" s="191"/>
      <x:c r="AH114" s="191"/>
      <x:c r="AI114" s="191"/>
      <x:c r="AJ114" s="191"/>
      <x:c r="AK114" s="191"/>
    </x:row>
    <x:row r="115">
      <x:c r="A115" s="191"/>
      <x:c r="B115" s="191"/>
      <x:c r="C115" s="191"/>
      <x:c r="D115" s="191"/>
      <x:c r="E115" s="191"/>
      <x:c r="F115" s="191"/>
      <x:c r="G115" s="191"/>
      <x:c r="H115" s="191"/>
      <x:c r="I115" s="191"/>
      <x:c r="J115" s="191"/>
      <x:c r="K115" s="191"/>
      <x:c r="L115" s="191"/>
      <x:c r="M115" s="191"/>
      <x:c r="N115" s="191"/>
      <x:c r="O115" s="191"/>
      <x:c r="P115" s="191"/>
      <x:c r="Q115" s="191"/>
      <x:c r="R115" s="191"/>
      <x:c r="S115" s="191"/>
      <x:c r="T115" s="191"/>
      <x:c r="U115" s="191"/>
      <x:c r="V115" s="191"/>
      <x:c r="W115" s="191"/>
      <x:c r="X115" s="191"/>
      <x:c r="Y115" s="191"/>
      <x:c r="Z115" s="191"/>
      <x:c r="AA115" s="191"/>
      <x:c r="AB115" s="191"/>
      <x:c r="AC115" s="191"/>
      <x:c r="AD115" s="191"/>
      <x:c r="AE115" s="191"/>
      <x:c r="AF115" s="191"/>
      <x:c r="AG115" s="191"/>
      <x:c r="AH115" s="191"/>
      <x:c r="AI115" s="191"/>
      <x:c r="AJ115" s="191"/>
      <x:c r="AK115" s="191"/>
    </x:row>
    <x:row r="116">
      <x:c r="A116" s="191"/>
      <x:c r="B116" s="191"/>
      <x:c r="C116" s="191"/>
      <x:c r="D116" s="191"/>
      <x:c r="E116" s="191"/>
      <x:c r="F116" s="191"/>
      <x:c r="G116" s="191"/>
      <x:c r="H116" s="191"/>
      <x:c r="I116" s="191"/>
      <x:c r="J116" s="191"/>
      <x:c r="K116" s="191"/>
      <x:c r="L116" s="191"/>
      <x:c r="M116" s="191"/>
      <x:c r="N116" s="191"/>
      <x:c r="O116" s="191"/>
      <x:c r="P116" s="191"/>
      <x:c r="Q116" s="191"/>
      <x:c r="R116" s="191"/>
      <x:c r="S116" s="191"/>
      <x:c r="T116" s="191"/>
      <x:c r="U116" s="191"/>
      <x:c r="V116" s="191"/>
      <x:c r="W116" s="191"/>
      <x:c r="X116" s="191"/>
      <x:c r="Y116" s="191"/>
      <x:c r="Z116" s="191"/>
      <x:c r="AA116" s="191"/>
      <x:c r="AB116" s="191"/>
      <x:c r="AC116" s="191"/>
      <x:c r="AD116" s="191"/>
      <x:c r="AE116" s="191"/>
      <x:c r="AF116" s="191"/>
      <x:c r="AG116" s="191"/>
      <x:c r="AH116" s="191"/>
      <x:c r="AI116" s="191"/>
      <x:c r="AJ116" s="191"/>
      <x:c r="AK116" s="191"/>
    </x:row>
    <x:row r="117">
      <x:c r="A117" s="191"/>
      <x:c r="B117" s="191"/>
      <x:c r="C117" s="191"/>
      <x:c r="D117" s="191"/>
      <x:c r="E117" s="191"/>
      <x:c r="F117" s="191"/>
      <x:c r="G117" s="191"/>
      <x:c r="H117" s="191"/>
      <x:c r="I117" s="191"/>
      <x:c r="J117" s="191"/>
      <x:c r="K117" s="191"/>
      <x:c r="L117" s="191"/>
      <x:c r="M117" s="191"/>
      <x:c r="N117" s="191"/>
      <x:c r="O117" s="191"/>
      <x:c r="P117" s="191"/>
      <x:c r="Q117" s="191"/>
      <x:c r="R117" s="191"/>
      <x:c r="S117" s="191"/>
      <x:c r="T117" s="191"/>
      <x:c r="U117" s="191"/>
      <x:c r="V117" s="191"/>
      <x:c r="W117" s="191"/>
      <x:c r="X117" s="191"/>
      <x:c r="Y117" s="191"/>
      <x:c r="Z117" s="191"/>
      <x:c r="AA117" s="191"/>
      <x:c r="AB117" s="191"/>
      <x:c r="AC117" s="191"/>
      <x:c r="AD117" s="191"/>
      <x:c r="AE117" s="191"/>
      <x:c r="AF117" s="191"/>
      <x:c r="AG117" s="191"/>
      <x:c r="AH117" s="191"/>
      <x:c r="AI117" s="191"/>
      <x:c r="AJ117" s="191"/>
      <x:c r="AK117" s="191"/>
    </x:row>
    <x:row r="118">
      <x:c r="A118" s="191"/>
      <x:c r="B118" s="191"/>
      <x:c r="C118" s="191"/>
      <x:c r="D118" s="191"/>
      <x:c r="E118" s="191"/>
      <x:c r="F118" s="191"/>
      <x:c r="G118" s="191"/>
      <x:c r="H118" s="191"/>
      <x:c r="I118" s="191"/>
      <x:c r="J118" s="191"/>
      <x:c r="K118" s="191"/>
      <x:c r="L118" s="191"/>
      <x:c r="M118" s="191"/>
      <x:c r="N118" s="191"/>
      <x:c r="O118" s="191"/>
      <x:c r="P118" s="191"/>
      <x:c r="Q118" s="191"/>
      <x:c r="R118" s="191"/>
      <x:c r="S118" s="191"/>
      <x:c r="T118" s="191"/>
      <x:c r="U118" s="191"/>
      <x:c r="V118" s="191"/>
      <x:c r="W118" s="191"/>
      <x:c r="X118" s="191"/>
      <x:c r="Y118" s="191"/>
      <x:c r="Z118" s="191"/>
      <x:c r="AA118" s="191"/>
      <x:c r="AB118" s="191"/>
      <x:c r="AC118" s="191"/>
      <x:c r="AD118" s="191"/>
      <x:c r="AE118" s="191"/>
      <x:c r="AF118" s="191"/>
      <x:c r="AG118" s="191"/>
      <x:c r="AH118" s="191"/>
      <x:c r="AI118" s="191"/>
      <x:c r="AJ118" s="191"/>
      <x:c r="AK118" s="191"/>
    </x:row>
    <x:row r="119">
      <x:c r="A119" s="191"/>
      <x:c r="B119" s="191"/>
      <x:c r="C119" s="191"/>
      <x:c r="D119" s="191"/>
      <x:c r="E119" s="191"/>
      <x:c r="F119" s="191"/>
      <x:c r="G119" s="191"/>
      <x:c r="H119" s="191"/>
      <x:c r="I119" s="191"/>
      <x:c r="J119" s="191"/>
      <x:c r="K119" s="191"/>
      <x:c r="L119" s="191"/>
      <x:c r="M119" s="191"/>
      <x:c r="N119" s="191"/>
      <x:c r="O119" s="191"/>
      <x:c r="P119" s="191"/>
      <x:c r="Q119" s="191"/>
      <x:c r="R119" s="191"/>
      <x:c r="S119" s="191"/>
      <x:c r="T119" s="191"/>
      <x:c r="U119" s="191"/>
      <x:c r="V119" s="191"/>
      <x:c r="W119" s="191"/>
      <x:c r="X119" s="191"/>
      <x:c r="Y119" s="191"/>
      <x:c r="Z119" s="191"/>
      <x:c r="AA119" s="191"/>
      <x:c r="AB119" s="191"/>
      <x:c r="AC119" s="191"/>
      <x:c r="AD119" s="191"/>
      <x:c r="AE119" s="191"/>
      <x:c r="AF119" s="191"/>
      <x:c r="AG119" s="191"/>
      <x:c r="AH119" s="191"/>
      <x:c r="AI119" s="191"/>
      <x:c r="AJ119" s="191"/>
      <x:c r="AK119" s="191"/>
    </x:row>
    <x:row r="120">
      <x:c r="A120" s="191"/>
      <x:c r="B120" s="191"/>
      <x:c r="C120" s="191"/>
      <x:c r="D120" s="191"/>
      <x:c r="E120" s="191"/>
      <x:c r="F120" s="191"/>
      <x:c r="G120" s="191"/>
      <x:c r="H120" s="191"/>
      <x:c r="I120" s="191"/>
      <x:c r="J120" s="191"/>
      <x:c r="K120" s="191"/>
      <x:c r="L120" s="191"/>
      <x:c r="M120" s="191"/>
      <x:c r="N120" s="191"/>
      <x:c r="O120" s="191"/>
      <x:c r="P120" s="191"/>
      <x:c r="Q120" s="191"/>
      <x:c r="R120" s="191"/>
      <x:c r="S120" s="191"/>
      <x:c r="T120" s="191"/>
      <x:c r="U120" s="191"/>
      <x:c r="V120" s="191"/>
      <x:c r="W120" s="191"/>
      <x:c r="X120" s="191"/>
      <x:c r="Y120" s="191"/>
      <x:c r="Z120" s="191"/>
      <x:c r="AA120" s="191"/>
      <x:c r="AB120" s="191"/>
      <x:c r="AC120" s="191"/>
      <x:c r="AD120" s="191"/>
      <x:c r="AE120" s="191"/>
      <x:c r="AF120" s="191"/>
      <x:c r="AG120" s="191"/>
      <x:c r="AH120" s="191"/>
      <x:c r="AI120" s="191"/>
      <x:c r="AJ120" s="191"/>
      <x:c r="AK120" s="191"/>
    </x:row>
    <x:row r="121">
      <x:c r="A121" s="191"/>
      <x:c r="B121" s="191"/>
      <x:c r="C121" s="191"/>
      <x:c r="D121" s="191"/>
      <x:c r="E121" s="191"/>
      <x:c r="F121" s="191"/>
      <x:c r="G121" s="191"/>
      <x:c r="H121" s="191"/>
      <x:c r="I121" s="191"/>
      <x:c r="J121" s="191"/>
      <x:c r="K121" s="191"/>
      <x:c r="L121" s="191"/>
      <x:c r="M121" s="191"/>
      <x:c r="N121" s="191"/>
      <x:c r="O121" s="191"/>
      <x:c r="P121" s="191"/>
      <x:c r="Q121" s="191"/>
      <x:c r="R121" s="191"/>
      <x:c r="S121" s="191"/>
      <x:c r="T121" s="191"/>
      <x:c r="U121" s="191"/>
      <x:c r="V121" s="191"/>
      <x:c r="W121" s="191"/>
      <x:c r="X121" s="191"/>
      <x:c r="Y121" s="191"/>
      <x:c r="Z121" s="191"/>
      <x:c r="AA121" s="191"/>
      <x:c r="AB121" s="191"/>
      <x:c r="AC121" s="191"/>
      <x:c r="AD121" s="191"/>
      <x:c r="AE121" s="191"/>
      <x:c r="AF121" s="191"/>
      <x:c r="AG121" s="191"/>
      <x:c r="AH121" s="191"/>
      <x:c r="AI121" s="191"/>
      <x:c r="AJ121" s="191"/>
      <x:c r="AK121" s="191"/>
    </x:row>
    <x:row r="122">
      <x:c r="A122" s="191"/>
      <x:c r="B122" s="191"/>
      <x:c r="C122" s="191"/>
      <x:c r="D122" s="191"/>
      <x:c r="E122" s="191"/>
      <x:c r="F122" s="191"/>
      <x:c r="G122" s="191"/>
      <x:c r="H122" s="191"/>
      <x:c r="I122" s="191"/>
      <x:c r="J122" s="191"/>
      <x:c r="K122" s="191"/>
      <x:c r="L122" s="191"/>
      <x:c r="M122" s="191"/>
      <x:c r="N122" s="191"/>
      <x:c r="O122" s="191"/>
      <x:c r="P122" s="191"/>
      <x:c r="Q122" s="191"/>
      <x:c r="R122" s="191"/>
      <x:c r="S122" s="191"/>
      <x:c r="T122" s="191"/>
      <x:c r="U122" s="191"/>
      <x:c r="V122" s="191"/>
      <x:c r="W122" s="191"/>
      <x:c r="X122" s="191"/>
      <x:c r="Y122" s="191"/>
      <x:c r="Z122" s="191"/>
      <x:c r="AA122" s="191"/>
      <x:c r="AB122" s="191"/>
      <x:c r="AC122" s="191"/>
      <x:c r="AD122" s="191"/>
      <x:c r="AE122" s="191"/>
      <x:c r="AF122" s="191"/>
      <x:c r="AG122" s="191"/>
      <x:c r="AH122" s="191"/>
      <x:c r="AI122" s="191"/>
      <x:c r="AJ122" s="191"/>
      <x:c r="AK122" s="191"/>
    </x:row>
    <x:row r="123">
      <x:c r="A123" s="191"/>
      <x:c r="B123" s="191"/>
      <x:c r="C123" s="191"/>
      <x:c r="D123" s="191"/>
      <x:c r="E123" s="191"/>
      <x:c r="F123" s="191"/>
      <x:c r="G123" s="191"/>
      <x:c r="H123" s="191"/>
      <x:c r="I123" s="191"/>
      <x:c r="J123" s="191"/>
      <x:c r="K123" s="191"/>
      <x:c r="L123" s="191"/>
      <x:c r="M123" s="191"/>
      <x:c r="N123" s="191"/>
      <x:c r="O123" s="191"/>
      <x:c r="P123" s="191"/>
      <x:c r="Q123" s="191"/>
      <x:c r="R123" s="191"/>
      <x:c r="S123" s="191"/>
      <x:c r="T123" s="191"/>
      <x:c r="U123" s="191"/>
      <x:c r="V123" s="191"/>
      <x:c r="W123" s="191"/>
      <x:c r="X123" s="191"/>
      <x:c r="Y123" s="191"/>
      <x:c r="Z123" s="191"/>
      <x:c r="AA123" s="191"/>
      <x:c r="AB123" s="191"/>
      <x:c r="AC123" s="191"/>
      <x:c r="AD123" s="191"/>
      <x:c r="AE123" s="191"/>
      <x:c r="AF123" s="191"/>
      <x:c r="AG123" s="191"/>
      <x:c r="AH123" s="191"/>
      <x:c r="AI123" s="191"/>
      <x:c r="AJ123" s="191"/>
      <x:c r="AK123" s="191"/>
    </x:row>
    <x:row r="124">
      <x:c r="A124" s="191"/>
      <x:c r="B124" s="191"/>
      <x:c r="C124" s="191"/>
      <x:c r="D124" s="191"/>
      <x:c r="E124" s="191"/>
      <x:c r="F124" s="191"/>
      <x:c r="G124" s="191"/>
      <x:c r="H124" s="191"/>
      <x:c r="I124" s="191"/>
      <x:c r="J124" s="191"/>
      <x:c r="K124" s="191"/>
      <x:c r="L124" s="191"/>
      <x:c r="M124" s="191"/>
      <x:c r="N124" s="191"/>
      <x:c r="O124" s="191"/>
      <x:c r="P124" s="191"/>
      <x:c r="Q124" s="191"/>
      <x:c r="R124" s="191"/>
      <x:c r="S124" s="191"/>
      <x:c r="T124" s="191"/>
      <x:c r="U124" s="191"/>
      <x:c r="V124" s="191"/>
      <x:c r="W124" s="191"/>
      <x:c r="X124" s="191"/>
      <x:c r="Y124" s="191"/>
      <x:c r="Z124" s="191"/>
      <x:c r="AA124" s="191"/>
      <x:c r="AB124" s="191"/>
      <x:c r="AC124" s="191"/>
      <x:c r="AD124" s="191"/>
      <x:c r="AE124" s="191"/>
      <x:c r="AF124" s="191"/>
      <x:c r="AG124" s="191"/>
      <x:c r="AH124" s="191"/>
      <x:c r="AI124" s="191"/>
      <x:c r="AJ124" s="191"/>
      <x:c r="AK124" s="191"/>
    </x:row>
    <x:row r="125">
      <x:c r="A125" s="191"/>
      <x:c r="B125" s="191"/>
      <x:c r="C125" s="191"/>
      <x:c r="D125" s="191"/>
      <x:c r="E125" s="191"/>
      <x:c r="F125" s="191"/>
      <x:c r="G125" s="191"/>
      <x:c r="H125" s="191"/>
      <x:c r="I125" s="191"/>
      <x:c r="J125" s="191"/>
      <x:c r="K125" s="191"/>
      <x:c r="L125" s="191"/>
      <x:c r="M125" s="191"/>
      <x:c r="N125" s="191"/>
      <x:c r="O125" s="191"/>
      <x:c r="P125" s="191"/>
      <x:c r="Q125" s="191"/>
      <x:c r="R125" s="191"/>
      <x:c r="S125" s="191"/>
      <x:c r="T125" s="191"/>
      <x:c r="U125" s="191"/>
      <x:c r="V125" s="191"/>
      <x:c r="W125" s="191"/>
      <x:c r="X125" s="191"/>
      <x:c r="Y125" s="191"/>
      <x:c r="Z125" s="191"/>
      <x:c r="AA125" s="191"/>
      <x:c r="AB125" s="191"/>
      <x:c r="AC125" s="191"/>
      <x:c r="AD125" s="191"/>
      <x:c r="AE125" s="191"/>
      <x:c r="AF125" s="191"/>
      <x:c r="AG125" s="191"/>
      <x:c r="AH125" s="191"/>
      <x:c r="AI125" s="191"/>
      <x:c r="AJ125" s="191"/>
      <x:c r="AK125" s="191"/>
    </x:row>
    <x:row r="126">
      <x:c r="A126" s="191"/>
      <x:c r="B126" s="191"/>
      <x:c r="C126" s="191"/>
      <x:c r="D126" s="191"/>
      <x:c r="E126" s="191"/>
      <x:c r="F126" s="191"/>
      <x:c r="G126" s="191"/>
      <x:c r="H126" s="191"/>
      <x:c r="I126" s="191"/>
      <x:c r="J126" s="191"/>
      <x:c r="K126" s="191"/>
      <x:c r="L126" s="191"/>
      <x:c r="M126" s="191"/>
      <x:c r="N126" s="191"/>
      <x:c r="O126" s="191"/>
      <x:c r="P126" s="191"/>
      <x:c r="Q126" s="191"/>
      <x:c r="R126" s="191"/>
      <x:c r="S126" s="191"/>
      <x:c r="T126" s="191"/>
      <x:c r="U126" s="191"/>
      <x:c r="V126" s="191"/>
      <x:c r="W126" s="191"/>
      <x:c r="X126" s="191"/>
      <x:c r="Y126" s="191"/>
      <x:c r="Z126" s="191"/>
      <x:c r="AA126" s="191"/>
      <x:c r="AB126" s="191"/>
      <x:c r="AC126" s="191"/>
      <x:c r="AD126" s="191"/>
      <x:c r="AE126" s="191"/>
      <x:c r="AF126" s="191"/>
      <x:c r="AG126" s="191"/>
      <x:c r="AH126" s="191"/>
      <x:c r="AI126" s="191"/>
      <x:c r="AJ126" s="191"/>
      <x:c r="AK126" s="191"/>
    </x:row>
    <x:row r="127">
      <x:c r="A127" s="191"/>
      <x:c r="B127" s="191"/>
      <x:c r="C127" s="191"/>
      <x:c r="D127" s="191"/>
      <x:c r="E127" s="191"/>
      <x:c r="F127" s="191"/>
      <x:c r="G127" s="191"/>
      <x:c r="H127" s="191"/>
      <x:c r="I127" s="191"/>
      <x:c r="J127" s="191"/>
      <x:c r="K127" s="191"/>
      <x:c r="L127" s="191"/>
      <x:c r="M127" s="191"/>
      <x:c r="N127" s="191"/>
      <x:c r="O127" s="191"/>
      <x:c r="P127" s="191"/>
      <x:c r="Q127" s="191"/>
      <x:c r="R127" s="191"/>
      <x:c r="S127" s="191"/>
      <x:c r="T127" s="191"/>
      <x:c r="U127" s="191"/>
      <x:c r="V127" s="191"/>
      <x:c r="W127" s="191"/>
      <x:c r="X127" s="191"/>
      <x:c r="Y127" s="191"/>
      <x:c r="Z127" s="191"/>
      <x:c r="AA127" s="191"/>
      <x:c r="AB127" s="191"/>
      <x:c r="AC127" s="191"/>
      <x:c r="AD127" s="191"/>
      <x:c r="AE127" s="191"/>
      <x:c r="AF127" s="191"/>
      <x:c r="AG127" s="191"/>
      <x:c r="AH127" s="191"/>
      <x:c r="AI127" s="191"/>
      <x:c r="AJ127" s="191"/>
      <x:c r="AK127" s="191"/>
    </x:row>
    <x:row r="128">
      <x:c r="A128" s="191"/>
      <x:c r="B128" s="191"/>
      <x:c r="C128" s="191"/>
      <x:c r="D128" s="191"/>
      <x:c r="E128" s="191"/>
      <x:c r="F128" s="191"/>
      <x:c r="G128" s="191"/>
      <x:c r="H128" s="191"/>
      <x:c r="I128" s="191"/>
      <x:c r="J128" s="191"/>
      <x:c r="K128" s="191"/>
      <x:c r="L128" s="191"/>
      <x:c r="M128" s="191"/>
      <x:c r="N128" s="191"/>
      <x:c r="O128" s="191"/>
      <x:c r="P128" s="191"/>
      <x:c r="Q128" s="191"/>
      <x:c r="R128" s="191"/>
      <x:c r="S128" s="191"/>
      <x:c r="T128" s="191"/>
      <x:c r="U128" s="191"/>
      <x:c r="V128" s="191"/>
      <x:c r="W128" s="191"/>
      <x:c r="X128" s="191"/>
      <x:c r="Y128" s="191"/>
      <x:c r="Z128" s="191"/>
      <x:c r="AA128" s="191"/>
      <x:c r="AB128" s="191"/>
      <x:c r="AC128" s="191"/>
      <x:c r="AD128" s="191"/>
      <x:c r="AE128" s="191"/>
      <x:c r="AF128" s="191"/>
      <x:c r="AG128" s="191"/>
      <x:c r="AH128" s="191"/>
      <x:c r="AI128" s="191"/>
      <x:c r="AJ128" s="191"/>
      <x:c r="AK128" s="191"/>
    </x:row>
    <x:row r="129">
      <x:c r="A129" s="191"/>
      <x:c r="B129" s="191"/>
      <x:c r="C129" s="191"/>
      <x:c r="D129" s="191"/>
      <x:c r="E129" s="191"/>
      <x:c r="F129" s="191"/>
      <x:c r="G129" s="191"/>
      <x:c r="H129" s="191"/>
      <x:c r="I129" s="191"/>
      <x:c r="J129" s="191"/>
      <x:c r="K129" s="191"/>
      <x:c r="L129" s="191"/>
      <x:c r="M129" s="191"/>
      <x:c r="N129" s="191"/>
      <x:c r="O129" s="191"/>
      <x:c r="P129" s="191"/>
      <x:c r="Q129" s="191"/>
      <x:c r="R129" s="191"/>
      <x:c r="S129" s="191"/>
      <x:c r="T129" s="191"/>
      <x:c r="U129" s="191"/>
      <x:c r="V129" s="191"/>
      <x:c r="W129" s="191"/>
      <x:c r="X129" s="191"/>
      <x:c r="Y129" s="191"/>
      <x:c r="Z129" s="191"/>
      <x:c r="AA129" s="191"/>
      <x:c r="AB129" s="191"/>
      <x:c r="AC129" s="191"/>
      <x:c r="AD129" s="191"/>
      <x:c r="AE129" s="191"/>
      <x:c r="AF129" s="191"/>
      <x:c r="AG129" s="191"/>
      <x:c r="AH129" s="191"/>
      <x:c r="AI129" s="191"/>
      <x:c r="AJ129" s="191"/>
      <x:c r="AK129" s="191"/>
    </x:row>
    <x:row r="130">
      <x:c r="A130" s="191"/>
      <x:c r="B130" s="191"/>
      <x:c r="C130" s="191"/>
      <x:c r="D130" s="191"/>
      <x:c r="E130" s="191"/>
      <x:c r="F130" s="191"/>
      <x:c r="G130" s="191"/>
      <x:c r="H130" s="191"/>
      <x:c r="I130" s="191"/>
      <x:c r="J130" s="191"/>
      <x:c r="K130" s="191"/>
      <x:c r="L130" s="191"/>
      <x:c r="M130" s="191"/>
      <x:c r="N130" s="191"/>
      <x:c r="O130" s="191"/>
      <x:c r="P130" s="191"/>
      <x:c r="Q130" s="191"/>
      <x:c r="R130" s="191"/>
      <x:c r="S130" s="191"/>
      <x:c r="T130" s="191"/>
      <x:c r="U130" s="191"/>
      <x:c r="V130" s="191"/>
      <x:c r="W130" s="191"/>
      <x:c r="X130" s="191"/>
      <x:c r="Y130" s="191"/>
      <x:c r="Z130" s="191"/>
      <x:c r="AA130" s="191"/>
      <x:c r="AB130" s="191"/>
      <x:c r="AC130" s="191"/>
      <x:c r="AD130" s="191"/>
      <x:c r="AE130" s="191"/>
      <x:c r="AF130" s="191"/>
      <x:c r="AG130" s="191"/>
      <x:c r="AH130" s="191"/>
      <x:c r="AI130" s="191"/>
      <x:c r="AJ130" s="191"/>
      <x:c r="AK130" s="191"/>
    </x:row>
    <x:row r="131">
      <x:c r="A131" s="191"/>
      <x:c r="B131" s="191"/>
      <x:c r="C131" s="191"/>
      <x:c r="D131" s="191"/>
      <x:c r="E131" s="191"/>
      <x:c r="F131" s="191"/>
      <x:c r="G131" s="191"/>
      <x:c r="H131" s="191"/>
      <x:c r="I131" s="191"/>
      <x:c r="J131" s="191"/>
      <x:c r="K131" s="191"/>
      <x:c r="L131" s="191"/>
      <x:c r="M131" s="191"/>
      <x:c r="N131" s="191"/>
      <x:c r="O131" s="191"/>
      <x:c r="P131" s="191"/>
      <x:c r="Q131" s="191"/>
      <x:c r="R131" s="191"/>
      <x:c r="S131" s="191"/>
      <x:c r="T131" s="191"/>
      <x:c r="U131" s="191"/>
      <x:c r="V131" s="191"/>
      <x:c r="W131" s="191"/>
      <x:c r="X131" s="191"/>
      <x:c r="Y131" s="191"/>
      <x:c r="Z131" s="191"/>
      <x:c r="AA131" s="191"/>
      <x:c r="AB131" s="191"/>
      <x:c r="AC131" s="191"/>
      <x:c r="AD131" s="191"/>
      <x:c r="AE131" s="191"/>
      <x:c r="AF131" s="191"/>
      <x:c r="AG131" s="191"/>
      <x:c r="AH131" s="191"/>
      <x:c r="AI131" s="191"/>
      <x:c r="AJ131" s="191"/>
      <x:c r="AK131" s="191"/>
    </x:row>
    <x:row r="132">
      <x:c r="A132" s="191"/>
      <x:c r="B132" s="191"/>
      <x:c r="C132" s="191"/>
      <x:c r="D132" s="191"/>
      <x:c r="E132" s="191"/>
      <x:c r="F132" s="191"/>
      <x:c r="G132" s="191"/>
      <x:c r="H132" s="191"/>
      <x:c r="I132" s="191"/>
      <x:c r="J132" s="191"/>
      <x:c r="K132" s="191"/>
      <x:c r="L132" s="191"/>
      <x:c r="M132" s="191"/>
      <x:c r="N132" s="191"/>
      <x:c r="O132" s="191"/>
      <x:c r="P132" s="191"/>
      <x:c r="Q132" s="191"/>
      <x:c r="R132" s="191"/>
      <x:c r="S132" s="191"/>
      <x:c r="T132" s="191"/>
      <x:c r="U132" s="191"/>
      <x:c r="V132" s="191"/>
      <x:c r="W132" s="191"/>
      <x:c r="X132" s="191"/>
      <x:c r="Y132" s="191"/>
      <x:c r="Z132" s="191"/>
      <x:c r="AA132" s="191"/>
      <x:c r="AB132" s="191"/>
      <x:c r="AC132" s="191"/>
      <x:c r="AD132" s="191"/>
      <x:c r="AE132" s="191"/>
      <x:c r="AF132" s="191"/>
      <x:c r="AG132" s="191"/>
      <x:c r="AH132" s="191"/>
      <x:c r="AI132" s="191"/>
      <x:c r="AJ132" s="191"/>
      <x:c r="AK132" s="191"/>
    </x:row>
    <x:row r="133">
      <x:c r="A133" s="191"/>
      <x:c r="B133" s="191"/>
      <x:c r="C133" s="191"/>
      <x:c r="D133" s="191"/>
      <x:c r="E133" s="191"/>
      <x:c r="F133" s="191"/>
      <x:c r="G133" s="191"/>
      <x:c r="H133" s="191"/>
      <x:c r="I133" s="191"/>
      <x:c r="J133" s="191"/>
      <x:c r="K133" s="191"/>
      <x:c r="L133" s="191"/>
      <x:c r="M133" s="191"/>
      <x:c r="N133" s="191"/>
      <x:c r="O133" s="191"/>
      <x:c r="P133" s="191"/>
      <x:c r="Q133" s="191"/>
      <x:c r="R133" s="191"/>
      <x:c r="S133" s="191"/>
      <x:c r="T133" s="191"/>
      <x:c r="U133" s="191"/>
      <x:c r="V133" s="191"/>
      <x:c r="W133" s="191"/>
      <x:c r="X133" s="191"/>
      <x:c r="Y133" s="191"/>
      <x:c r="Z133" s="191"/>
      <x:c r="AA133" s="191"/>
      <x:c r="AB133" s="191"/>
      <x:c r="AC133" s="191"/>
      <x:c r="AD133" s="191"/>
      <x:c r="AE133" s="191"/>
      <x:c r="AF133" s="191"/>
      <x:c r="AG133" s="191"/>
      <x:c r="AH133" s="191"/>
      <x:c r="AI133" s="191"/>
      <x:c r="AJ133" s="191"/>
      <x:c r="AK133" s="191"/>
    </x:row>
    <x:row r="134">
      <x:c r="A134" s="191"/>
      <x:c r="B134" s="191"/>
      <x:c r="C134" s="191"/>
      <x:c r="D134" s="191"/>
      <x:c r="E134" s="191"/>
      <x:c r="F134" s="191"/>
      <x:c r="G134" s="191"/>
      <x:c r="H134" s="191"/>
      <x:c r="I134" s="191"/>
      <x:c r="J134" s="191"/>
      <x:c r="K134" s="191"/>
      <x:c r="L134" s="191"/>
      <x:c r="M134" s="191"/>
      <x:c r="N134" s="191"/>
      <x:c r="O134" s="191"/>
      <x:c r="P134" s="191"/>
      <x:c r="Q134" s="191"/>
      <x:c r="R134" s="191"/>
      <x:c r="S134" s="191"/>
      <x:c r="T134" s="191"/>
      <x:c r="U134" s="191"/>
      <x:c r="V134" s="191"/>
      <x:c r="W134" s="191"/>
      <x:c r="X134" s="191"/>
      <x:c r="Y134" s="191"/>
      <x:c r="Z134" s="191"/>
      <x:c r="AA134" s="191"/>
      <x:c r="AB134" s="191"/>
      <x:c r="AC134" s="191"/>
      <x:c r="AD134" s="191"/>
      <x:c r="AE134" s="191"/>
      <x:c r="AF134" s="191"/>
      <x:c r="AG134" s="191"/>
      <x:c r="AH134" s="191"/>
      <x:c r="AI134" s="191"/>
      <x:c r="AJ134" s="191"/>
      <x:c r="AK134" s="191"/>
    </x:row>
    <x:row r="135">
      <x:c r="A135" s="191"/>
      <x:c r="B135" s="191"/>
      <x:c r="C135" s="191"/>
      <x:c r="D135" s="191"/>
      <x:c r="E135" s="191"/>
      <x:c r="F135" s="191"/>
      <x:c r="G135" s="191"/>
      <x:c r="H135" s="191"/>
      <x:c r="I135" s="191"/>
      <x:c r="J135" s="191"/>
      <x:c r="K135" s="191"/>
      <x:c r="L135" s="191"/>
      <x:c r="M135" s="191"/>
      <x:c r="N135" s="191"/>
      <x:c r="O135" s="191"/>
      <x:c r="P135" s="191"/>
      <x:c r="Q135" s="191"/>
      <x:c r="R135" s="191"/>
      <x:c r="S135" s="191"/>
      <x:c r="T135" s="191"/>
      <x:c r="U135" s="191"/>
      <x:c r="V135" s="191"/>
      <x:c r="W135" s="191"/>
      <x:c r="X135" s="191"/>
      <x:c r="Y135" s="191"/>
      <x:c r="Z135" s="191"/>
      <x:c r="AA135" s="191"/>
      <x:c r="AB135" s="191"/>
      <x:c r="AC135" s="191"/>
      <x:c r="AD135" s="191"/>
      <x:c r="AE135" s="191"/>
      <x:c r="AF135" s="191"/>
      <x:c r="AG135" s="191"/>
      <x:c r="AH135" s="191"/>
      <x:c r="AI135" s="191"/>
      <x:c r="AJ135" s="191"/>
      <x:c r="AK135" s="191"/>
    </x:row>
    <x:row r="136">
      <x:c r="A136" s="191"/>
      <x:c r="B136" s="191"/>
      <x:c r="C136" s="191"/>
      <x:c r="D136" s="191"/>
      <x:c r="E136" s="191"/>
      <x:c r="F136" s="191"/>
      <x:c r="G136" s="191"/>
      <x:c r="H136" s="191"/>
      <x:c r="I136" s="191"/>
      <x:c r="J136" s="191"/>
      <x:c r="K136" s="191"/>
      <x:c r="L136" s="191"/>
      <x:c r="M136" s="191"/>
      <x:c r="N136" s="191"/>
      <x:c r="O136" s="191"/>
      <x:c r="P136" s="191"/>
      <x:c r="Q136" s="191"/>
      <x:c r="R136" s="191"/>
      <x:c r="S136" s="191"/>
      <x:c r="T136" s="191"/>
      <x:c r="U136" s="191"/>
      <x:c r="V136" s="191"/>
      <x:c r="W136" s="191"/>
      <x:c r="X136" s="191"/>
      <x:c r="Y136" s="191"/>
      <x:c r="Z136" s="191"/>
      <x:c r="AA136" s="191"/>
      <x:c r="AB136" s="191"/>
      <x:c r="AC136" s="191"/>
      <x:c r="AD136" s="191"/>
      <x:c r="AE136" s="191"/>
      <x:c r="AF136" s="191"/>
      <x:c r="AG136" s="191"/>
      <x:c r="AH136" s="191"/>
      <x:c r="AI136" s="191"/>
      <x:c r="AJ136" s="191"/>
      <x:c r="AK136" s="191"/>
    </x:row>
    <x:row r="137">
      <x:c r="A137" s="191"/>
      <x:c r="B137" s="191"/>
      <x:c r="C137" s="191"/>
      <x:c r="D137" s="191"/>
      <x:c r="E137" s="191"/>
      <x:c r="F137" s="191"/>
      <x:c r="G137" s="191"/>
      <x:c r="H137" s="191"/>
      <x:c r="I137" s="191"/>
      <x:c r="J137" s="191"/>
      <x:c r="K137" s="191"/>
      <x:c r="L137" s="191"/>
      <x:c r="M137" s="191"/>
      <x:c r="N137" s="191"/>
      <x:c r="O137" s="191"/>
      <x:c r="P137" s="191"/>
      <x:c r="Q137" s="191"/>
      <x:c r="R137" s="191"/>
      <x:c r="S137" s="191"/>
      <x:c r="T137" s="191"/>
      <x:c r="U137" s="191"/>
      <x:c r="V137" s="191"/>
      <x:c r="W137" s="191"/>
      <x:c r="X137" s="191"/>
      <x:c r="Y137" s="191"/>
      <x:c r="Z137" s="191"/>
      <x:c r="AA137" s="191"/>
      <x:c r="AB137" s="191"/>
      <x:c r="AC137" s="191"/>
      <x:c r="AD137" s="191"/>
      <x:c r="AE137" s="191"/>
      <x:c r="AF137" s="191"/>
      <x:c r="AG137" s="191"/>
      <x:c r="AH137" s="191"/>
      <x:c r="AI137" s="191"/>
      <x:c r="AJ137" s="191"/>
      <x:c r="AK137" s="191"/>
    </x:row>
    <x:row r="138">
      <x:c r="A138" s="191"/>
      <x:c r="B138" s="191"/>
      <x:c r="C138" s="191"/>
      <x:c r="D138" s="191"/>
      <x:c r="E138" s="191"/>
      <x:c r="F138" s="191"/>
      <x:c r="G138" s="191"/>
      <x:c r="H138" s="191"/>
      <x:c r="I138" s="191"/>
      <x:c r="J138" s="191"/>
      <x:c r="K138" s="191"/>
      <x:c r="L138" s="191"/>
      <x:c r="M138" s="191"/>
      <x:c r="N138" s="191"/>
      <x:c r="O138" s="191"/>
      <x:c r="P138" s="191"/>
      <x:c r="Q138" s="191"/>
      <x:c r="R138" s="191"/>
      <x:c r="S138" s="191"/>
      <x:c r="T138" s="191"/>
      <x:c r="U138" s="191"/>
      <x:c r="V138" s="191"/>
      <x:c r="W138" s="191"/>
      <x:c r="X138" s="191"/>
      <x:c r="Y138" s="191"/>
      <x:c r="Z138" s="191"/>
      <x:c r="AA138" s="191"/>
      <x:c r="AB138" s="191"/>
      <x:c r="AC138" s="191"/>
      <x:c r="AD138" s="191"/>
      <x:c r="AE138" s="191"/>
      <x:c r="AF138" s="191"/>
      <x:c r="AG138" s="191"/>
      <x:c r="AH138" s="191"/>
      <x:c r="AI138" s="191"/>
      <x:c r="AJ138" s="191"/>
      <x:c r="AK138" s="191"/>
    </x:row>
    <x:row r="139">
      <x:c r="A139" s="191"/>
      <x:c r="B139" s="191"/>
      <x:c r="C139" s="191"/>
      <x:c r="D139" s="191"/>
      <x:c r="E139" s="191"/>
      <x:c r="F139" s="191"/>
      <x:c r="G139" s="191"/>
      <x:c r="H139" s="191"/>
      <x:c r="I139" s="191"/>
      <x:c r="J139" s="191"/>
      <x:c r="K139" s="191"/>
      <x:c r="L139" s="191"/>
      <x:c r="M139" s="191"/>
      <x:c r="N139" s="191"/>
      <x:c r="O139" s="191"/>
      <x:c r="P139" s="191"/>
      <x:c r="Q139" s="191"/>
      <x:c r="R139" s="191"/>
      <x:c r="S139" s="191"/>
      <x:c r="T139" s="191"/>
      <x:c r="U139" s="191"/>
      <x:c r="V139" s="191"/>
      <x:c r="W139" s="191"/>
      <x:c r="X139" s="191"/>
      <x:c r="Y139" s="191"/>
      <x:c r="Z139" s="191"/>
      <x:c r="AA139" s="191"/>
      <x:c r="AB139" s="191"/>
      <x:c r="AC139" s="191"/>
      <x:c r="AD139" s="191"/>
      <x:c r="AE139" s="191"/>
      <x:c r="AF139" s="191"/>
      <x:c r="AG139" s="191"/>
      <x:c r="AH139" s="191"/>
      <x:c r="AI139" s="191"/>
      <x:c r="AJ139" s="191"/>
      <x:c r="AK139" s="191"/>
    </x:row>
    <x:row r="140">
      <x:c r="A140" s="191"/>
      <x:c r="B140" s="191"/>
      <x:c r="C140" s="191"/>
      <x:c r="D140" s="191"/>
      <x:c r="E140" s="191"/>
      <x:c r="F140" s="191"/>
      <x:c r="G140" s="191"/>
      <x:c r="H140" s="191"/>
      <x:c r="I140" s="191"/>
      <x:c r="J140" s="191"/>
      <x:c r="K140" s="191"/>
      <x:c r="L140" s="191"/>
      <x:c r="M140" s="191"/>
      <x:c r="N140" s="191"/>
      <x:c r="O140" s="191"/>
      <x:c r="P140" s="191"/>
      <x:c r="Q140" s="191"/>
      <x:c r="R140" s="191"/>
      <x:c r="S140" s="191"/>
      <x:c r="T140" s="191"/>
      <x:c r="U140" s="191"/>
      <x:c r="V140" s="191"/>
      <x:c r="W140" s="191"/>
      <x:c r="X140" s="191"/>
      <x:c r="Y140" s="191"/>
      <x:c r="Z140" s="191"/>
      <x:c r="AA140" s="191"/>
      <x:c r="AB140" s="191"/>
      <x:c r="AC140" s="191"/>
      <x:c r="AD140" s="191"/>
      <x:c r="AE140" s="191"/>
      <x:c r="AF140" s="191"/>
      <x:c r="AG140" s="191"/>
      <x:c r="AH140" s="191"/>
      <x:c r="AI140" s="191"/>
      <x:c r="AJ140" s="191"/>
      <x:c r="AK140" s="191"/>
    </x:row>
    <x:row r="141">
      <x:c r="A141" s="191"/>
      <x:c r="B141" s="191"/>
      <x:c r="C141" s="191"/>
      <x:c r="D141" s="191"/>
      <x:c r="E141" s="191"/>
      <x:c r="F141" s="191"/>
      <x:c r="G141" s="191"/>
      <x:c r="H141" s="191"/>
      <x:c r="I141" s="191"/>
      <x:c r="J141" s="191"/>
      <x:c r="K141" s="191"/>
      <x:c r="L141" s="191"/>
      <x:c r="M141" s="191"/>
      <x:c r="N141" s="191"/>
      <x:c r="O141" s="191"/>
      <x:c r="P141" s="191"/>
      <x:c r="Q141" s="191"/>
      <x:c r="R141" s="191"/>
      <x:c r="S141" s="191"/>
      <x:c r="T141" s="191"/>
      <x:c r="U141" s="191"/>
      <x:c r="V141" s="191"/>
      <x:c r="W141" s="191"/>
      <x:c r="X141" s="191"/>
      <x:c r="Y141" s="191"/>
      <x:c r="Z141" s="191"/>
      <x:c r="AA141" s="191"/>
      <x:c r="AB141" s="191"/>
      <x:c r="AC141" s="191"/>
      <x:c r="AD141" s="191"/>
      <x:c r="AE141" s="191"/>
      <x:c r="AF141" s="191"/>
      <x:c r="AG141" s="191"/>
      <x:c r="AH141" s="191"/>
      <x:c r="AI141" s="191"/>
      <x:c r="AJ141" s="191"/>
      <x:c r="AK141" s="191"/>
    </x:row>
    <x:row r="142">
      <x:c r="A142" s="191"/>
      <x:c r="B142" s="191"/>
      <x:c r="C142" s="191"/>
      <x:c r="D142" s="191"/>
      <x:c r="E142" s="191"/>
      <x:c r="F142" s="191"/>
      <x:c r="G142" s="191"/>
      <x:c r="H142" s="191"/>
      <x:c r="I142" s="191"/>
      <x:c r="J142" s="191"/>
      <x:c r="K142" s="191"/>
      <x:c r="L142" s="191"/>
      <x:c r="M142" s="191"/>
      <x:c r="N142" s="191"/>
      <x:c r="O142" s="191"/>
      <x:c r="P142" s="191"/>
      <x:c r="Q142" s="191"/>
      <x:c r="R142" s="191"/>
      <x:c r="S142" s="191"/>
      <x:c r="T142" s="191"/>
      <x:c r="U142" s="191"/>
      <x:c r="V142" s="191"/>
      <x:c r="W142" s="191"/>
      <x:c r="X142" s="191"/>
      <x:c r="Y142" s="191"/>
      <x:c r="Z142" s="191"/>
      <x:c r="AA142" s="191"/>
      <x:c r="AB142" s="191"/>
      <x:c r="AC142" s="191"/>
      <x:c r="AD142" s="191"/>
      <x:c r="AE142" s="191"/>
      <x:c r="AF142" s="191"/>
      <x:c r="AG142" s="191"/>
      <x:c r="AH142" s="191"/>
      <x:c r="AI142" s="191"/>
      <x:c r="AJ142" s="191"/>
      <x:c r="AK142" s="191"/>
    </x:row>
    <x:row r="143">
      <x:c r="A143" s="191"/>
      <x:c r="B143" s="191"/>
      <x:c r="C143" s="191"/>
      <x:c r="D143" s="191"/>
      <x:c r="E143" s="191"/>
      <x:c r="F143" s="191"/>
      <x:c r="G143" s="191"/>
      <x:c r="H143" s="191"/>
      <x:c r="I143" s="191"/>
      <x:c r="J143" s="191"/>
      <x:c r="K143" s="191"/>
      <x:c r="L143" s="191"/>
      <x:c r="M143" s="191"/>
      <x:c r="N143" s="191"/>
      <x:c r="O143" s="191"/>
      <x:c r="P143" s="191"/>
      <x:c r="Q143" s="191"/>
      <x:c r="R143" s="191"/>
      <x:c r="S143" s="191"/>
      <x:c r="T143" s="191"/>
      <x:c r="U143" s="191"/>
      <x:c r="V143" s="191"/>
      <x:c r="W143" s="191"/>
      <x:c r="X143" s="191"/>
      <x:c r="Y143" s="191"/>
      <x:c r="Z143" s="191"/>
      <x:c r="AA143" s="191"/>
      <x:c r="AB143" s="191"/>
      <x:c r="AC143" s="191"/>
      <x:c r="AD143" s="191"/>
      <x:c r="AE143" s="191"/>
      <x:c r="AF143" s="191"/>
      <x:c r="AG143" s="191"/>
      <x:c r="AH143" s="191"/>
      <x:c r="AI143" s="191"/>
      <x:c r="AJ143" s="191"/>
      <x:c r="AK143" s="191"/>
    </x:row>
    <x:row r="144">
      <x:c r="A144" s="191"/>
      <x:c r="B144" s="191"/>
      <x:c r="C144" s="191"/>
      <x:c r="D144" s="191"/>
      <x:c r="E144" s="191"/>
      <x:c r="F144" s="191"/>
      <x:c r="G144" s="191"/>
      <x:c r="H144" s="191"/>
      <x:c r="I144" s="191"/>
      <x:c r="J144" s="191"/>
      <x:c r="K144" s="191"/>
      <x:c r="L144" s="191"/>
      <x:c r="M144" s="191"/>
      <x:c r="N144" s="191"/>
      <x:c r="O144" s="191"/>
      <x:c r="P144" s="191"/>
      <x:c r="Q144" s="191"/>
      <x:c r="R144" s="191"/>
      <x:c r="S144" s="191"/>
      <x:c r="T144" s="191"/>
      <x:c r="U144" s="191"/>
      <x:c r="V144" s="191"/>
      <x:c r="W144" s="191"/>
      <x:c r="X144" s="191"/>
      <x:c r="Y144" s="191"/>
      <x:c r="Z144" s="191"/>
      <x:c r="AA144" s="191"/>
      <x:c r="AB144" s="191"/>
      <x:c r="AC144" s="191"/>
      <x:c r="AD144" s="191"/>
      <x:c r="AE144" s="191"/>
      <x:c r="AF144" s="191"/>
      <x:c r="AG144" s="191"/>
      <x:c r="AH144" s="191"/>
      <x:c r="AI144" s="191"/>
      <x:c r="AJ144" s="191"/>
      <x:c r="AK144" s="191"/>
    </x:row>
    <x:row r="145">
      <x:c r="A145" s="191"/>
      <x:c r="B145" s="191"/>
      <x:c r="C145" s="191"/>
      <x:c r="D145" s="191"/>
      <x:c r="E145" s="191"/>
      <x:c r="F145" s="191"/>
      <x:c r="G145" s="191"/>
      <x:c r="H145" s="191"/>
      <x:c r="I145" s="191"/>
      <x:c r="J145" s="191"/>
      <x:c r="K145" s="191"/>
      <x:c r="L145" s="191"/>
      <x:c r="M145" s="191"/>
      <x:c r="N145" s="191"/>
      <x:c r="O145" s="191"/>
      <x:c r="P145" s="191"/>
      <x:c r="Q145" s="191"/>
      <x:c r="R145" s="191"/>
      <x:c r="S145" s="191"/>
      <x:c r="T145" s="191"/>
      <x:c r="U145" s="191"/>
      <x:c r="V145" s="191"/>
      <x:c r="W145" s="191"/>
      <x:c r="X145" s="191"/>
      <x:c r="Y145" s="191"/>
      <x:c r="Z145" s="191"/>
      <x:c r="AA145" s="191"/>
      <x:c r="AB145" s="191"/>
      <x:c r="AC145" s="191"/>
      <x:c r="AD145" s="191"/>
      <x:c r="AE145" s="191"/>
      <x:c r="AF145" s="191"/>
      <x:c r="AG145" s="191"/>
      <x:c r="AH145" s="191"/>
      <x:c r="AI145" s="191"/>
      <x:c r="AJ145" s="191"/>
      <x:c r="AK145" s="191"/>
    </x:row>
    <x:row r="146">
      <x:c r="A146" s="191"/>
      <x:c r="B146" s="191"/>
      <x:c r="C146" s="191"/>
      <x:c r="D146" s="191"/>
      <x:c r="E146" s="191"/>
      <x:c r="F146" s="191"/>
      <x:c r="G146" s="191"/>
      <x:c r="H146" s="191"/>
      <x:c r="I146" s="191"/>
      <x:c r="J146" s="191"/>
      <x:c r="K146" s="191"/>
      <x:c r="L146" s="191"/>
      <x:c r="M146" s="191"/>
      <x:c r="N146" s="191"/>
      <x:c r="O146" s="191"/>
      <x:c r="P146" s="191"/>
      <x:c r="Q146" s="191"/>
      <x:c r="R146" s="191"/>
      <x:c r="S146" s="191"/>
      <x:c r="T146" s="191"/>
      <x:c r="U146" s="191"/>
      <x:c r="V146" s="191"/>
      <x:c r="W146" s="191"/>
      <x:c r="X146" s="191"/>
      <x:c r="Y146" s="191"/>
      <x:c r="Z146" s="191"/>
      <x:c r="AA146" s="191"/>
      <x:c r="AB146" s="191"/>
      <x:c r="AC146" s="191"/>
      <x:c r="AD146" s="191"/>
      <x:c r="AE146" s="191"/>
      <x:c r="AF146" s="191"/>
      <x:c r="AG146" s="191"/>
      <x:c r="AH146" s="191"/>
      <x:c r="AI146" s="191"/>
      <x:c r="AJ146" s="191"/>
      <x:c r="AK146" s="191"/>
    </x:row>
    <x:row r="147">
      <x:c r="A147" s="191"/>
      <x:c r="B147" s="191"/>
      <x:c r="C147" s="191"/>
      <x:c r="D147" s="191"/>
      <x:c r="E147" s="191"/>
      <x:c r="F147" s="191"/>
      <x:c r="G147" s="191"/>
      <x:c r="H147" s="191"/>
      <x:c r="I147" s="191"/>
      <x:c r="J147" s="191"/>
      <x:c r="K147" s="191"/>
      <x:c r="L147" s="191"/>
      <x:c r="M147" s="191"/>
      <x:c r="N147" s="191"/>
      <x:c r="O147" s="191"/>
      <x:c r="P147" s="191"/>
      <x:c r="Q147" s="191"/>
      <x:c r="R147" s="191"/>
      <x:c r="S147" s="191"/>
      <x:c r="T147" s="191"/>
      <x:c r="U147" s="191"/>
      <x:c r="V147" s="191"/>
      <x:c r="W147" s="191"/>
      <x:c r="X147" s="191"/>
      <x:c r="Y147" s="191"/>
      <x:c r="Z147" s="191"/>
      <x:c r="AA147" s="191"/>
      <x:c r="AB147" s="191"/>
      <x:c r="AC147" s="191"/>
      <x:c r="AD147" s="191"/>
      <x:c r="AE147" s="191"/>
      <x:c r="AF147" s="191"/>
      <x:c r="AG147" s="191"/>
      <x:c r="AH147" s="191"/>
      <x:c r="AI147" s="191"/>
      <x:c r="AJ147" s="191"/>
      <x:c r="AK147" s="191"/>
    </x:row>
    <x:row r="148">
      <x:c r="A148" s="191"/>
      <x:c r="B148" s="191"/>
      <x:c r="C148" s="191"/>
      <x:c r="D148" s="191"/>
      <x:c r="E148" s="191"/>
      <x:c r="F148" s="191"/>
      <x:c r="G148" s="191"/>
      <x:c r="H148" s="191"/>
      <x:c r="I148" s="191"/>
      <x:c r="J148" s="191"/>
      <x:c r="K148" s="191"/>
      <x:c r="L148" s="191"/>
      <x:c r="M148" s="191"/>
      <x:c r="N148" s="191"/>
      <x:c r="O148" s="191"/>
      <x:c r="P148" s="191"/>
      <x:c r="Q148" s="191"/>
      <x:c r="R148" s="191"/>
      <x:c r="S148" s="191"/>
      <x:c r="T148" s="191"/>
      <x:c r="U148" s="191"/>
      <x:c r="V148" s="191"/>
      <x:c r="W148" s="191"/>
      <x:c r="X148" s="191"/>
      <x:c r="Y148" s="191"/>
      <x:c r="Z148" s="191"/>
      <x:c r="AA148" s="191"/>
      <x:c r="AB148" s="191"/>
      <x:c r="AC148" s="191"/>
      <x:c r="AD148" s="191"/>
      <x:c r="AE148" s="191"/>
      <x:c r="AF148" s="191"/>
      <x:c r="AG148" s="191"/>
      <x:c r="AH148" s="191"/>
      <x:c r="AI148" s="191"/>
      <x:c r="AJ148" s="191"/>
      <x:c r="AK148" s="191"/>
    </x:row>
    <x:row r="149">
      <x:c r="A149" s="191"/>
      <x:c r="B149" s="191"/>
      <x:c r="C149" s="191"/>
      <x:c r="D149" s="191"/>
      <x:c r="E149" s="191"/>
      <x:c r="F149" s="191"/>
      <x:c r="G149" s="191"/>
      <x:c r="H149" s="191"/>
      <x:c r="I149" s="191"/>
      <x:c r="J149" s="191"/>
      <x:c r="K149" s="191"/>
      <x:c r="L149" s="191"/>
      <x:c r="M149" s="191"/>
      <x:c r="N149" s="191"/>
      <x:c r="O149" s="191"/>
      <x:c r="P149" s="191"/>
      <x:c r="Q149" s="191"/>
      <x:c r="R149" s="191"/>
      <x:c r="S149" s="191"/>
      <x:c r="T149" s="191"/>
      <x:c r="U149" s="191"/>
      <x:c r="V149" s="191"/>
      <x:c r="W149" s="191"/>
      <x:c r="X149" s="191"/>
      <x:c r="Y149" s="191"/>
      <x:c r="Z149" s="191"/>
      <x:c r="AA149" s="191"/>
      <x:c r="AB149" s="191"/>
      <x:c r="AC149" s="191"/>
      <x:c r="AD149" s="191"/>
      <x:c r="AE149" s="191"/>
      <x:c r="AF149" s="191"/>
      <x:c r="AG149" s="191"/>
      <x:c r="AH149" s="191"/>
      <x:c r="AI149" s="191"/>
      <x:c r="AJ149" s="191"/>
      <x:c r="AK149" s="191"/>
    </x:row>
    <x:row r="150">
      <x:c r="A150" s="191"/>
      <x:c r="B150" s="191"/>
      <x:c r="C150" s="191"/>
      <x:c r="D150" s="191"/>
      <x:c r="E150" s="191"/>
      <x:c r="F150" s="191"/>
      <x:c r="G150" s="191"/>
      <x:c r="H150" s="191"/>
      <x:c r="I150" s="191"/>
      <x:c r="J150" s="191"/>
      <x:c r="K150" s="191"/>
      <x:c r="L150" s="191"/>
      <x:c r="M150" s="191"/>
      <x:c r="N150" s="191"/>
      <x:c r="O150" s="191"/>
      <x:c r="P150" s="191"/>
      <x:c r="Q150" s="191"/>
      <x:c r="R150" s="191"/>
      <x:c r="S150" s="191"/>
      <x:c r="T150" s="191"/>
      <x:c r="U150" s="191"/>
      <x:c r="V150" s="191"/>
      <x:c r="W150" s="191"/>
      <x:c r="X150" s="191"/>
      <x:c r="Y150" s="191"/>
      <x:c r="Z150" s="191"/>
      <x:c r="AA150" s="191"/>
      <x:c r="AB150" s="191"/>
      <x:c r="AC150" s="191"/>
      <x:c r="AD150" s="191"/>
      <x:c r="AE150" s="191"/>
      <x:c r="AF150" s="191"/>
      <x:c r="AG150" s="191"/>
      <x:c r="AH150" s="191"/>
      <x:c r="AI150" s="191"/>
      <x:c r="AJ150" s="191"/>
      <x:c r="AK150" s="191"/>
    </x:row>
    <x:row r="151">
      <x:c r="A151" s="191"/>
      <x:c r="B151" s="191"/>
      <x:c r="C151" s="191"/>
      <x:c r="D151" s="191"/>
      <x:c r="E151" s="191"/>
      <x:c r="F151" s="191"/>
      <x:c r="G151" s="191"/>
      <x:c r="H151" s="191"/>
      <x:c r="I151" s="191"/>
      <x:c r="J151" s="191"/>
      <x:c r="K151" s="191"/>
      <x:c r="L151" s="191"/>
      <x:c r="M151" s="191"/>
      <x:c r="N151" s="191"/>
      <x:c r="O151" s="191"/>
      <x:c r="P151" s="191"/>
      <x:c r="Q151" s="191"/>
      <x:c r="R151" s="191"/>
      <x:c r="S151" s="191"/>
      <x:c r="T151" s="191"/>
      <x:c r="U151" s="191"/>
      <x:c r="V151" s="191"/>
      <x:c r="W151" s="191"/>
      <x:c r="X151" s="191"/>
      <x:c r="Y151" s="191"/>
      <x:c r="Z151" s="191"/>
      <x:c r="AA151" s="191"/>
      <x:c r="AB151" s="191"/>
      <x:c r="AC151" s="191"/>
      <x:c r="AD151" s="191"/>
      <x:c r="AE151" s="191"/>
      <x:c r="AF151" s="191"/>
      <x:c r="AG151" s="191"/>
      <x:c r="AH151" s="191"/>
      <x:c r="AI151" s="191"/>
      <x:c r="AJ151" s="191"/>
      <x:c r="AK151" s="191"/>
    </x:row>
    <x:row r="152">
      <x:c r="A152" s="191"/>
      <x:c r="B152" s="191"/>
      <x:c r="C152" s="191"/>
      <x:c r="D152" s="191"/>
      <x:c r="E152" s="191"/>
      <x:c r="F152" s="191"/>
      <x:c r="G152" s="191"/>
      <x:c r="H152" s="191"/>
      <x:c r="I152" s="191"/>
      <x:c r="J152" s="191"/>
      <x:c r="K152" s="191"/>
      <x:c r="L152" s="191"/>
      <x:c r="M152" s="191"/>
      <x:c r="N152" s="191"/>
      <x:c r="O152" s="191"/>
      <x:c r="P152" s="191"/>
      <x:c r="Q152" s="191"/>
      <x:c r="R152" s="191"/>
      <x:c r="S152" s="191"/>
      <x:c r="T152" s="191"/>
      <x:c r="U152" s="191"/>
      <x:c r="V152" s="191"/>
      <x:c r="W152" s="191"/>
      <x:c r="X152" s="191"/>
      <x:c r="Y152" s="191"/>
      <x:c r="Z152" s="191"/>
      <x:c r="AA152" s="191"/>
      <x:c r="AB152" s="191"/>
      <x:c r="AC152" s="191"/>
      <x:c r="AD152" s="191"/>
      <x:c r="AE152" s="191"/>
      <x:c r="AF152" s="191"/>
      <x:c r="AG152" s="191"/>
      <x:c r="AH152" s="191"/>
      <x:c r="AI152" s="191"/>
      <x:c r="AJ152" s="191"/>
      <x:c r="AK152" s="191"/>
    </x:row>
    <x:row r="153">
      <x:c r="A153" s="191"/>
      <x:c r="B153" s="191"/>
      <x:c r="C153" s="191"/>
      <x:c r="D153" s="191"/>
      <x:c r="E153" s="191"/>
      <x:c r="F153" s="191"/>
      <x:c r="G153" s="191"/>
      <x:c r="H153" s="191"/>
      <x:c r="I153" s="191"/>
      <x:c r="J153" s="191"/>
      <x:c r="K153" s="191"/>
      <x:c r="L153" s="191"/>
      <x:c r="M153" s="191"/>
      <x:c r="N153" s="191"/>
      <x:c r="O153" s="191"/>
      <x:c r="P153" s="191"/>
      <x:c r="Q153" s="191"/>
      <x:c r="R153" s="191"/>
      <x:c r="S153" s="191"/>
      <x:c r="T153" s="191"/>
      <x:c r="U153" s="191"/>
      <x:c r="V153" s="191"/>
      <x:c r="W153" s="191"/>
      <x:c r="X153" s="191"/>
      <x:c r="Y153" s="191"/>
      <x:c r="Z153" s="191"/>
      <x:c r="AA153" s="191"/>
      <x:c r="AB153" s="191"/>
      <x:c r="AC153" s="191"/>
      <x:c r="AD153" s="191"/>
      <x:c r="AE153" s="191"/>
      <x:c r="AF153" s="191"/>
      <x:c r="AG153" s="191"/>
      <x:c r="AH153" s="191"/>
      <x:c r="AI153" s="191"/>
      <x:c r="AJ153" s="191"/>
      <x:c r="AK153" s="191"/>
    </x:row>
    <x:row r="154">
      <x:c r="A154" s="191"/>
      <x:c r="B154" s="191"/>
      <x:c r="C154" s="191"/>
      <x:c r="D154" s="191"/>
      <x:c r="E154" s="191"/>
      <x:c r="F154" s="191"/>
      <x:c r="G154" s="191"/>
      <x:c r="H154" s="191"/>
      <x:c r="I154" s="191"/>
      <x:c r="J154" s="191"/>
      <x:c r="K154" s="191"/>
      <x:c r="L154" s="191"/>
      <x:c r="M154" s="191"/>
      <x:c r="N154" s="191"/>
      <x:c r="O154" s="191"/>
      <x:c r="P154" s="191"/>
      <x:c r="Q154" s="191"/>
      <x:c r="R154" s="191"/>
      <x:c r="S154" s="191"/>
      <x:c r="T154" s="191"/>
      <x:c r="U154" s="191"/>
      <x:c r="V154" s="191"/>
      <x:c r="W154" s="191"/>
      <x:c r="X154" s="191"/>
      <x:c r="Y154" s="191"/>
      <x:c r="Z154" s="191"/>
      <x:c r="AA154" s="191"/>
      <x:c r="AB154" s="191"/>
      <x:c r="AC154" s="191"/>
      <x:c r="AD154" s="191"/>
      <x:c r="AE154" s="191"/>
      <x:c r="AF154" s="191"/>
      <x:c r="AG154" s="191"/>
      <x:c r="AH154" s="191"/>
      <x:c r="AI154" s="191"/>
      <x:c r="AJ154" s="191"/>
      <x:c r="AK154" s="191"/>
    </x:row>
    <x:row r="155">
      <x:c r="A155" s="191"/>
      <x:c r="B155" s="191"/>
      <x:c r="C155" s="191"/>
      <x:c r="D155" s="191"/>
      <x:c r="E155" s="191"/>
      <x:c r="F155" s="191"/>
      <x:c r="G155" s="191"/>
      <x:c r="H155" s="191"/>
      <x:c r="I155" s="191"/>
      <x:c r="J155" s="191"/>
      <x:c r="K155" s="191"/>
      <x:c r="L155" s="191"/>
      <x:c r="M155" s="191"/>
      <x:c r="N155" s="191"/>
      <x:c r="O155" s="191"/>
      <x:c r="P155" s="191"/>
      <x:c r="Q155" s="191"/>
      <x:c r="R155" s="191"/>
      <x:c r="S155" s="191"/>
      <x:c r="T155" s="191"/>
      <x:c r="U155" s="191"/>
      <x:c r="V155" s="191"/>
      <x:c r="W155" s="191"/>
      <x:c r="X155" s="191"/>
      <x:c r="Y155" s="191"/>
      <x:c r="Z155" s="191"/>
      <x:c r="AA155" s="191"/>
      <x:c r="AB155" s="191"/>
      <x:c r="AC155" s="191"/>
      <x:c r="AD155" s="191"/>
      <x:c r="AE155" s="191"/>
      <x:c r="AF155" s="191"/>
      <x:c r="AG155" s="191"/>
      <x:c r="AH155" s="191"/>
      <x:c r="AI155" s="191"/>
      <x:c r="AJ155" s="191"/>
      <x:c r="AK155" s="191"/>
    </x:row>
    <x:row r="156">
      <x:c r="A156" s="191"/>
      <x:c r="B156" s="191"/>
      <x:c r="C156" s="191"/>
      <x:c r="D156" s="191"/>
      <x:c r="E156" s="191"/>
      <x:c r="F156" s="191"/>
      <x:c r="G156" s="191"/>
      <x:c r="H156" s="191"/>
      <x:c r="I156" s="191"/>
      <x:c r="J156" s="191"/>
      <x:c r="K156" s="191"/>
      <x:c r="L156" s="191"/>
      <x:c r="M156" s="191"/>
      <x:c r="N156" s="191"/>
      <x:c r="O156" s="191"/>
      <x:c r="P156" s="191"/>
      <x:c r="Q156" s="191"/>
      <x:c r="R156" s="191"/>
      <x:c r="S156" s="191"/>
      <x:c r="T156" s="191"/>
      <x:c r="U156" s="191"/>
      <x:c r="V156" s="191"/>
      <x:c r="W156" s="191"/>
      <x:c r="X156" s="191"/>
      <x:c r="Y156" s="191"/>
      <x:c r="Z156" s="191"/>
      <x:c r="AA156" s="191"/>
      <x:c r="AB156" s="191"/>
      <x:c r="AC156" s="191"/>
      <x:c r="AD156" s="191"/>
      <x:c r="AE156" s="191"/>
      <x:c r="AF156" s="191"/>
      <x:c r="AG156" s="191"/>
      <x:c r="AH156" s="191"/>
      <x:c r="AI156" s="191"/>
      <x:c r="AJ156" s="191"/>
      <x:c r="AK156" s="191"/>
    </x:row>
    <x:row r="157">
      <x:c r="A157" s="191"/>
      <x:c r="B157" s="191"/>
      <x:c r="C157" s="191"/>
      <x:c r="D157" s="191"/>
      <x:c r="E157" s="191"/>
      <x:c r="F157" s="191"/>
      <x:c r="G157" s="191"/>
      <x:c r="H157" s="191"/>
      <x:c r="I157" s="191"/>
      <x:c r="J157" s="191"/>
      <x:c r="K157" s="191"/>
      <x:c r="L157" s="191"/>
      <x:c r="M157" s="191"/>
      <x:c r="N157" s="191"/>
      <x:c r="O157" s="191"/>
      <x:c r="P157" s="191"/>
      <x:c r="Q157" s="191"/>
      <x:c r="R157" s="191"/>
      <x:c r="S157" s="191"/>
      <x:c r="T157" s="191"/>
      <x:c r="U157" s="191"/>
      <x:c r="V157" s="191"/>
      <x:c r="W157" s="191"/>
      <x:c r="X157" s="191"/>
      <x:c r="Y157" s="191"/>
      <x:c r="Z157" s="191"/>
      <x:c r="AA157" s="191"/>
      <x:c r="AB157" s="191"/>
      <x:c r="AC157" s="191"/>
      <x:c r="AD157" s="191"/>
      <x:c r="AE157" s="191"/>
      <x:c r="AF157" s="191"/>
      <x:c r="AG157" s="191"/>
      <x:c r="AH157" s="191"/>
      <x:c r="AI157" s="191"/>
      <x:c r="AJ157" s="191"/>
      <x:c r="AK157" s="191"/>
    </x:row>
    <x:row r="158">
      <x:c r="A158" s="191"/>
      <x:c r="B158" s="191"/>
      <x:c r="C158" s="191"/>
      <x:c r="D158" s="191"/>
      <x:c r="E158" s="191"/>
      <x:c r="F158" s="191"/>
      <x:c r="G158" s="191"/>
      <x:c r="H158" s="191"/>
      <x:c r="I158" s="191"/>
      <x:c r="J158" s="191"/>
      <x:c r="K158" s="191"/>
      <x:c r="L158" s="191"/>
      <x:c r="M158" s="191"/>
      <x:c r="N158" s="191"/>
      <x:c r="O158" s="191"/>
      <x:c r="P158" s="191"/>
      <x:c r="Q158" s="191"/>
      <x:c r="R158" s="191"/>
      <x:c r="S158" s="191"/>
      <x:c r="T158" s="191"/>
      <x:c r="U158" s="191"/>
      <x:c r="V158" s="191"/>
      <x:c r="W158" s="191"/>
      <x:c r="X158" s="191"/>
      <x:c r="Y158" s="191"/>
      <x:c r="Z158" s="191"/>
      <x:c r="AA158" s="191"/>
      <x:c r="AB158" s="191"/>
      <x:c r="AC158" s="191"/>
      <x:c r="AD158" s="191"/>
      <x:c r="AE158" s="191"/>
      <x:c r="AF158" s="191"/>
      <x:c r="AG158" s="191"/>
      <x:c r="AH158" s="191"/>
      <x:c r="AI158" s="191"/>
      <x:c r="AJ158" s="191"/>
      <x:c r="AK158" s="191"/>
    </x:row>
    <x:row r="159">
      <x:c r="A159" s="191"/>
      <x:c r="B159" s="191"/>
      <x:c r="C159" s="191"/>
      <x:c r="D159" s="191"/>
      <x:c r="E159" s="191"/>
      <x:c r="F159" s="191"/>
      <x:c r="G159" s="191"/>
      <x:c r="H159" s="191"/>
      <x:c r="I159" s="191"/>
      <x:c r="J159" s="191"/>
      <x:c r="K159" s="191"/>
      <x:c r="L159" s="191"/>
      <x:c r="M159" s="191"/>
      <x:c r="N159" s="191"/>
      <x:c r="O159" s="191"/>
      <x:c r="P159" s="191"/>
      <x:c r="Q159" s="191"/>
      <x:c r="R159" s="191"/>
      <x:c r="S159" s="191"/>
      <x:c r="T159" s="191"/>
      <x:c r="U159" s="191"/>
      <x:c r="V159" s="191"/>
      <x:c r="W159" s="191"/>
      <x:c r="X159" s="191"/>
      <x:c r="Y159" s="191"/>
      <x:c r="Z159" s="191"/>
      <x:c r="AA159" s="191"/>
      <x:c r="AB159" s="191"/>
      <x:c r="AC159" s="191"/>
      <x:c r="AD159" s="191"/>
      <x:c r="AE159" s="191"/>
      <x:c r="AF159" s="191"/>
      <x:c r="AG159" s="191"/>
      <x:c r="AH159" s="191"/>
      <x:c r="AI159" s="191"/>
      <x:c r="AJ159" s="191"/>
      <x:c r="AK159" s="191"/>
    </x:row>
    <x:row r="160">
      <x:c r="A160" s="191"/>
      <x:c r="B160" s="191"/>
      <x:c r="C160" s="191"/>
      <x:c r="D160" s="191"/>
      <x:c r="E160" s="191"/>
      <x:c r="F160" s="191"/>
      <x:c r="G160" s="191"/>
      <x:c r="H160" s="191"/>
      <x:c r="I160" s="191"/>
      <x:c r="J160" s="191"/>
      <x:c r="K160" s="191"/>
      <x:c r="L160" s="191"/>
      <x:c r="M160" s="191"/>
      <x:c r="N160" s="191"/>
      <x:c r="O160" s="191"/>
      <x:c r="P160" s="191"/>
      <x:c r="Q160" s="191"/>
      <x:c r="R160" s="191"/>
      <x:c r="S160" s="191"/>
      <x:c r="T160" s="191"/>
      <x:c r="U160" s="191"/>
      <x:c r="V160" s="191"/>
      <x:c r="W160" s="191"/>
      <x:c r="X160" s="191"/>
      <x:c r="Y160" s="191"/>
      <x:c r="Z160" s="191"/>
      <x:c r="AA160" s="191"/>
      <x:c r="AB160" s="191"/>
      <x:c r="AC160" s="191"/>
      <x:c r="AD160" s="191"/>
      <x:c r="AE160" s="191"/>
      <x:c r="AF160" s="191"/>
      <x:c r="AG160" s="191"/>
      <x:c r="AH160" s="191"/>
      <x:c r="AI160" s="191"/>
      <x:c r="AJ160" s="191"/>
      <x:c r="AK160" s="191"/>
    </x:row>
    <x:row r="161">
      <x:c r="A161" s="191"/>
      <x:c r="B161" s="191"/>
      <x:c r="C161" s="191"/>
      <x:c r="D161" s="191"/>
      <x:c r="E161" s="191"/>
      <x:c r="F161" s="191"/>
      <x:c r="G161" s="191"/>
      <x:c r="H161" s="191"/>
      <x:c r="I161" s="191"/>
      <x:c r="J161" s="191"/>
      <x:c r="K161" s="191"/>
      <x:c r="L161" s="191"/>
      <x:c r="M161" s="191"/>
      <x:c r="N161" s="191"/>
      <x:c r="O161" s="191"/>
      <x:c r="P161" s="191"/>
      <x:c r="Q161" s="191"/>
      <x:c r="R161" s="191"/>
      <x:c r="S161" s="191"/>
      <x:c r="T161" s="191"/>
      <x:c r="U161" s="191"/>
      <x:c r="V161" s="191"/>
      <x:c r="W161" s="191"/>
      <x:c r="X161" s="191"/>
      <x:c r="Y161" s="191"/>
      <x:c r="Z161" s="191"/>
      <x:c r="AA161" s="191"/>
      <x:c r="AB161" s="191"/>
      <x:c r="AC161" s="191"/>
      <x:c r="AD161" s="191"/>
      <x:c r="AE161" s="191"/>
      <x:c r="AF161" s="191"/>
      <x:c r="AG161" s="191"/>
      <x:c r="AH161" s="191"/>
      <x:c r="AI161" s="191"/>
      <x:c r="AJ161" s="191"/>
      <x:c r="AK161" s="191"/>
    </x:row>
    <x:row r="162">
      <x:c r="A162" s="191"/>
      <x:c r="B162" s="191"/>
      <x:c r="C162" s="191"/>
      <x:c r="D162" s="191"/>
      <x:c r="E162" s="191"/>
      <x:c r="F162" s="191"/>
      <x:c r="G162" s="191"/>
      <x:c r="H162" s="191"/>
      <x:c r="I162" s="191"/>
      <x:c r="J162" s="191"/>
      <x:c r="K162" s="191"/>
      <x:c r="L162" s="191"/>
      <x:c r="M162" s="191"/>
      <x:c r="N162" s="191"/>
      <x:c r="O162" s="191"/>
      <x:c r="P162" s="191"/>
      <x:c r="Q162" s="191"/>
      <x:c r="R162" s="191"/>
      <x:c r="S162" s="191"/>
      <x:c r="T162" s="191"/>
      <x:c r="U162" s="191"/>
      <x:c r="V162" s="191"/>
      <x:c r="W162" s="191"/>
      <x:c r="X162" s="191"/>
      <x:c r="Y162" s="191"/>
      <x:c r="Z162" s="191"/>
      <x:c r="AA162" s="191"/>
      <x:c r="AB162" s="191"/>
      <x:c r="AC162" s="191"/>
      <x:c r="AD162" s="191"/>
      <x:c r="AE162" s="191"/>
      <x:c r="AF162" s="191"/>
      <x:c r="AG162" s="191"/>
      <x:c r="AH162" s="191"/>
      <x:c r="AI162" s="191"/>
      <x:c r="AJ162" s="191"/>
      <x:c r="AK162" s="191"/>
    </x:row>
    <x:row r="163">
      <x:c r="A163" s="191"/>
      <x:c r="B163" s="191"/>
      <x:c r="C163" s="191"/>
      <x:c r="D163" s="191"/>
      <x:c r="E163" s="191"/>
      <x:c r="F163" s="191"/>
      <x:c r="G163" s="191"/>
      <x:c r="H163" s="191"/>
      <x:c r="I163" s="191"/>
      <x:c r="J163" s="191"/>
      <x:c r="K163" s="191"/>
      <x:c r="L163" s="191"/>
      <x:c r="M163" s="191"/>
      <x:c r="N163" s="191"/>
      <x:c r="O163" s="191"/>
      <x:c r="P163" s="191"/>
      <x:c r="Q163" s="191"/>
      <x:c r="R163" s="191"/>
      <x:c r="S163" s="191"/>
      <x:c r="T163" s="191"/>
      <x:c r="U163" s="191"/>
      <x:c r="V163" s="191"/>
      <x:c r="W163" s="191"/>
      <x:c r="X163" s="191"/>
      <x:c r="Y163" s="191"/>
      <x:c r="Z163" s="191"/>
      <x:c r="AA163" s="191"/>
      <x:c r="AB163" s="191"/>
      <x:c r="AC163" s="191"/>
      <x:c r="AD163" s="191"/>
      <x:c r="AE163" s="191"/>
      <x:c r="AF163" s="191"/>
      <x:c r="AG163" s="191"/>
      <x:c r="AH163" s="191"/>
      <x:c r="AI163" s="191"/>
      <x:c r="AJ163" s="191"/>
      <x:c r="AK163" s="191"/>
    </x:row>
    <x:row r="164">
      <x:c r="A164" s="191"/>
      <x:c r="B164" s="191"/>
      <x:c r="C164" s="191"/>
      <x:c r="D164" s="191"/>
      <x:c r="E164" s="191"/>
      <x:c r="F164" s="191"/>
      <x:c r="G164" s="191"/>
      <x:c r="H164" s="191"/>
      <x:c r="I164" s="191"/>
      <x:c r="J164" s="191"/>
      <x:c r="K164" s="191"/>
      <x:c r="L164" s="191"/>
      <x:c r="M164" s="191"/>
      <x:c r="N164" s="191"/>
      <x:c r="O164" s="191"/>
      <x:c r="P164" s="191"/>
      <x:c r="Q164" s="191"/>
      <x:c r="R164" s="191"/>
      <x:c r="S164" s="191"/>
      <x:c r="T164" s="191"/>
      <x:c r="U164" s="191"/>
      <x:c r="V164" s="191"/>
      <x:c r="W164" s="191"/>
      <x:c r="X164" s="191"/>
      <x:c r="Y164" s="191"/>
      <x:c r="Z164" s="191"/>
      <x:c r="AA164" s="191"/>
      <x:c r="AB164" s="191"/>
      <x:c r="AC164" s="191"/>
      <x:c r="AD164" s="191"/>
      <x:c r="AE164" s="191"/>
      <x:c r="AF164" s="191"/>
      <x:c r="AG164" s="191"/>
      <x:c r="AH164" s="191"/>
      <x:c r="AI164" s="191"/>
      <x:c r="AJ164" s="191"/>
      <x:c r="AK164" s="191"/>
    </x:row>
    <x:row r="165">
      <x:c r="A165" s="191"/>
      <x:c r="B165" s="191"/>
      <x:c r="C165" s="191"/>
      <x:c r="D165" s="191"/>
      <x:c r="E165" s="191"/>
      <x:c r="F165" s="191"/>
      <x:c r="G165" s="191"/>
      <x:c r="H165" s="191"/>
      <x:c r="I165" s="191"/>
      <x:c r="J165" s="191"/>
      <x:c r="K165" s="191"/>
      <x:c r="L165" s="191"/>
      <x:c r="M165" s="191"/>
      <x:c r="N165" s="191"/>
      <x:c r="O165" s="191"/>
      <x:c r="P165" s="191"/>
      <x:c r="Q165" s="191"/>
      <x:c r="R165" s="191"/>
      <x:c r="S165" s="191"/>
      <x:c r="T165" s="191"/>
      <x:c r="U165" s="191"/>
      <x:c r="V165" s="191"/>
      <x:c r="W165" s="191"/>
      <x:c r="X165" s="191"/>
      <x:c r="Y165" s="191"/>
      <x:c r="Z165" s="191"/>
      <x:c r="AA165" s="191"/>
      <x:c r="AB165" s="191"/>
      <x:c r="AC165" s="191"/>
      <x:c r="AD165" s="191"/>
      <x:c r="AE165" s="191"/>
      <x:c r="AF165" s="191"/>
      <x:c r="AG165" s="191"/>
      <x:c r="AH165" s="191"/>
      <x:c r="AI165" s="191"/>
      <x:c r="AJ165" s="191"/>
      <x:c r="AK165" s="191"/>
    </x:row>
    <x:row r="166">
      <x:c r="A166" s="191"/>
      <x:c r="B166" s="191"/>
      <x:c r="C166" s="191"/>
      <x:c r="D166" s="191"/>
      <x:c r="E166" s="191"/>
      <x:c r="F166" s="191"/>
      <x:c r="G166" s="191"/>
      <x:c r="H166" s="191"/>
      <x:c r="I166" s="191"/>
      <x:c r="J166" s="191"/>
      <x:c r="K166" s="191"/>
      <x:c r="L166" s="191"/>
      <x:c r="M166" s="191"/>
      <x:c r="N166" s="191"/>
      <x:c r="O166" s="191"/>
      <x:c r="P166" s="191"/>
      <x:c r="Q166" s="191"/>
      <x:c r="R166" s="191"/>
      <x:c r="S166" s="191"/>
      <x:c r="T166" s="191"/>
      <x:c r="U166" s="191"/>
      <x:c r="V166" s="191"/>
      <x:c r="W166" s="191"/>
      <x:c r="X166" s="191"/>
      <x:c r="Y166" s="191"/>
      <x:c r="Z166" s="191"/>
      <x:c r="AA166" s="191"/>
      <x:c r="AB166" s="191"/>
      <x:c r="AC166" s="191"/>
      <x:c r="AD166" s="191"/>
      <x:c r="AE166" s="191"/>
      <x:c r="AF166" s="191"/>
      <x:c r="AG166" s="191"/>
      <x:c r="AH166" s="191"/>
      <x:c r="AI166" s="191"/>
      <x:c r="AJ166" s="191"/>
      <x:c r="AK166" s="191"/>
    </x:row>
    <x:row r="167">
      <x:c r="A167" s="191"/>
      <x:c r="B167" s="191"/>
      <x:c r="C167" s="191"/>
      <x:c r="D167" s="191"/>
      <x:c r="E167" s="191"/>
      <x:c r="F167" s="191"/>
      <x:c r="G167" s="191"/>
      <x:c r="H167" s="191"/>
      <x:c r="I167" s="191"/>
      <x:c r="J167" s="191"/>
      <x:c r="K167" s="191"/>
      <x:c r="L167" s="191"/>
      <x:c r="M167" s="191"/>
      <x:c r="N167" s="191"/>
      <x:c r="O167" s="191"/>
      <x:c r="P167" s="191"/>
      <x:c r="Q167" s="191"/>
      <x:c r="R167" s="191"/>
      <x:c r="S167" s="191"/>
      <x:c r="T167" s="191"/>
      <x:c r="U167" s="191"/>
      <x:c r="V167" s="191"/>
      <x:c r="W167" s="191"/>
      <x:c r="X167" s="191"/>
      <x:c r="Y167" s="191"/>
      <x:c r="Z167" s="191"/>
      <x:c r="AA167" s="191"/>
      <x:c r="AB167" s="191"/>
      <x:c r="AC167" s="191"/>
      <x:c r="AD167" s="191"/>
      <x:c r="AE167" s="191"/>
      <x:c r="AF167" s="191"/>
      <x:c r="AG167" s="191"/>
      <x:c r="AH167" s="191"/>
      <x:c r="AI167" s="191"/>
      <x:c r="AJ167" s="191"/>
      <x:c r="AK167" s="191"/>
    </x:row>
    <x:row r="168">
      <x:c r="A168" s="191"/>
      <x:c r="B168" s="191"/>
      <x:c r="C168" s="191"/>
      <x:c r="D168" s="191"/>
      <x:c r="E168" s="191"/>
      <x:c r="F168" s="191"/>
      <x:c r="G168" s="191"/>
      <x:c r="H168" s="191"/>
      <x:c r="I168" s="191"/>
      <x:c r="J168" s="191"/>
      <x:c r="K168" s="191"/>
      <x:c r="L168" s="191"/>
      <x:c r="M168" s="191"/>
      <x:c r="N168" s="191"/>
      <x:c r="O168" s="191"/>
      <x:c r="P168" s="191"/>
      <x:c r="Q168" s="191"/>
      <x:c r="R168" s="191"/>
      <x:c r="S168" s="191"/>
      <x:c r="T168" s="191"/>
      <x:c r="U168" s="191"/>
      <x:c r="V168" s="191"/>
      <x:c r="W168" s="191"/>
      <x:c r="X168" s="191"/>
      <x:c r="Y168" s="191"/>
      <x:c r="Z168" s="191"/>
      <x:c r="AA168" s="191"/>
      <x:c r="AB168" s="191"/>
      <x:c r="AC168" s="191"/>
      <x:c r="AD168" s="191"/>
      <x:c r="AE168" s="191"/>
      <x:c r="AF168" s="191"/>
      <x:c r="AG168" s="191"/>
      <x:c r="AH168" s="191"/>
      <x:c r="AI168" s="191"/>
      <x:c r="AJ168" s="191"/>
      <x:c r="AK168" s="191"/>
    </x:row>
    <x:row r="169">
      <x:c r="A169" s="191"/>
      <x:c r="B169" s="191"/>
      <x:c r="C169" s="191"/>
      <x:c r="D169" s="191"/>
      <x:c r="E169" s="191"/>
      <x:c r="F169" s="191"/>
      <x:c r="G169" s="191"/>
      <x:c r="H169" s="191"/>
      <x:c r="I169" s="191"/>
      <x:c r="J169" s="191"/>
      <x:c r="K169" s="191"/>
      <x:c r="L169" s="191"/>
      <x:c r="M169" s="191"/>
      <x:c r="N169" s="191"/>
      <x:c r="O169" s="191"/>
      <x:c r="P169" s="191"/>
      <x:c r="Q169" s="191"/>
      <x:c r="R169" s="191"/>
      <x:c r="S169" s="191"/>
      <x:c r="T169" s="191"/>
      <x:c r="U169" s="191"/>
      <x:c r="V169" s="191"/>
      <x:c r="W169" s="191"/>
      <x:c r="X169" s="191"/>
      <x:c r="Y169" s="191"/>
      <x:c r="Z169" s="191"/>
      <x:c r="AA169" s="191"/>
      <x:c r="AB169" s="191"/>
      <x:c r="AC169" s="191"/>
      <x:c r="AD169" s="191"/>
      <x:c r="AE169" s="191"/>
      <x:c r="AF169" s="191"/>
      <x:c r="AG169" s="191"/>
      <x:c r="AH169" s="191"/>
      <x:c r="AI169" s="191"/>
      <x:c r="AJ169" s="191"/>
      <x:c r="AK169" s="191"/>
    </x:row>
    <x:row r="170">
      <x:c r="A170" s="191"/>
      <x:c r="B170" s="191"/>
      <x:c r="C170" s="191"/>
      <x:c r="D170" s="191"/>
      <x:c r="E170" s="191"/>
      <x:c r="F170" s="191"/>
      <x:c r="G170" s="191"/>
      <x:c r="H170" s="191"/>
      <x:c r="I170" s="191"/>
      <x:c r="J170" s="191"/>
      <x:c r="K170" s="191"/>
      <x:c r="L170" s="191"/>
      <x:c r="M170" s="191"/>
      <x:c r="N170" s="191"/>
      <x:c r="O170" s="191"/>
      <x:c r="P170" s="191"/>
      <x:c r="Q170" s="191"/>
      <x:c r="R170" s="191"/>
      <x:c r="S170" s="191"/>
      <x:c r="T170" s="191"/>
      <x:c r="U170" s="191"/>
      <x:c r="V170" s="191"/>
      <x:c r="W170" s="191"/>
      <x:c r="X170" s="191"/>
      <x:c r="Y170" s="191"/>
      <x:c r="Z170" s="191"/>
      <x:c r="AA170" s="191"/>
      <x:c r="AB170" s="191"/>
      <x:c r="AC170" s="191"/>
      <x:c r="AD170" s="191"/>
      <x:c r="AE170" s="191"/>
      <x:c r="AF170" s="191"/>
      <x:c r="AG170" s="191"/>
      <x:c r="AH170" s="191"/>
      <x:c r="AI170" s="191"/>
      <x:c r="AJ170" s="191"/>
      <x:c r="AK170" s="191"/>
    </x:row>
    <x:row r="171">
      <x:c r="A171" s="191"/>
      <x:c r="B171" s="191"/>
      <x:c r="C171" s="191"/>
      <x:c r="D171" s="191"/>
      <x:c r="E171" s="191"/>
      <x:c r="F171" s="191"/>
      <x:c r="G171" s="191"/>
      <x:c r="H171" s="191"/>
      <x:c r="I171" s="191"/>
      <x:c r="J171" s="191"/>
      <x:c r="K171" s="191"/>
      <x:c r="L171" s="191"/>
      <x:c r="M171" s="191"/>
      <x:c r="N171" s="191"/>
      <x:c r="O171" s="191"/>
      <x:c r="P171" s="191"/>
      <x:c r="Q171" s="191"/>
      <x:c r="R171" s="191"/>
      <x:c r="S171" s="191"/>
      <x:c r="T171" s="191"/>
      <x:c r="U171" s="191"/>
      <x:c r="V171" s="191"/>
      <x:c r="W171" s="191"/>
      <x:c r="X171" s="191"/>
      <x:c r="Y171" s="191"/>
      <x:c r="Z171" s="191"/>
      <x:c r="AA171" s="191"/>
      <x:c r="AB171" s="191"/>
      <x:c r="AC171" s="191"/>
      <x:c r="AD171" s="191"/>
      <x:c r="AE171" s="191"/>
      <x:c r="AF171" s="191"/>
      <x:c r="AG171" s="191"/>
      <x:c r="AH171" s="191"/>
      <x:c r="AI171" s="191"/>
      <x:c r="AJ171" s="191"/>
      <x:c r="AK171" s="191"/>
    </x:row>
    <x:row r="172">
      <x:c r="A172" s="191"/>
      <x:c r="B172" s="191"/>
      <x:c r="C172" s="191"/>
      <x:c r="D172" s="191"/>
      <x:c r="E172" s="191"/>
      <x:c r="F172" s="191"/>
      <x:c r="G172" s="191"/>
      <x:c r="H172" s="191"/>
      <x:c r="I172" s="191"/>
      <x:c r="J172" s="191"/>
      <x:c r="K172" s="191"/>
      <x:c r="L172" s="191"/>
      <x:c r="M172" s="191"/>
      <x:c r="N172" s="191"/>
      <x:c r="O172" s="191"/>
      <x:c r="P172" s="191"/>
      <x:c r="Q172" s="191"/>
      <x:c r="R172" s="191"/>
      <x:c r="S172" s="191"/>
      <x:c r="T172" s="191"/>
      <x:c r="U172" s="191"/>
      <x:c r="V172" s="191"/>
      <x:c r="W172" s="191"/>
      <x:c r="X172" s="191"/>
      <x:c r="Y172" s="191"/>
      <x:c r="Z172" s="191"/>
      <x:c r="AA172" s="191"/>
      <x:c r="AB172" s="191"/>
      <x:c r="AC172" s="191"/>
      <x:c r="AD172" s="191"/>
      <x:c r="AE172" s="191"/>
      <x:c r="AF172" s="191"/>
      <x:c r="AG172" s="191"/>
      <x:c r="AH172" s="191"/>
      <x:c r="AI172" s="191"/>
      <x:c r="AJ172" s="191"/>
      <x:c r="AK172" s="191"/>
    </x:row>
    <x:row r="173">
      <x:c r="A173" s="191"/>
      <x:c r="B173" s="191"/>
      <x:c r="C173" s="191"/>
      <x:c r="D173" s="191"/>
      <x:c r="E173" s="191"/>
      <x:c r="F173" s="191"/>
      <x:c r="G173" s="191"/>
      <x:c r="H173" s="191"/>
      <x:c r="I173" s="191"/>
      <x:c r="J173" s="191"/>
      <x:c r="K173" s="191"/>
      <x:c r="L173" s="191"/>
      <x:c r="M173" s="191"/>
      <x:c r="N173" s="191"/>
      <x:c r="O173" s="191"/>
      <x:c r="P173" s="191"/>
      <x:c r="Q173" s="191"/>
      <x:c r="R173" s="191"/>
      <x:c r="S173" s="191"/>
      <x:c r="T173" s="191"/>
      <x:c r="U173" s="191"/>
      <x:c r="V173" s="191"/>
      <x:c r="W173" s="191"/>
      <x:c r="X173" s="191"/>
      <x:c r="Y173" s="191"/>
      <x:c r="Z173" s="191"/>
      <x:c r="AA173" s="191"/>
      <x:c r="AB173" s="191"/>
      <x:c r="AC173" s="191"/>
      <x:c r="AD173" s="191"/>
      <x:c r="AE173" s="191"/>
      <x:c r="AF173" s="191"/>
      <x:c r="AG173" s="191"/>
      <x:c r="AH173" s="191"/>
      <x:c r="AI173" s="191"/>
      <x:c r="AJ173" s="191"/>
      <x:c r="AK173" s="191"/>
    </x:row>
    <x:row r="174">
      <x:c r="A174" s="191"/>
      <x:c r="B174" s="191"/>
      <x:c r="C174" s="191"/>
      <x:c r="D174" s="191"/>
      <x:c r="E174" s="191"/>
      <x:c r="F174" s="191"/>
      <x:c r="G174" s="191"/>
      <x:c r="H174" s="191"/>
      <x:c r="I174" s="191"/>
      <x:c r="J174" s="191"/>
      <x:c r="K174" s="191"/>
      <x:c r="L174" s="191"/>
      <x:c r="M174" s="191"/>
      <x:c r="N174" s="191"/>
      <x:c r="O174" s="191"/>
      <x:c r="P174" s="191"/>
      <x:c r="Q174" s="191"/>
      <x:c r="R174" s="191"/>
      <x:c r="S174" s="191"/>
      <x:c r="T174" s="191"/>
      <x:c r="U174" s="191"/>
      <x:c r="V174" s="191"/>
      <x:c r="W174" s="191"/>
      <x:c r="X174" s="191"/>
      <x:c r="Y174" s="191"/>
      <x:c r="Z174" s="191"/>
      <x:c r="AA174" s="191"/>
      <x:c r="AB174" s="191"/>
      <x:c r="AC174" s="191"/>
      <x:c r="AD174" s="191"/>
      <x:c r="AE174" s="191"/>
      <x:c r="AF174" s="191"/>
      <x:c r="AG174" s="191"/>
      <x:c r="AH174" s="191"/>
      <x:c r="AI174" s="191"/>
      <x:c r="AJ174" s="191"/>
      <x:c r="AK174" s="191"/>
    </x:row>
    <x:row r="175">
      <x:c r="A175" s="191"/>
      <x:c r="B175" s="191"/>
      <x:c r="C175" s="191"/>
      <x:c r="D175" s="191"/>
      <x:c r="E175" s="191"/>
      <x:c r="F175" s="191"/>
      <x:c r="G175" s="191"/>
      <x:c r="H175" s="191"/>
      <x:c r="I175" s="191"/>
      <x:c r="J175" s="191"/>
      <x:c r="K175" s="191"/>
      <x:c r="L175" s="191"/>
      <x:c r="M175" s="191"/>
      <x:c r="N175" s="191"/>
      <x:c r="O175" s="191"/>
      <x:c r="P175" s="191"/>
      <x:c r="Q175" s="191"/>
      <x:c r="R175" s="191"/>
      <x:c r="S175" s="191"/>
      <x:c r="T175" s="191"/>
      <x:c r="U175" s="191"/>
      <x:c r="V175" s="191"/>
      <x:c r="W175" s="191"/>
      <x:c r="X175" s="191"/>
      <x:c r="Y175" s="191"/>
      <x:c r="Z175" s="191"/>
      <x:c r="AA175" s="191"/>
      <x:c r="AB175" s="191"/>
      <x:c r="AC175" s="191"/>
      <x:c r="AD175" s="191"/>
      <x:c r="AE175" s="191"/>
      <x:c r="AF175" s="191"/>
      <x:c r="AG175" s="191"/>
      <x:c r="AH175" s="191"/>
      <x:c r="AI175" s="191"/>
      <x:c r="AJ175" s="191"/>
      <x:c r="AK175" s="191"/>
    </x:row>
    <x:row r="176">
      <x:c r="A176" s="191"/>
      <x:c r="B176" s="191"/>
      <x:c r="C176" s="191"/>
      <x:c r="D176" s="191"/>
      <x:c r="E176" s="191"/>
      <x:c r="F176" s="191"/>
      <x:c r="G176" s="191"/>
      <x:c r="H176" s="191"/>
      <x:c r="I176" s="191"/>
      <x:c r="J176" s="191"/>
      <x:c r="K176" s="191"/>
      <x:c r="L176" s="191"/>
      <x:c r="M176" s="191"/>
      <x:c r="N176" s="191"/>
      <x:c r="O176" s="191"/>
      <x:c r="P176" s="191"/>
      <x:c r="Q176" s="191"/>
      <x:c r="R176" s="191"/>
      <x:c r="S176" s="191"/>
      <x:c r="T176" s="191"/>
      <x:c r="U176" s="191"/>
      <x:c r="V176" s="191"/>
      <x:c r="W176" s="191"/>
      <x:c r="X176" s="191"/>
      <x:c r="Y176" s="191"/>
      <x:c r="Z176" s="191"/>
      <x:c r="AA176" s="191"/>
      <x:c r="AB176" s="191"/>
      <x:c r="AC176" s="191"/>
      <x:c r="AD176" s="191"/>
      <x:c r="AE176" s="191"/>
      <x:c r="AF176" s="191"/>
      <x:c r="AG176" s="191"/>
      <x:c r="AH176" s="191"/>
      <x:c r="AI176" s="191"/>
      <x:c r="AJ176" s="191"/>
      <x:c r="AK176" s="191"/>
    </x:row>
    <x:row r="177">
      <x:c r="A177" s="191"/>
      <x:c r="B177" s="191"/>
      <x:c r="C177" s="191"/>
      <x:c r="D177" s="191"/>
      <x:c r="E177" s="191"/>
      <x:c r="F177" s="191"/>
      <x:c r="G177" s="191"/>
      <x:c r="H177" s="191"/>
      <x:c r="I177" s="191"/>
      <x:c r="J177" s="191"/>
      <x:c r="K177" s="191"/>
      <x:c r="L177" s="191"/>
      <x:c r="M177" s="191"/>
      <x:c r="N177" s="191"/>
      <x:c r="O177" s="191"/>
      <x:c r="P177" s="191"/>
      <x:c r="Q177" s="191"/>
      <x:c r="R177" s="191"/>
      <x:c r="S177" s="191"/>
      <x:c r="T177" s="191"/>
      <x:c r="U177" s="191"/>
      <x:c r="V177" s="191"/>
      <x:c r="W177" s="191"/>
      <x:c r="X177" s="191"/>
      <x:c r="Y177" s="191"/>
      <x:c r="Z177" s="191"/>
      <x:c r="AA177" s="191"/>
      <x:c r="AB177" s="191"/>
      <x:c r="AC177" s="191"/>
      <x:c r="AD177" s="191"/>
      <x:c r="AE177" s="191"/>
      <x:c r="AF177" s="191"/>
      <x:c r="AG177" s="191"/>
      <x:c r="AH177" s="191"/>
      <x:c r="AI177" s="191"/>
      <x:c r="AJ177" s="191"/>
      <x:c r="AK177" s="191"/>
    </x:row>
    <x:row r="178">
      <x:c r="A178" s="191"/>
      <x:c r="B178" s="191"/>
      <x:c r="C178" s="191"/>
      <x:c r="D178" s="191"/>
      <x:c r="E178" s="191"/>
      <x:c r="F178" s="191"/>
      <x:c r="G178" s="191"/>
      <x:c r="H178" s="191"/>
      <x:c r="I178" s="191"/>
      <x:c r="J178" s="191"/>
      <x:c r="K178" s="191"/>
      <x:c r="L178" s="191"/>
      <x:c r="M178" s="191"/>
      <x:c r="N178" s="191"/>
      <x:c r="O178" s="191"/>
      <x:c r="P178" s="191"/>
      <x:c r="Q178" s="191"/>
      <x:c r="R178" s="191"/>
      <x:c r="S178" s="191"/>
      <x:c r="T178" s="191"/>
      <x:c r="U178" s="191"/>
      <x:c r="V178" s="191"/>
      <x:c r="W178" s="191"/>
      <x:c r="X178" s="191"/>
      <x:c r="Y178" s="191"/>
      <x:c r="Z178" s="191"/>
      <x:c r="AA178" s="191"/>
      <x:c r="AB178" s="191"/>
      <x:c r="AC178" s="191"/>
      <x:c r="AD178" s="191"/>
      <x:c r="AE178" s="191"/>
      <x:c r="AF178" s="191"/>
      <x:c r="AG178" s="191"/>
      <x:c r="AH178" s="191"/>
      <x:c r="AI178" s="191"/>
      <x:c r="AJ178" s="191"/>
      <x:c r="AK178" s="191"/>
    </x:row>
    <x:row r="179">
      <x:c r="A179" s="191"/>
      <x:c r="B179" s="191"/>
      <x:c r="C179" s="191"/>
      <x:c r="D179" s="191"/>
      <x:c r="E179" s="191"/>
      <x:c r="F179" s="191"/>
      <x:c r="G179" s="191"/>
      <x:c r="H179" s="191"/>
      <x:c r="I179" s="191"/>
      <x:c r="J179" s="191"/>
      <x:c r="K179" s="191"/>
      <x:c r="L179" s="191"/>
      <x:c r="M179" s="191"/>
      <x:c r="N179" s="191"/>
      <x:c r="O179" s="191"/>
      <x:c r="P179" s="191"/>
      <x:c r="Q179" s="191"/>
      <x:c r="R179" s="191"/>
      <x:c r="S179" s="191"/>
      <x:c r="T179" s="191"/>
      <x:c r="U179" s="191"/>
      <x:c r="V179" s="191"/>
      <x:c r="W179" s="191"/>
      <x:c r="X179" s="191"/>
      <x:c r="Y179" s="191"/>
      <x:c r="Z179" s="191"/>
      <x:c r="AA179" s="191"/>
      <x:c r="AB179" s="191"/>
      <x:c r="AC179" s="191"/>
      <x:c r="AD179" s="191"/>
      <x:c r="AE179" s="191"/>
      <x:c r="AF179" s="191"/>
      <x:c r="AG179" s="191"/>
      <x:c r="AH179" s="191"/>
      <x:c r="AI179" s="191"/>
      <x:c r="AJ179" s="191"/>
      <x:c r="AK179" s="191"/>
    </x:row>
    <x:row r="180">
      <x:c r="A180" s="191"/>
      <x:c r="B180" s="191"/>
      <x:c r="C180" s="191"/>
      <x:c r="D180" s="191"/>
      <x:c r="E180" s="191"/>
      <x:c r="F180" s="191"/>
      <x:c r="G180" s="191"/>
      <x:c r="H180" s="191"/>
      <x:c r="I180" s="191"/>
      <x:c r="J180" s="191"/>
      <x:c r="K180" s="191"/>
      <x:c r="L180" s="191"/>
      <x:c r="M180" s="191"/>
      <x:c r="N180" s="191"/>
      <x:c r="O180" s="191"/>
      <x:c r="P180" s="191"/>
      <x:c r="Q180" s="191"/>
      <x:c r="R180" s="191"/>
      <x:c r="S180" s="191"/>
      <x:c r="T180" s="191"/>
      <x:c r="U180" s="191"/>
      <x:c r="V180" s="191"/>
      <x:c r="W180" s="191"/>
      <x:c r="X180" s="191"/>
      <x:c r="Y180" s="191"/>
      <x:c r="Z180" s="191"/>
      <x:c r="AA180" s="191"/>
      <x:c r="AB180" s="191"/>
      <x:c r="AC180" s="191"/>
      <x:c r="AD180" s="191"/>
      <x:c r="AE180" s="191"/>
      <x:c r="AF180" s="191"/>
      <x:c r="AG180" s="191"/>
      <x:c r="AH180" s="191"/>
      <x:c r="AI180" s="191"/>
      <x:c r="AJ180" s="191"/>
      <x:c r="AK180" s="191"/>
    </x:row>
    <x:row r="181">
      <x:c r="A181" s="191"/>
      <x:c r="B181" s="191"/>
      <x:c r="C181" s="191"/>
      <x:c r="D181" s="191"/>
      <x:c r="E181" s="191"/>
      <x:c r="F181" s="191"/>
      <x:c r="G181" s="191"/>
      <x:c r="H181" s="191"/>
      <x:c r="I181" s="191"/>
      <x:c r="J181" s="191"/>
      <x:c r="K181" s="191"/>
      <x:c r="L181" s="191"/>
      <x:c r="M181" s="191"/>
      <x:c r="N181" s="191"/>
      <x:c r="O181" s="191"/>
      <x:c r="P181" s="191"/>
      <x:c r="Q181" s="191"/>
      <x:c r="R181" s="191"/>
      <x:c r="S181" s="191"/>
      <x:c r="T181" s="191"/>
      <x:c r="U181" s="191"/>
      <x:c r="V181" s="191"/>
      <x:c r="W181" s="191"/>
      <x:c r="X181" s="191"/>
      <x:c r="Y181" s="191"/>
      <x:c r="Z181" s="191"/>
      <x:c r="AA181" s="191"/>
      <x:c r="AB181" s="191"/>
      <x:c r="AC181" s="191"/>
      <x:c r="AD181" s="191"/>
      <x:c r="AE181" s="191"/>
      <x:c r="AF181" s="191"/>
      <x:c r="AG181" s="191"/>
      <x:c r="AH181" s="191"/>
      <x:c r="AI181" s="191"/>
      <x:c r="AJ181" s="191"/>
      <x:c r="AK181" s="191"/>
    </x:row>
    <x:row r="182">
      <x:c r="A182" s="191"/>
      <x:c r="B182" s="191"/>
      <x:c r="C182" s="191"/>
      <x:c r="D182" s="191"/>
      <x:c r="E182" s="191"/>
      <x:c r="F182" s="191"/>
      <x:c r="G182" s="191"/>
      <x:c r="H182" s="191"/>
      <x:c r="I182" s="191"/>
      <x:c r="J182" s="191"/>
      <x:c r="K182" s="191"/>
      <x:c r="L182" s="191"/>
      <x:c r="M182" s="191"/>
      <x:c r="N182" s="191"/>
      <x:c r="O182" s="191"/>
      <x:c r="P182" s="191"/>
      <x:c r="Q182" s="191"/>
      <x:c r="R182" s="191"/>
      <x:c r="S182" s="191"/>
      <x:c r="T182" s="191"/>
      <x:c r="U182" s="191"/>
      <x:c r="V182" s="191"/>
      <x:c r="W182" s="191"/>
      <x:c r="X182" s="191"/>
      <x:c r="Y182" s="191"/>
      <x:c r="Z182" s="191"/>
      <x:c r="AA182" s="191"/>
      <x:c r="AB182" s="191"/>
      <x:c r="AC182" s="191"/>
      <x:c r="AD182" s="191"/>
      <x:c r="AE182" s="191"/>
      <x:c r="AF182" s="191"/>
      <x:c r="AG182" s="191"/>
      <x:c r="AH182" s="191"/>
      <x:c r="AI182" s="191"/>
      <x:c r="AJ182" s="191"/>
      <x:c r="AK182" s="191"/>
    </x:row>
    <x:row r="183">
      <x:c r="A183" s="191"/>
      <x:c r="B183" s="191"/>
      <x:c r="C183" s="191"/>
      <x:c r="D183" s="191"/>
      <x:c r="E183" s="191"/>
      <x:c r="F183" s="191"/>
      <x:c r="G183" s="191"/>
      <x:c r="H183" s="191"/>
      <x:c r="I183" s="191"/>
      <x:c r="J183" s="191"/>
      <x:c r="K183" s="191"/>
      <x:c r="L183" s="191"/>
      <x:c r="M183" s="191"/>
      <x:c r="N183" s="191"/>
      <x:c r="O183" s="191"/>
      <x:c r="P183" s="191"/>
      <x:c r="Q183" s="191"/>
      <x:c r="R183" s="191"/>
      <x:c r="S183" s="191"/>
      <x:c r="T183" s="191"/>
      <x:c r="U183" s="191"/>
      <x:c r="V183" s="191"/>
      <x:c r="W183" s="191"/>
      <x:c r="X183" s="191"/>
      <x:c r="Y183" s="191"/>
      <x:c r="Z183" s="191"/>
      <x:c r="AA183" s="191"/>
      <x:c r="AB183" s="191"/>
      <x:c r="AC183" s="191"/>
      <x:c r="AD183" s="191"/>
      <x:c r="AE183" s="191"/>
      <x:c r="AF183" s="191"/>
      <x:c r="AG183" s="191"/>
      <x:c r="AH183" s="191"/>
      <x:c r="AI183" s="191"/>
      <x:c r="AJ183" s="191"/>
      <x:c r="AK183" s="191"/>
    </x:row>
    <x:row r="184">
      <x:c r="A184" s="191"/>
      <x:c r="B184" s="191"/>
      <x:c r="C184" s="191"/>
      <x:c r="D184" s="191"/>
      <x:c r="E184" s="191"/>
      <x:c r="F184" s="191"/>
      <x:c r="G184" s="191"/>
      <x:c r="H184" s="191"/>
      <x:c r="I184" s="191"/>
      <x:c r="J184" s="191"/>
      <x:c r="K184" s="191"/>
      <x:c r="L184" s="191"/>
      <x:c r="M184" s="191"/>
      <x:c r="N184" s="191"/>
      <x:c r="O184" s="191"/>
      <x:c r="P184" s="191"/>
      <x:c r="Q184" s="191"/>
      <x:c r="R184" s="191"/>
      <x:c r="S184" s="191"/>
      <x:c r="T184" s="191"/>
      <x:c r="U184" s="191"/>
      <x:c r="V184" s="191"/>
      <x:c r="W184" s="191"/>
      <x:c r="X184" s="191"/>
      <x:c r="Y184" s="191"/>
      <x:c r="Z184" s="191"/>
      <x:c r="AA184" s="191"/>
      <x:c r="AB184" s="191"/>
      <x:c r="AC184" s="191"/>
      <x:c r="AD184" s="191"/>
      <x:c r="AE184" s="191"/>
      <x:c r="AF184" s="191"/>
      <x:c r="AG184" s="191"/>
      <x:c r="AH184" s="191"/>
      <x:c r="AI184" s="191"/>
      <x:c r="AJ184" s="191"/>
      <x:c r="AK184" s="191"/>
    </x:row>
    <x:row r="185">
      <x:c r="A185" s="191"/>
      <x:c r="B185" s="191"/>
      <x:c r="C185" s="191"/>
      <x:c r="D185" s="191"/>
      <x:c r="E185" s="191"/>
      <x:c r="F185" s="191"/>
      <x:c r="G185" s="191"/>
      <x:c r="H185" s="191"/>
      <x:c r="I185" s="191"/>
      <x:c r="J185" s="191"/>
      <x:c r="K185" s="191"/>
      <x:c r="L185" s="191"/>
      <x:c r="M185" s="191"/>
      <x:c r="N185" s="191"/>
      <x:c r="O185" s="191"/>
      <x:c r="P185" s="191"/>
      <x:c r="Q185" s="191"/>
      <x:c r="R185" s="191"/>
      <x:c r="S185" s="191"/>
      <x:c r="T185" s="191"/>
      <x:c r="U185" s="191"/>
      <x:c r="V185" s="191"/>
      <x:c r="W185" s="191"/>
      <x:c r="X185" s="191"/>
      <x:c r="Y185" s="191"/>
      <x:c r="Z185" s="191"/>
      <x:c r="AA185" s="191"/>
      <x:c r="AB185" s="191"/>
      <x:c r="AC185" s="191"/>
      <x:c r="AD185" s="191"/>
      <x:c r="AE185" s="191"/>
      <x:c r="AF185" s="191"/>
      <x:c r="AG185" s="191"/>
      <x:c r="AH185" s="191"/>
      <x:c r="AI185" s="191"/>
      <x:c r="AJ185" s="191"/>
      <x:c r="AK185" s="191"/>
    </x:row>
    <x:row r="186">
      <x:c r="A186" s="191"/>
      <x:c r="B186" s="191"/>
      <x:c r="C186" s="191"/>
      <x:c r="D186" s="191"/>
      <x:c r="E186" s="191"/>
      <x:c r="F186" s="191"/>
      <x:c r="G186" s="191"/>
      <x:c r="H186" s="191"/>
      <x:c r="I186" s="191"/>
      <x:c r="J186" s="191"/>
      <x:c r="K186" s="191"/>
      <x:c r="L186" s="191"/>
      <x:c r="M186" s="191"/>
      <x:c r="N186" s="191"/>
      <x:c r="O186" s="191"/>
      <x:c r="P186" s="191"/>
      <x:c r="Q186" s="191"/>
      <x:c r="R186" s="191"/>
      <x:c r="S186" s="191"/>
      <x:c r="T186" s="191"/>
      <x:c r="U186" s="191"/>
      <x:c r="V186" s="191"/>
      <x:c r="W186" s="191"/>
      <x:c r="X186" s="191"/>
      <x:c r="Y186" s="191"/>
      <x:c r="Z186" s="191"/>
      <x:c r="AA186" s="191"/>
      <x:c r="AB186" s="191"/>
      <x:c r="AC186" s="191"/>
      <x:c r="AD186" s="191"/>
      <x:c r="AE186" s="191"/>
      <x:c r="AF186" s="191"/>
      <x:c r="AG186" s="191"/>
      <x:c r="AH186" s="191"/>
      <x:c r="AI186" s="191"/>
      <x:c r="AJ186" s="191"/>
      <x:c r="AK186" s="191"/>
    </x:row>
    <x:row r="187">
      <x:c r="A187" s="191"/>
      <x:c r="B187" s="191"/>
      <x:c r="C187" s="191"/>
      <x:c r="D187" s="191"/>
      <x:c r="E187" s="191"/>
      <x:c r="F187" s="191"/>
      <x:c r="G187" s="191"/>
      <x:c r="H187" s="191"/>
      <x:c r="I187" s="191"/>
      <x:c r="J187" s="191"/>
      <x:c r="K187" s="191"/>
      <x:c r="L187" s="191"/>
      <x:c r="M187" s="191"/>
      <x:c r="N187" s="191"/>
      <x:c r="O187" s="191"/>
      <x:c r="P187" s="191"/>
      <x:c r="Q187" s="191"/>
      <x:c r="R187" s="191"/>
      <x:c r="S187" s="191"/>
      <x:c r="T187" s="191"/>
      <x:c r="U187" s="191"/>
      <x:c r="V187" s="191"/>
      <x:c r="W187" s="191"/>
      <x:c r="X187" s="191"/>
      <x:c r="Y187" s="191"/>
      <x:c r="Z187" s="191"/>
      <x:c r="AA187" s="191"/>
      <x:c r="AB187" s="191"/>
      <x:c r="AC187" s="191"/>
      <x:c r="AD187" s="191"/>
      <x:c r="AE187" s="191"/>
      <x:c r="AF187" s="191"/>
      <x:c r="AG187" s="191"/>
      <x:c r="AH187" s="191"/>
      <x:c r="AI187" s="191"/>
      <x:c r="AJ187" s="191"/>
      <x:c r="AK187" s="191"/>
    </x:row>
    <x:row r="188">
      <x:c r="A188" s="191"/>
      <x:c r="B188" s="191"/>
      <x:c r="C188" s="191"/>
      <x:c r="D188" s="191"/>
      <x:c r="E188" s="191"/>
      <x:c r="F188" s="191"/>
      <x:c r="G188" s="191"/>
      <x:c r="H188" s="191"/>
      <x:c r="I188" s="191"/>
      <x:c r="J188" s="191"/>
      <x:c r="K188" s="191"/>
      <x:c r="L188" s="191"/>
      <x:c r="M188" s="191"/>
      <x:c r="N188" s="191"/>
      <x:c r="O188" s="191"/>
      <x:c r="P188" s="191"/>
      <x:c r="Q188" s="191"/>
      <x:c r="R188" s="191"/>
      <x:c r="S188" s="191"/>
      <x:c r="T188" s="191"/>
      <x:c r="U188" s="191"/>
      <x:c r="V188" s="191"/>
      <x:c r="W188" s="191"/>
      <x:c r="X188" s="191"/>
      <x:c r="Y188" s="191"/>
      <x:c r="Z188" s="191"/>
      <x:c r="AA188" s="191"/>
      <x:c r="AB188" s="191"/>
      <x:c r="AC188" s="191"/>
      <x:c r="AD188" s="191"/>
      <x:c r="AE188" s="191"/>
      <x:c r="AF188" s="191"/>
      <x:c r="AG188" s="191"/>
      <x:c r="AH188" s="191"/>
      <x:c r="AI188" s="191"/>
      <x:c r="AJ188" s="191"/>
      <x:c r="AK188" s="191"/>
    </x:row>
    <x:row r="189">
      <x:c r="A189" s="191"/>
      <x:c r="B189" s="191"/>
      <x:c r="C189" s="191"/>
      <x:c r="D189" s="191"/>
      <x:c r="E189" s="191"/>
      <x:c r="F189" s="191"/>
      <x:c r="G189" s="191"/>
      <x:c r="H189" s="191"/>
      <x:c r="I189" s="191"/>
      <x:c r="J189" s="191"/>
      <x:c r="K189" s="191"/>
      <x:c r="L189" s="191"/>
      <x:c r="M189" s="191"/>
      <x:c r="N189" s="191"/>
      <x:c r="O189" s="191"/>
      <x:c r="P189" s="191"/>
      <x:c r="Q189" s="191"/>
      <x:c r="R189" s="191"/>
      <x:c r="S189" s="191"/>
      <x:c r="T189" s="191"/>
      <x:c r="U189" s="191"/>
      <x:c r="V189" s="191"/>
      <x:c r="W189" s="191"/>
      <x:c r="X189" s="191"/>
      <x:c r="Y189" s="191"/>
      <x:c r="Z189" s="191"/>
      <x:c r="AA189" s="191"/>
      <x:c r="AB189" s="191"/>
      <x:c r="AC189" s="191"/>
      <x:c r="AD189" s="191"/>
      <x:c r="AE189" s="191"/>
      <x:c r="AF189" s="191"/>
      <x:c r="AG189" s="191"/>
      <x:c r="AH189" s="191"/>
      <x:c r="AI189" s="191"/>
      <x:c r="AJ189" s="191"/>
      <x:c r="AK189" s="191"/>
    </x:row>
    <x:row r="190">
      <x:c r="A190" s="191"/>
      <x:c r="B190" s="191"/>
      <x:c r="C190" s="191"/>
      <x:c r="D190" s="191"/>
      <x:c r="E190" s="191"/>
      <x:c r="F190" s="191"/>
      <x:c r="G190" s="191"/>
      <x:c r="H190" s="191"/>
      <x:c r="I190" s="191"/>
      <x:c r="J190" s="191"/>
      <x:c r="K190" s="191"/>
      <x:c r="L190" s="191"/>
      <x:c r="M190" s="191"/>
      <x:c r="N190" s="191"/>
      <x:c r="O190" s="191"/>
      <x:c r="P190" s="191"/>
      <x:c r="Q190" s="191"/>
      <x:c r="R190" s="191"/>
      <x:c r="S190" s="191"/>
      <x:c r="T190" s="191"/>
      <x:c r="U190" s="191"/>
      <x:c r="V190" s="191"/>
      <x:c r="W190" s="191"/>
      <x:c r="X190" s="191"/>
      <x:c r="Y190" s="191"/>
      <x:c r="Z190" s="191"/>
      <x:c r="AA190" s="191"/>
      <x:c r="AB190" s="191"/>
      <x:c r="AC190" s="191"/>
      <x:c r="AD190" s="191"/>
      <x:c r="AE190" s="191"/>
      <x:c r="AF190" s="191"/>
      <x:c r="AG190" s="191"/>
      <x:c r="AH190" s="191"/>
      <x:c r="AI190" s="191"/>
      <x:c r="AJ190" s="191"/>
      <x:c r="AK190" s="191"/>
    </x:row>
    <x:row r="191">
      <x:c r="A191" s="191"/>
      <x:c r="B191" s="191"/>
      <x:c r="C191" s="191"/>
      <x:c r="D191" s="191"/>
      <x:c r="E191" s="191"/>
      <x:c r="F191" s="191"/>
      <x:c r="G191" s="191"/>
      <x:c r="H191" s="191"/>
      <x:c r="I191" s="191"/>
      <x:c r="J191" s="191"/>
      <x:c r="K191" s="191"/>
      <x:c r="L191" s="191"/>
      <x:c r="M191" s="191"/>
      <x:c r="N191" s="191"/>
      <x:c r="O191" s="191"/>
      <x:c r="P191" s="191"/>
      <x:c r="Q191" s="191"/>
      <x:c r="R191" s="191"/>
      <x:c r="S191" s="191"/>
      <x:c r="T191" s="191"/>
      <x:c r="U191" s="191"/>
      <x:c r="V191" s="191"/>
      <x:c r="W191" s="191"/>
      <x:c r="X191" s="191"/>
      <x:c r="Y191" s="191"/>
      <x:c r="Z191" s="191"/>
      <x:c r="AA191" s="191"/>
      <x:c r="AB191" s="191"/>
      <x:c r="AC191" s="191"/>
      <x:c r="AD191" s="191"/>
      <x:c r="AE191" s="191"/>
      <x:c r="AF191" s="191"/>
      <x:c r="AG191" s="191"/>
      <x:c r="AH191" s="191"/>
      <x:c r="AI191" s="191"/>
      <x:c r="AJ191" s="191"/>
      <x:c r="AK191" s="191"/>
    </x:row>
    <x:row r="192">
      <x:c r="A192" s="191"/>
      <x:c r="B192" s="191"/>
      <x:c r="C192" s="191"/>
      <x:c r="D192" s="191"/>
      <x:c r="E192" s="191"/>
      <x:c r="F192" s="191"/>
      <x:c r="G192" s="191"/>
      <x:c r="H192" s="191"/>
      <x:c r="I192" s="191"/>
      <x:c r="J192" s="191"/>
      <x:c r="K192" s="191"/>
      <x:c r="L192" s="191"/>
      <x:c r="M192" s="191"/>
      <x:c r="N192" s="191"/>
      <x:c r="O192" s="191"/>
      <x:c r="P192" s="191"/>
      <x:c r="Q192" s="191"/>
      <x:c r="R192" s="191"/>
      <x:c r="S192" s="191"/>
      <x:c r="T192" s="191"/>
      <x:c r="U192" s="191"/>
      <x:c r="V192" s="191"/>
      <x:c r="W192" s="191"/>
      <x:c r="X192" s="191"/>
      <x:c r="Y192" s="191"/>
      <x:c r="Z192" s="191"/>
      <x:c r="AA192" s="191"/>
      <x:c r="AB192" s="191"/>
      <x:c r="AC192" s="191"/>
      <x:c r="AD192" s="191"/>
      <x:c r="AE192" s="191"/>
      <x:c r="AF192" s="191"/>
      <x:c r="AG192" s="191"/>
      <x:c r="AH192" s="191"/>
      <x:c r="AI192" s="191"/>
      <x:c r="AJ192" s="191"/>
      <x:c r="AK192" s="191"/>
    </x:row>
    <x:row r="193">
      <x:c r="A193" s="191"/>
      <x:c r="B193" s="191"/>
      <x:c r="C193" s="191"/>
      <x:c r="D193" s="191"/>
      <x:c r="E193" s="191"/>
      <x:c r="F193" s="191"/>
      <x:c r="G193" s="191"/>
      <x:c r="H193" s="191"/>
      <x:c r="I193" s="191"/>
      <x:c r="J193" s="191"/>
      <x:c r="K193" s="191"/>
      <x:c r="L193" s="191"/>
      <x:c r="M193" s="191"/>
      <x:c r="N193" s="191"/>
      <x:c r="O193" s="191"/>
      <x:c r="P193" s="191"/>
      <x:c r="Q193" s="191"/>
      <x:c r="R193" s="191"/>
      <x:c r="S193" s="191"/>
      <x:c r="T193" s="191"/>
      <x:c r="U193" s="191"/>
      <x:c r="V193" s="191"/>
      <x:c r="W193" s="191"/>
      <x:c r="X193" s="191"/>
      <x:c r="Y193" s="191"/>
      <x:c r="Z193" s="191"/>
      <x:c r="AA193" s="191"/>
      <x:c r="AB193" s="191"/>
      <x:c r="AC193" s="191"/>
      <x:c r="AD193" s="191"/>
      <x:c r="AE193" s="191"/>
      <x:c r="AF193" s="191"/>
      <x:c r="AG193" s="191"/>
      <x:c r="AH193" s="191"/>
      <x:c r="AI193" s="191"/>
      <x:c r="AJ193" s="191"/>
      <x:c r="AK193" s="191"/>
    </x:row>
    <x:row r="194">
      <x:c r="A194" s="191"/>
      <x:c r="B194" s="191"/>
      <x:c r="C194" s="191"/>
      <x:c r="D194" s="191"/>
      <x:c r="E194" s="191"/>
      <x:c r="F194" s="191"/>
      <x:c r="G194" s="191"/>
      <x:c r="H194" s="191"/>
      <x:c r="I194" s="191"/>
      <x:c r="J194" s="191"/>
      <x:c r="K194" s="191"/>
      <x:c r="L194" s="191"/>
      <x:c r="M194" s="191"/>
      <x:c r="N194" s="191"/>
      <x:c r="O194" s="191"/>
      <x:c r="P194" s="191"/>
      <x:c r="Q194" s="191"/>
      <x:c r="R194" s="191"/>
      <x:c r="S194" s="191"/>
      <x:c r="T194" s="191"/>
      <x:c r="U194" s="191"/>
      <x:c r="V194" s="191"/>
      <x:c r="W194" s="191"/>
      <x:c r="X194" s="191"/>
      <x:c r="Y194" s="191"/>
      <x:c r="Z194" s="191"/>
      <x:c r="AA194" s="191"/>
      <x:c r="AB194" s="191"/>
      <x:c r="AC194" s="191"/>
      <x:c r="AD194" s="191"/>
      <x:c r="AE194" s="191"/>
      <x:c r="AF194" s="191"/>
      <x:c r="AG194" s="191"/>
      <x:c r="AH194" s="191"/>
      <x:c r="AI194" s="191"/>
      <x:c r="AJ194" s="191"/>
      <x:c r="AK194" s="191"/>
    </x:row>
    <x:row r="195">
      <x:c r="A195" s="191"/>
      <x:c r="B195" s="191"/>
      <x:c r="C195" s="191"/>
      <x:c r="D195" s="191"/>
      <x:c r="E195" s="191"/>
      <x:c r="F195" s="191"/>
      <x:c r="G195" s="191"/>
      <x:c r="H195" s="191"/>
      <x:c r="I195" s="191"/>
      <x:c r="J195" s="191"/>
      <x:c r="K195" s="191"/>
      <x:c r="L195" s="191"/>
      <x:c r="M195" s="191"/>
      <x:c r="N195" s="191"/>
      <x:c r="O195" s="191"/>
      <x:c r="P195" s="191"/>
      <x:c r="Q195" s="191"/>
      <x:c r="R195" s="191"/>
      <x:c r="S195" s="191"/>
      <x:c r="T195" s="191"/>
      <x:c r="U195" s="191"/>
      <x:c r="V195" s="191"/>
      <x:c r="W195" s="191"/>
      <x:c r="X195" s="191"/>
      <x:c r="Y195" s="191"/>
      <x:c r="Z195" s="191"/>
      <x:c r="AA195" s="191"/>
      <x:c r="AB195" s="191"/>
      <x:c r="AC195" s="191"/>
      <x:c r="AD195" s="191"/>
      <x:c r="AE195" s="191"/>
      <x:c r="AF195" s="191"/>
      <x:c r="AG195" s="191"/>
      <x:c r="AH195" s="191"/>
      <x:c r="AI195" s="191"/>
      <x:c r="AJ195" s="191"/>
      <x:c r="AK195" s="191"/>
    </x:row>
    <x:row r="196">
      <x:c r="A196" s="191"/>
      <x:c r="B196" s="191"/>
      <x:c r="C196" s="191"/>
      <x:c r="D196" s="191"/>
      <x:c r="E196" s="191"/>
      <x:c r="F196" s="191"/>
      <x:c r="G196" s="191"/>
      <x:c r="H196" s="191"/>
      <x:c r="I196" s="191"/>
      <x:c r="J196" s="191"/>
      <x:c r="K196" s="191"/>
      <x:c r="L196" s="191"/>
      <x:c r="M196" s="191"/>
      <x:c r="N196" s="191"/>
      <x:c r="O196" s="191"/>
      <x:c r="P196" s="191"/>
      <x:c r="Q196" s="191"/>
      <x:c r="R196" s="191"/>
      <x:c r="S196" s="191"/>
      <x:c r="T196" s="191"/>
      <x:c r="U196" s="191"/>
      <x:c r="V196" s="191"/>
      <x:c r="W196" s="191"/>
      <x:c r="X196" s="191"/>
      <x:c r="Y196" s="191"/>
      <x:c r="Z196" s="191"/>
      <x:c r="AA196" s="191"/>
      <x:c r="AB196" s="191"/>
      <x:c r="AC196" s="191"/>
      <x:c r="AD196" s="191"/>
      <x:c r="AE196" s="191"/>
      <x:c r="AF196" s="191"/>
      <x:c r="AG196" s="191"/>
      <x:c r="AH196" s="191"/>
      <x:c r="AI196" s="191"/>
      <x:c r="AJ196" s="191"/>
      <x:c r="AK196" s="191"/>
    </x:row>
    <x:row r="197">
      <x:c r="A197" s="191"/>
      <x:c r="B197" s="191"/>
      <x:c r="C197" s="191"/>
      <x:c r="D197" s="191"/>
      <x:c r="E197" s="191"/>
      <x:c r="F197" s="191"/>
      <x:c r="G197" s="191"/>
      <x:c r="H197" s="191"/>
      <x:c r="I197" s="191"/>
      <x:c r="J197" s="191"/>
      <x:c r="K197" s="191"/>
      <x:c r="L197" s="191"/>
      <x:c r="M197" s="191"/>
      <x:c r="N197" s="191"/>
      <x:c r="O197" s="191"/>
      <x:c r="P197" s="191"/>
      <x:c r="Q197" s="191"/>
      <x:c r="R197" s="191"/>
      <x:c r="S197" s="191"/>
      <x:c r="T197" s="191"/>
      <x:c r="U197" s="191"/>
      <x:c r="V197" s="191"/>
      <x:c r="W197" s="191"/>
      <x:c r="X197" s="191"/>
      <x:c r="Y197" s="191"/>
      <x:c r="Z197" s="191"/>
      <x:c r="AA197" s="191"/>
      <x:c r="AB197" s="191"/>
      <x:c r="AC197" s="191"/>
      <x:c r="AD197" s="191"/>
      <x:c r="AE197" s="191"/>
      <x:c r="AF197" s="191"/>
      <x:c r="AG197" s="191"/>
      <x:c r="AH197" s="191"/>
      <x:c r="AI197" s="191"/>
      <x:c r="AJ197" s="191"/>
      <x:c r="AK197" s="191"/>
    </x:row>
    <x:row r="198">
      <x:c r="A198" s="191"/>
      <x:c r="B198" s="191"/>
      <x:c r="C198" s="191"/>
      <x:c r="D198" s="191"/>
      <x:c r="E198" s="191"/>
      <x:c r="F198" s="191"/>
      <x:c r="G198" s="191"/>
      <x:c r="H198" s="191"/>
      <x:c r="I198" s="191"/>
      <x:c r="J198" s="191"/>
      <x:c r="K198" s="191"/>
      <x:c r="L198" s="191"/>
      <x:c r="M198" s="191"/>
      <x:c r="N198" s="191"/>
      <x:c r="O198" s="191"/>
      <x:c r="P198" s="191"/>
      <x:c r="Q198" s="191"/>
      <x:c r="R198" s="191"/>
      <x:c r="S198" s="191"/>
      <x:c r="T198" s="191"/>
      <x:c r="U198" s="191"/>
      <x:c r="V198" s="191"/>
      <x:c r="W198" s="191"/>
      <x:c r="X198" s="191"/>
      <x:c r="Y198" s="191"/>
      <x:c r="Z198" s="191"/>
      <x:c r="AA198" s="191"/>
      <x:c r="AB198" s="191"/>
      <x:c r="AC198" s="191"/>
      <x:c r="AD198" s="191"/>
      <x:c r="AE198" s="191"/>
      <x:c r="AF198" s="191"/>
      <x:c r="AG198" s="191"/>
      <x:c r="AH198" s="191"/>
      <x:c r="AI198" s="191"/>
      <x:c r="AJ198" s="191"/>
      <x:c r="AK198" s="191"/>
    </x:row>
    <x:row r="199">
      <x:c r="A199" s="191"/>
      <x:c r="B199" s="191"/>
      <x:c r="C199" s="191"/>
      <x:c r="D199" s="191"/>
      <x:c r="E199" s="191"/>
      <x:c r="F199" s="191"/>
      <x:c r="G199" s="191"/>
      <x:c r="H199" s="191"/>
      <x:c r="I199" s="191"/>
      <x:c r="J199" s="191"/>
      <x:c r="K199" s="191"/>
      <x:c r="L199" s="191"/>
      <x:c r="M199" s="191"/>
      <x:c r="N199" s="191"/>
      <x:c r="O199" s="191"/>
      <x:c r="P199" s="191"/>
      <x:c r="Q199" s="191"/>
      <x:c r="R199" s="191"/>
      <x:c r="S199" s="191"/>
      <x:c r="T199" s="191"/>
      <x:c r="U199" s="191"/>
      <x:c r="V199" s="191"/>
      <x:c r="W199" s="191"/>
      <x:c r="X199" s="191"/>
      <x:c r="Y199" s="191"/>
      <x:c r="Z199" s="191"/>
      <x:c r="AA199" s="191"/>
      <x:c r="AB199" s="191"/>
      <x:c r="AC199" s="191"/>
      <x:c r="AD199" s="191"/>
      <x:c r="AE199" s="191"/>
      <x:c r="AF199" s="191"/>
      <x:c r="AG199" s="191"/>
      <x:c r="AH199" s="191"/>
      <x:c r="AI199" s="191"/>
      <x:c r="AJ199" s="191"/>
      <x:c r="AK199" s="191"/>
    </x:row>
    <x:row r="200">
      <x:c r="A200" s="191"/>
      <x:c r="B200" s="191"/>
      <x:c r="C200" s="191"/>
      <x:c r="D200" s="191"/>
      <x:c r="E200" s="191"/>
      <x:c r="F200" s="191"/>
      <x:c r="G200" s="191"/>
      <x:c r="H200" s="191"/>
      <x:c r="I200" s="191"/>
      <x:c r="J200" s="191"/>
      <x:c r="K200" s="191"/>
      <x:c r="L200" s="191"/>
      <x:c r="M200" s="191"/>
      <x:c r="N200" s="191"/>
      <x:c r="O200" s="191"/>
      <x:c r="P200" s="191"/>
      <x:c r="Q200" s="191"/>
      <x:c r="R200" s="191"/>
      <x:c r="S200" s="191"/>
      <x:c r="T200" s="191"/>
      <x:c r="U200" s="191"/>
      <x:c r="V200" s="191"/>
      <x:c r="W200" s="191"/>
      <x:c r="X200" s="191"/>
      <x:c r="Y200" s="191"/>
      <x:c r="Z200" s="191"/>
      <x:c r="AA200" s="191"/>
      <x:c r="AB200" s="191"/>
      <x:c r="AC200" s="191"/>
      <x:c r="AD200" s="191"/>
      <x:c r="AE200" s="191"/>
      <x:c r="AF200" s="191"/>
      <x:c r="AG200" s="191"/>
      <x:c r="AH200" s="191"/>
      <x:c r="AI200" s="191"/>
      <x:c r="AJ200" s="191"/>
      <x:c r="AK200" s="191"/>
    </x:row>
    <x:row r="201">
      <x:c r="A201" s="191"/>
      <x:c r="B201" s="191"/>
      <x:c r="C201" s="191"/>
      <x:c r="D201" s="191"/>
      <x:c r="E201" s="191"/>
      <x:c r="F201" s="191"/>
      <x:c r="G201" s="191"/>
      <x:c r="H201" s="191"/>
      <x:c r="I201" s="191"/>
      <x:c r="J201" s="191"/>
      <x:c r="K201" s="191"/>
      <x:c r="L201" s="191"/>
      <x:c r="M201" s="191"/>
      <x:c r="N201" s="191"/>
      <x:c r="O201" s="191"/>
      <x:c r="P201" s="191"/>
      <x:c r="Q201" s="191"/>
      <x:c r="R201" s="191"/>
      <x:c r="S201" s="191"/>
      <x:c r="T201" s="191"/>
      <x:c r="U201" s="191"/>
      <x:c r="V201" s="191"/>
      <x:c r="W201" s="191"/>
      <x:c r="X201" s="191"/>
      <x:c r="Y201" s="191"/>
      <x:c r="Z201" s="191"/>
      <x:c r="AA201" s="191"/>
      <x:c r="AB201" s="191"/>
      <x:c r="AC201" s="191"/>
      <x:c r="AD201" s="191"/>
      <x:c r="AE201" s="191"/>
      <x:c r="AF201" s="191"/>
      <x:c r="AG201" s="191"/>
      <x:c r="AH201" s="191"/>
      <x:c r="AI201" s="191"/>
      <x:c r="AJ201" s="191"/>
      <x:c r="AK201" s="191"/>
    </x:row>
    <x:row r="202">
      <x:c r="A202" s="191"/>
      <x:c r="B202" s="191"/>
      <x:c r="C202" s="191"/>
      <x:c r="D202" s="191"/>
      <x:c r="E202" s="191"/>
      <x:c r="F202" s="191"/>
      <x:c r="G202" s="191"/>
      <x:c r="H202" s="191"/>
      <x:c r="I202" s="191"/>
      <x:c r="J202" s="191"/>
      <x:c r="K202" s="191"/>
      <x:c r="L202" s="191"/>
      <x:c r="M202" s="191"/>
      <x:c r="N202" s="191"/>
      <x:c r="O202" s="191"/>
      <x:c r="P202" s="191"/>
      <x:c r="Q202" s="191"/>
      <x:c r="R202" s="191"/>
      <x:c r="S202" s="191"/>
      <x:c r="T202" s="191"/>
      <x:c r="U202" s="191"/>
      <x:c r="V202" s="191"/>
      <x:c r="W202" s="191"/>
      <x:c r="X202" s="191"/>
      <x:c r="Y202" s="191"/>
      <x:c r="Z202" s="191"/>
      <x:c r="AA202" s="191"/>
      <x:c r="AB202" s="191"/>
      <x:c r="AC202" s="191"/>
      <x:c r="AD202" s="191"/>
      <x:c r="AE202" s="191"/>
      <x:c r="AF202" s="191"/>
      <x:c r="AG202" s="191"/>
      <x:c r="AH202" s="191"/>
      <x:c r="AI202" s="191"/>
      <x:c r="AJ202" s="191"/>
      <x:c r="AK202" s="191"/>
    </x:row>
    <x:row r="203">
      <x:c r="A203" s="191"/>
      <x:c r="B203" s="191"/>
      <x:c r="C203" s="191"/>
      <x:c r="D203" s="191"/>
      <x:c r="E203" s="191"/>
      <x:c r="F203" s="191"/>
      <x:c r="G203" s="191"/>
      <x:c r="H203" s="191"/>
      <x:c r="I203" s="191"/>
      <x:c r="J203" s="191"/>
      <x:c r="K203" s="191"/>
      <x:c r="L203" s="191"/>
      <x:c r="M203" s="191"/>
      <x:c r="N203" s="191"/>
      <x:c r="O203" s="191"/>
      <x:c r="P203" s="191"/>
      <x:c r="Q203" s="191"/>
      <x:c r="R203" s="191"/>
      <x:c r="S203" s="191"/>
      <x:c r="T203" s="191"/>
      <x:c r="U203" s="191"/>
      <x:c r="V203" s="191"/>
      <x:c r="W203" s="191"/>
      <x:c r="X203" s="191"/>
      <x:c r="Y203" s="191"/>
      <x:c r="Z203" s="191"/>
      <x:c r="AA203" s="191"/>
      <x:c r="AB203" s="191"/>
      <x:c r="AC203" s="191"/>
      <x:c r="AD203" s="191"/>
      <x:c r="AE203" s="191"/>
      <x:c r="AF203" s="191"/>
      <x:c r="AG203" s="191"/>
      <x:c r="AH203" s="191"/>
      <x:c r="AI203" s="191"/>
      <x:c r="AJ203" s="191"/>
      <x:c r="AK203" s="191"/>
    </x:row>
    <x:row r="204">
      <x:c r="A204" s="191"/>
      <x:c r="B204" s="191"/>
      <x:c r="C204" s="191"/>
      <x:c r="D204" s="191"/>
      <x:c r="E204" s="191"/>
      <x:c r="F204" s="191"/>
      <x:c r="G204" s="191"/>
      <x:c r="H204" s="191"/>
      <x:c r="I204" s="191"/>
      <x:c r="J204" s="191"/>
      <x:c r="K204" s="191"/>
      <x:c r="L204" s="191"/>
      <x:c r="M204" s="191"/>
      <x:c r="N204" s="191"/>
      <x:c r="O204" s="191"/>
      <x:c r="P204" s="191"/>
      <x:c r="Q204" s="191"/>
      <x:c r="R204" s="191"/>
      <x:c r="S204" s="191"/>
      <x:c r="T204" s="191"/>
      <x:c r="U204" s="191"/>
      <x:c r="V204" s="191"/>
      <x:c r="W204" s="191"/>
      <x:c r="X204" s="191"/>
      <x:c r="Y204" s="191"/>
      <x:c r="Z204" s="191"/>
      <x:c r="AA204" s="191"/>
      <x:c r="AB204" s="191"/>
      <x:c r="AC204" s="191"/>
      <x:c r="AD204" s="191"/>
      <x:c r="AE204" s="191"/>
      <x:c r="AF204" s="191"/>
      <x:c r="AG204" s="191"/>
      <x:c r="AH204" s="191"/>
      <x:c r="AI204" s="191"/>
      <x:c r="AJ204" s="191"/>
      <x:c r="AK204" s="191"/>
    </x:row>
    <x:row r="205">
      <x:c r="A205" s="191"/>
      <x:c r="B205" s="191"/>
      <x:c r="C205" s="191"/>
      <x:c r="D205" s="191"/>
      <x:c r="E205" s="191"/>
      <x:c r="F205" s="191"/>
      <x:c r="G205" s="191"/>
      <x:c r="H205" s="191"/>
      <x:c r="I205" s="191"/>
      <x:c r="J205" s="191"/>
      <x:c r="K205" s="191"/>
      <x:c r="L205" s="191"/>
      <x:c r="M205" s="191"/>
      <x:c r="N205" s="191"/>
      <x:c r="O205" s="191"/>
      <x:c r="P205" s="191"/>
      <x:c r="Q205" s="191"/>
      <x:c r="R205" s="191"/>
      <x:c r="S205" s="191"/>
      <x:c r="T205" s="191"/>
      <x:c r="U205" s="191"/>
      <x:c r="V205" s="191"/>
      <x:c r="W205" s="191"/>
      <x:c r="X205" s="191"/>
      <x:c r="Y205" s="191"/>
      <x:c r="Z205" s="191"/>
      <x:c r="AA205" s="191"/>
      <x:c r="AB205" s="191"/>
      <x:c r="AC205" s="191"/>
      <x:c r="AD205" s="191"/>
      <x:c r="AE205" s="191"/>
      <x:c r="AF205" s="191"/>
      <x:c r="AG205" s="191"/>
      <x:c r="AH205" s="191"/>
      <x:c r="AI205" s="191"/>
      <x:c r="AJ205" s="191"/>
      <x:c r="AK205" s="191"/>
    </x:row>
    <x:row r="206">
      <x:c r="A206" s="191"/>
      <x:c r="B206" s="191"/>
      <x:c r="C206" s="191"/>
      <x:c r="D206" s="191"/>
      <x:c r="E206" s="191"/>
      <x:c r="F206" s="191"/>
      <x:c r="G206" s="191"/>
      <x:c r="H206" s="191"/>
      <x:c r="I206" s="191"/>
      <x:c r="J206" s="191"/>
      <x:c r="K206" s="191"/>
      <x:c r="L206" s="191"/>
      <x:c r="M206" s="191"/>
      <x:c r="N206" s="191"/>
      <x:c r="O206" s="191"/>
      <x:c r="P206" s="191"/>
      <x:c r="Q206" s="191"/>
      <x:c r="R206" s="191"/>
      <x:c r="S206" s="191"/>
      <x:c r="T206" s="191"/>
      <x:c r="U206" s="191"/>
      <x:c r="V206" s="191"/>
      <x:c r="W206" s="191"/>
      <x:c r="X206" s="191"/>
      <x:c r="Y206" s="191"/>
      <x:c r="Z206" s="191"/>
      <x:c r="AA206" s="191"/>
      <x:c r="AB206" s="191"/>
      <x:c r="AC206" s="191"/>
      <x:c r="AD206" s="191"/>
      <x:c r="AE206" s="191"/>
      <x:c r="AF206" s="191"/>
      <x:c r="AG206" s="191"/>
      <x:c r="AH206" s="191"/>
      <x:c r="AI206" s="191"/>
      <x:c r="AJ206" s="191"/>
      <x:c r="AK206" s="191"/>
    </x:row>
    <x:row r="207">
      <x:c r="A207" s="191"/>
      <x:c r="B207" s="191"/>
      <x:c r="C207" s="191"/>
      <x:c r="D207" s="191"/>
      <x:c r="E207" s="191"/>
      <x:c r="F207" s="191"/>
      <x:c r="G207" s="191"/>
      <x:c r="H207" s="191"/>
      <x:c r="I207" s="191"/>
      <x:c r="J207" s="191"/>
      <x:c r="K207" s="191"/>
      <x:c r="L207" s="191"/>
      <x:c r="M207" s="191"/>
      <x:c r="N207" s="191"/>
      <x:c r="O207" s="191"/>
      <x:c r="P207" s="191"/>
      <x:c r="Q207" s="191"/>
      <x:c r="R207" s="191"/>
      <x:c r="S207" s="191"/>
      <x:c r="T207" s="191"/>
      <x:c r="U207" s="191"/>
      <x:c r="V207" s="191"/>
      <x:c r="W207" s="191"/>
      <x:c r="X207" s="191"/>
      <x:c r="Y207" s="191"/>
      <x:c r="Z207" s="191"/>
      <x:c r="AA207" s="191"/>
      <x:c r="AB207" s="191"/>
      <x:c r="AC207" s="191"/>
      <x:c r="AD207" s="191"/>
      <x:c r="AE207" s="191"/>
      <x:c r="AF207" s="191"/>
      <x:c r="AG207" s="191"/>
      <x:c r="AH207" s="191"/>
      <x:c r="AI207" s="191"/>
      <x:c r="AJ207" s="191"/>
      <x:c r="AK207" s="191"/>
    </x:row>
    <x:row r="208">
      <x:c r="A208" s="191"/>
      <x:c r="B208" s="191"/>
      <x:c r="C208" s="191"/>
      <x:c r="D208" s="191"/>
      <x:c r="E208" s="191"/>
      <x:c r="F208" s="191"/>
      <x:c r="G208" s="191"/>
      <x:c r="H208" s="191"/>
      <x:c r="I208" s="191"/>
      <x:c r="J208" s="191"/>
      <x:c r="K208" s="191"/>
      <x:c r="L208" s="191"/>
      <x:c r="M208" s="191"/>
      <x:c r="N208" s="191"/>
      <x:c r="O208" s="191"/>
      <x:c r="P208" s="191"/>
      <x:c r="Q208" s="191"/>
      <x:c r="R208" s="191"/>
      <x:c r="S208" s="191"/>
      <x:c r="T208" s="191"/>
      <x:c r="U208" s="191"/>
      <x:c r="V208" s="191"/>
      <x:c r="W208" s="191"/>
      <x:c r="X208" s="191"/>
      <x:c r="Y208" s="191"/>
      <x:c r="Z208" s="191"/>
      <x:c r="AA208" s="191"/>
      <x:c r="AB208" s="191"/>
      <x:c r="AC208" s="191"/>
      <x:c r="AD208" s="191"/>
      <x:c r="AE208" s="191"/>
      <x:c r="AF208" s="191"/>
      <x:c r="AG208" s="191"/>
      <x:c r="AH208" s="191"/>
      <x:c r="AI208" s="191"/>
      <x:c r="AJ208" s="191"/>
      <x:c r="AK208" s="191"/>
    </x:row>
    <x:row r="209">
      <x:c r="A209" s="191"/>
      <x:c r="B209" s="191"/>
      <x:c r="C209" s="191"/>
      <x:c r="D209" s="191"/>
      <x:c r="E209" s="191"/>
      <x:c r="F209" s="191"/>
      <x:c r="G209" s="191"/>
      <x:c r="H209" s="191"/>
      <x:c r="I209" s="191"/>
      <x:c r="J209" s="191"/>
      <x:c r="K209" s="191"/>
      <x:c r="L209" s="191"/>
      <x:c r="M209" s="191"/>
      <x:c r="N209" s="191"/>
      <x:c r="O209" s="191"/>
      <x:c r="P209" s="191"/>
      <x:c r="Q209" s="191"/>
      <x:c r="R209" s="191"/>
      <x:c r="S209" s="191"/>
      <x:c r="T209" s="191"/>
      <x:c r="U209" s="191"/>
      <x:c r="V209" s="191"/>
      <x:c r="W209" s="191"/>
      <x:c r="X209" s="191"/>
      <x:c r="Y209" s="191"/>
      <x:c r="Z209" s="191"/>
      <x:c r="AA209" s="191"/>
      <x:c r="AB209" s="191"/>
      <x:c r="AC209" s="191"/>
      <x:c r="AD209" s="191"/>
      <x:c r="AE209" s="191"/>
      <x:c r="AF209" s="191"/>
      <x:c r="AG209" s="191"/>
      <x:c r="AH209" s="191"/>
      <x:c r="AI209" s="191"/>
      <x:c r="AJ209" s="191"/>
      <x:c r="AK209" s="191"/>
    </x:row>
    <x:row r="210">
      <x:c r="A210" s="191"/>
      <x:c r="B210" s="191"/>
      <x:c r="C210" s="191"/>
      <x:c r="D210" s="191"/>
      <x:c r="E210" s="191"/>
      <x:c r="F210" s="191"/>
      <x:c r="G210" s="191"/>
      <x:c r="H210" s="191"/>
      <x:c r="I210" s="191"/>
      <x:c r="J210" s="191"/>
      <x:c r="K210" s="191"/>
      <x:c r="L210" s="191"/>
      <x:c r="M210" s="191"/>
      <x:c r="N210" s="191"/>
      <x:c r="O210" s="191"/>
      <x:c r="P210" s="191"/>
      <x:c r="Q210" s="191"/>
      <x:c r="R210" s="191"/>
      <x:c r="S210" s="191"/>
      <x:c r="T210" s="191"/>
      <x:c r="U210" s="191"/>
      <x:c r="V210" s="191"/>
      <x:c r="W210" s="191"/>
      <x:c r="X210" s="191"/>
      <x:c r="Y210" s="191"/>
      <x:c r="Z210" s="191"/>
      <x:c r="AA210" s="191"/>
      <x:c r="AB210" s="191"/>
      <x:c r="AC210" s="191"/>
      <x:c r="AD210" s="191"/>
      <x:c r="AE210" s="191"/>
      <x:c r="AF210" s="191"/>
      <x:c r="AG210" s="191"/>
      <x:c r="AH210" s="191"/>
      <x:c r="AI210" s="191"/>
      <x:c r="AJ210" s="191"/>
      <x:c r="AK210" s="191"/>
    </x:row>
    <x:row r="211">
      <x:c r="A211" s="191"/>
      <x:c r="B211" s="191"/>
      <x:c r="C211" s="191"/>
      <x:c r="D211" s="191"/>
      <x:c r="E211" s="191"/>
      <x:c r="F211" s="191"/>
      <x:c r="G211" s="191"/>
      <x:c r="H211" s="191"/>
      <x:c r="I211" s="191"/>
      <x:c r="J211" s="191"/>
      <x:c r="K211" s="191"/>
      <x:c r="L211" s="191"/>
      <x:c r="M211" s="191"/>
      <x:c r="N211" s="191"/>
      <x:c r="O211" s="191"/>
      <x:c r="P211" s="191"/>
      <x:c r="Q211" s="191"/>
      <x:c r="R211" s="191"/>
      <x:c r="S211" s="191"/>
      <x:c r="T211" s="191"/>
      <x:c r="U211" s="191"/>
      <x:c r="V211" s="191"/>
      <x:c r="W211" s="191"/>
      <x:c r="X211" s="191"/>
      <x:c r="Y211" s="191"/>
      <x:c r="Z211" s="191"/>
      <x:c r="AA211" s="191"/>
      <x:c r="AB211" s="191"/>
      <x:c r="AC211" s="191"/>
      <x:c r="AD211" s="191"/>
      <x:c r="AE211" s="191"/>
      <x:c r="AF211" s="191"/>
      <x:c r="AG211" s="191"/>
      <x:c r="AH211" s="191"/>
      <x:c r="AI211" s="191"/>
      <x:c r="AJ211" s="191"/>
      <x:c r="AK211" s="191"/>
    </x:row>
    <x:row r="212">
      <x:c r="A212" s="191"/>
      <x:c r="B212" s="191"/>
      <x:c r="C212" s="191"/>
      <x:c r="D212" s="191"/>
      <x:c r="E212" s="191"/>
      <x:c r="F212" s="191"/>
      <x:c r="G212" s="191"/>
      <x:c r="H212" s="191"/>
      <x:c r="I212" s="191"/>
      <x:c r="J212" s="191"/>
      <x:c r="K212" s="191"/>
      <x:c r="L212" s="191"/>
      <x:c r="M212" s="191"/>
      <x:c r="N212" s="191"/>
      <x:c r="O212" s="191"/>
      <x:c r="P212" s="191"/>
      <x:c r="Q212" s="191"/>
      <x:c r="R212" s="191"/>
      <x:c r="S212" s="191"/>
      <x:c r="T212" s="191"/>
      <x:c r="U212" s="191"/>
      <x:c r="V212" s="191"/>
      <x:c r="W212" s="191"/>
      <x:c r="X212" s="191"/>
      <x:c r="Y212" s="191"/>
      <x:c r="Z212" s="191"/>
      <x:c r="AA212" s="191"/>
      <x:c r="AB212" s="191"/>
      <x:c r="AC212" s="191"/>
      <x:c r="AD212" s="191"/>
      <x:c r="AE212" s="191"/>
      <x:c r="AF212" s="191"/>
      <x:c r="AG212" s="191"/>
      <x:c r="AH212" s="191"/>
      <x:c r="AI212" s="191"/>
      <x:c r="AJ212" s="191"/>
      <x:c r="AK212" s="191"/>
    </x:row>
    <x:row r="213">
      <x:c r="A213" s="191"/>
      <x:c r="B213" s="191"/>
      <x:c r="C213" s="191"/>
      <x:c r="D213" s="191"/>
      <x:c r="E213" s="191"/>
      <x:c r="F213" s="191"/>
      <x:c r="G213" s="191"/>
      <x:c r="H213" s="191"/>
      <x:c r="I213" s="191"/>
      <x:c r="J213" s="191"/>
      <x:c r="K213" s="191"/>
      <x:c r="L213" s="191"/>
      <x:c r="M213" s="191"/>
      <x:c r="N213" s="191"/>
      <x:c r="O213" s="191"/>
      <x:c r="P213" s="191"/>
      <x:c r="Q213" s="191"/>
      <x:c r="R213" s="191"/>
      <x:c r="S213" s="191"/>
      <x:c r="T213" s="191"/>
      <x:c r="U213" s="191"/>
      <x:c r="V213" s="191"/>
      <x:c r="W213" s="191"/>
      <x:c r="X213" s="191"/>
      <x:c r="Y213" s="191"/>
      <x:c r="Z213" s="191"/>
      <x:c r="AA213" s="191"/>
      <x:c r="AB213" s="191"/>
      <x:c r="AC213" s="191"/>
      <x:c r="AD213" s="191"/>
      <x:c r="AE213" s="191"/>
      <x:c r="AF213" s="191"/>
      <x:c r="AG213" s="191"/>
      <x:c r="AH213" s="191"/>
      <x:c r="AI213" s="191"/>
      <x:c r="AJ213" s="191"/>
      <x:c r="AK213" s="191"/>
    </x:row>
    <x:row r="214">
      <x:c r="A214" s="191"/>
      <x:c r="B214" s="191"/>
      <x:c r="C214" s="191"/>
      <x:c r="D214" s="191"/>
      <x:c r="E214" s="191"/>
      <x:c r="F214" s="191"/>
      <x:c r="G214" s="191"/>
      <x:c r="H214" s="191"/>
      <x:c r="I214" s="191"/>
      <x:c r="J214" s="191"/>
      <x:c r="K214" s="191"/>
      <x:c r="L214" s="191"/>
      <x:c r="M214" s="191"/>
      <x:c r="N214" s="191"/>
      <x:c r="O214" s="191"/>
      <x:c r="P214" s="191"/>
      <x:c r="Q214" s="191"/>
      <x:c r="R214" s="191"/>
      <x:c r="S214" s="191"/>
      <x:c r="T214" s="191"/>
      <x:c r="U214" s="191"/>
      <x:c r="V214" s="191"/>
      <x:c r="W214" s="191"/>
      <x:c r="X214" s="191"/>
      <x:c r="Y214" s="191"/>
      <x:c r="Z214" s="191"/>
      <x:c r="AA214" s="191"/>
      <x:c r="AB214" s="191"/>
      <x:c r="AC214" s="191"/>
      <x:c r="AD214" s="191"/>
      <x:c r="AE214" s="191"/>
      <x:c r="AF214" s="191"/>
      <x:c r="AG214" s="191"/>
      <x:c r="AH214" s="191"/>
      <x:c r="AI214" s="191"/>
      <x:c r="AJ214" s="191"/>
      <x:c r="AK214" s="191"/>
    </x:row>
    <x:row r="215">
      <x:c r="A215" s="191"/>
      <x:c r="B215" s="191"/>
      <x:c r="C215" s="191"/>
      <x:c r="D215" s="191"/>
      <x:c r="E215" s="191"/>
      <x:c r="F215" s="191"/>
      <x:c r="G215" s="191"/>
      <x:c r="H215" s="191"/>
      <x:c r="I215" s="191"/>
      <x:c r="J215" s="191"/>
      <x:c r="K215" s="191"/>
      <x:c r="L215" s="191"/>
      <x:c r="M215" s="191"/>
      <x:c r="N215" s="191"/>
      <x:c r="O215" s="191"/>
      <x:c r="P215" s="191"/>
      <x:c r="Q215" s="191"/>
      <x:c r="R215" s="191"/>
      <x:c r="S215" s="191"/>
      <x:c r="T215" s="191"/>
      <x:c r="U215" s="191"/>
      <x:c r="V215" s="191"/>
      <x:c r="W215" s="191"/>
      <x:c r="X215" s="191"/>
      <x:c r="Y215" s="191"/>
      <x:c r="Z215" s="191"/>
      <x:c r="AA215" s="191"/>
      <x:c r="AB215" s="191"/>
      <x:c r="AC215" s="191"/>
      <x:c r="AD215" s="191"/>
      <x:c r="AE215" s="191"/>
      <x:c r="AF215" s="191"/>
      <x:c r="AG215" s="191"/>
      <x:c r="AH215" s="191"/>
      <x:c r="AI215" s="191"/>
      <x:c r="AJ215" s="191"/>
      <x:c r="AK215" s="191"/>
    </x:row>
    <x:row r="216">
      <x:c r="A216" s="191"/>
      <x:c r="B216" s="191"/>
      <x:c r="C216" s="191"/>
      <x:c r="D216" s="191"/>
      <x:c r="E216" s="191"/>
      <x:c r="F216" s="191"/>
      <x:c r="G216" s="191"/>
      <x:c r="H216" s="191"/>
      <x:c r="I216" s="191"/>
      <x:c r="J216" s="191"/>
      <x:c r="K216" s="191"/>
      <x:c r="L216" s="191"/>
      <x:c r="M216" s="191"/>
      <x:c r="N216" s="191"/>
      <x:c r="O216" s="191"/>
      <x:c r="P216" s="191"/>
      <x:c r="Q216" s="191"/>
      <x:c r="R216" s="191"/>
      <x:c r="S216" s="191"/>
      <x:c r="T216" s="191"/>
      <x:c r="U216" s="191"/>
      <x:c r="V216" s="191"/>
      <x:c r="W216" s="191"/>
      <x:c r="X216" s="191"/>
      <x:c r="Y216" s="191"/>
      <x:c r="Z216" s="191"/>
      <x:c r="AA216" s="191"/>
      <x:c r="AB216" s="191"/>
      <x:c r="AC216" s="191"/>
      <x:c r="AD216" s="191"/>
      <x:c r="AE216" s="191"/>
      <x:c r="AF216" s="191"/>
      <x:c r="AG216" s="191"/>
      <x:c r="AH216" s="191"/>
      <x:c r="AI216" s="191"/>
      <x:c r="AJ216" s="191"/>
      <x:c r="AK216" s="191"/>
    </x:row>
    <x:row r="217">
      <x:c r="A217" s="191"/>
      <x:c r="B217" s="191"/>
      <x:c r="C217" s="191"/>
      <x:c r="D217" s="191"/>
      <x:c r="E217" s="191"/>
      <x:c r="F217" s="191"/>
      <x:c r="G217" s="191"/>
      <x:c r="H217" s="191"/>
      <x:c r="I217" s="191"/>
      <x:c r="J217" s="191"/>
      <x:c r="K217" s="191"/>
      <x:c r="L217" s="191"/>
      <x:c r="M217" s="191"/>
      <x:c r="N217" s="191"/>
      <x:c r="O217" s="191"/>
      <x:c r="P217" s="191"/>
      <x:c r="Q217" s="191"/>
      <x:c r="R217" s="191"/>
      <x:c r="S217" s="191"/>
      <x:c r="T217" s="191"/>
      <x:c r="U217" s="191"/>
      <x:c r="V217" s="191"/>
      <x:c r="W217" s="191"/>
      <x:c r="X217" s="191"/>
      <x:c r="Y217" s="191"/>
      <x:c r="Z217" s="191"/>
      <x:c r="AA217" s="191"/>
      <x:c r="AB217" s="191"/>
      <x:c r="AC217" s="191"/>
      <x:c r="AD217" s="191"/>
      <x:c r="AE217" s="191"/>
      <x:c r="AF217" s="191"/>
      <x:c r="AG217" s="191"/>
      <x:c r="AH217" s="191"/>
      <x:c r="AI217" s="191"/>
      <x:c r="AJ217" s="191"/>
      <x:c r="AK217" s="191"/>
    </x:row>
    <x:row r="218">
      <x:c r="A218" s="191"/>
      <x:c r="B218" s="191"/>
      <x:c r="C218" s="191"/>
      <x:c r="D218" s="191"/>
      <x:c r="E218" s="191"/>
      <x:c r="F218" s="191"/>
      <x:c r="G218" s="191"/>
      <x:c r="H218" s="191"/>
      <x:c r="I218" s="191"/>
      <x:c r="J218" s="191"/>
      <x:c r="K218" s="191"/>
      <x:c r="L218" s="191"/>
      <x:c r="M218" s="191"/>
      <x:c r="N218" s="191"/>
      <x:c r="O218" s="191"/>
      <x:c r="P218" s="191"/>
      <x:c r="Q218" s="191"/>
      <x:c r="R218" s="191"/>
      <x:c r="S218" s="191"/>
      <x:c r="T218" s="191"/>
      <x:c r="U218" s="191"/>
      <x:c r="V218" s="191"/>
      <x:c r="W218" s="191"/>
      <x:c r="X218" s="191"/>
      <x:c r="Y218" s="191"/>
      <x:c r="Z218" s="191"/>
      <x:c r="AA218" s="191"/>
      <x:c r="AB218" s="191"/>
      <x:c r="AC218" s="191"/>
      <x:c r="AD218" s="191"/>
      <x:c r="AE218" s="191"/>
      <x:c r="AF218" s="191"/>
      <x:c r="AG218" s="191"/>
      <x:c r="AH218" s="191"/>
      <x:c r="AI218" s="191"/>
      <x:c r="AJ218" s="191"/>
      <x:c r="AK218" s="191"/>
    </x:row>
    <x:row r="219">
      <x:c r="A219" s="191"/>
      <x:c r="B219" s="191"/>
      <x:c r="C219" s="191"/>
      <x:c r="D219" s="191"/>
      <x:c r="E219" s="191"/>
      <x:c r="F219" s="191"/>
      <x:c r="G219" s="191"/>
      <x:c r="H219" s="191"/>
      <x:c r="I219" s="191"/>
      <x:c r="J219" s="191"/>
      <x:c r="K219" s="191"/>
      <x:c r="L219" s="191"/>
      <x:c r="M219" s="191"/>
      <x:c r="N219" s="191"/>
      <x:c r="O219" s="191"/>
      <x:c r="P219" s="191"/>
      <x:c r="Q219" s="191"/>
      <x:c r="R219" s="191"/>
      <x:c r="S219" s="191"/>
      <x:c r="T219" s="191"/>
      <x:c r="U219" s="191"/>
      <x:c r="V219" s="191"/>
      <x:c r="W219" s="191"/>
      <x:c r="X219" s="191"/>
      <x:c r="Y219" s="191"/>
      <x:c r="Z219" s="191"/>
      <x:c r="AA219" s="191"/>
      <x:c r="AB219" s="191"/>
      <x:c r="AC219" s="191"/>
      <x:c r="AD219" s="191"/>
      <x:c r="AE219" s="191"/>
      <x:c r="AF219" s="191"/>
      <x:c r="AG219" s="191"/>
      <x:c r="AH219" s="191"/>
      <x:c r="AI219" s="191"/>
      <x:c r="AJ219" s="191"/>
      <x:c r="AK219" s="191"/>
    </x:row>
    <x:row r="220">
      <x:c r="A220" s="191"/>
      <x:c r="B220" s="191"/>
      <x:c r="C220" s="191"/>
      <x:c r="D220" s="191"/>
      <x:c r="E220" s="191"/>
      <x:c r="F220" s="191"/>
      <x:c r="G220" s="191"/>
      <x:c r="H220" s="191"/>
      <x:c r="I220" s="191"/>
      <x:c r="J220" s="191"/>
      <x:c r="K220" s="191"/>
      <x:c r="L220" s="191"/>
      <x:c r="M220" s="191"/>
      <x:c r="N220" s="191"/>
      <x:c r="O220" s="191"/>
      <x:c r="P220" s="191"/>
      <x:c r="Q220" s="191"/>
      <x:c r="R220" s="191"/>
      <x:c r="S220" s="191"/>
      <x:c r="T220" s="191"/>
      <x:c r="U220" s="191"/>
      <x:c r="V220" s="191"/>
      <x:c r="W220" s="191"/>
      <x:c r="X220" s="191"/>
      <x:c r="Y220" s="191"/>
      <x:c r="Z220" s="191"/>
      <x:c r="AA220" s="191"/>
      <x:c r="AB220" s="191"/>
      <x:c r="AC220" s="191"/>
      <x:c r="AD220" s="191"/>
      <x:c r="AE220" s="191"/>
      <x:c r="AF220" s="191"/>
      <x:c r="AG220" s="191"/>
      <x:c r="AH220" s="191"/>
      <x:c r="AI220" s="191"/>
      <x:c r="AJ220" s="191"/>
      <x:c r="AK220" s="191"/>
    </x:row>
    <x:row r="221">
      <x:c r="A221" s="191"/>
      <x:c r="B221" s="191"/>
      <x:c r="C221" s="191"/>
      <x:c r="D221" s="191"/>
      <x:c r="E221" s="191"/>
      <x:c r="F221" s="191"/>
      <x:c r="G221" s="191"/>
      <x:c r="H221" s="191"/>
      <x:c r="I221" s="191"/>
      <x:c r="J221" s="191"/>
      <x:c r="K221" s="191"/>
      <x:c r="L221" s="191"/>
      <x:c r="M221" s="191"/>
      <x:c r="N221" s="191"/>
      <x:c r="O221" s="191"/>
      <x:c r="P221" s="191"/>
      <x:c r="Q221" s="191"/>
      <x:c r="R221" s="191"/>
      <x:c r="S221" s="191"/>
      <x:c r="T221" s="191"/>
      <x:c r="U221" s="191"/>
      <x:c r="V221" s="191"/>
      <x:c r="W221" s="191"/>
      <x:c r="X221" s="191"/>
      <x:c r="Y221" s="191"/>
      <x:c r="Z221" s="191"/>
      <x:c r="AA221" s="191"/>
      <x:c r="AB221" s="191"/>
      <x:c r="AC221" s="191"/>
      <x:c r="AD221" s="191"/>
      <x:c r="AE221" s="191"/>
      <x:c r="AF221" s="191"/>
      <x:c r="AG221" s="191"/>
      <x:c r="AH221" s="191"/>
      <x:c r="AI221" s="191"/>
      <x:c r="AJ221" s="191"/>
      <x:c r="AK221" s="191"/>
    </x:row>
    <x:row r="222">
      <x:c r="A222" s="191"/>
      <x:c r="B222" s="191"/>
      <x:c r="C222" s="191"/>
      <x:c r="D222" s="191"/>
      <x:c r="E222" s="191"/>
      <x:c r="F222" s="191"/>
      <x:c r="G222" s="191"/>
      <x:c r="H222" s="191"/>
      <x:c r="I222" s="191"/>
      <x:c r="J222" s="191"/>
      <x:c r="K222" s="191"/>
      <x:c r="L222" s="191"/>
      <x:c r="M222" s="191"/>
      <x:c r="N222" s="191"/>
      <x:c r="O222" s="191"/>
      <x:c r="P222" s="191"/>
      <x:c r="Q222" s="191"/>
      <x:c r="R222" s="191"/>
      <x:c r="S222" s="191"/>
      <x:c r="T222" s="191"/>
      <x:c r="U222" s="191"/>
      <x:c r="V222" s="191"/>
      <x:c r="W222" s="191"/>
      <x:c r="X222" s="191"/>
      <x:c r="Y222" s="191"/>
      <x:c r="Z222" s="191"/>
      <x:c r="AA222" s="191"/>
      <x:c r="AB222" s="191"/>
      <x:c r="AC222" s="191"/>
      <x:c r="AD222" s="191"/>
      <x:c r="AE222" s="191"/>
      <x:c r="AF222" s="191"/>
      <x:c r="AG222" s="191"/>
      <x:c r="AH222" s="191"/>
      <x:c r="AI222" s="191"/>
      <x:c r="AJ222" s="191"/>
      <x:c r="AK222" s="191"/>
    </x:row>
    <x:row r="223">
      <x:c r="A223" s="191"/>
      <x:c r="B223" s="191"/>
      <x:c r="C223" s="191"/>
      <x:c r="D223" s="191"/>
      <x:c r="E223" s="191"/>
      <x:c r="F223" s="191"/>
      <x:c r="G223" s="191"/>
      <x:c r="H223" s="191"/>
      <x:c r="I223" s="191"/>
      <x:c r="J223" s="191"/>
      <x:c r="K223" s="191"/>
      <x:c r="L223" s="191"/>
      <x:c r="M223" s="191"/>
      <x:c r="N223" s="191"/>
      <x:c r="O223" s="191"/>
      <x:c r="P223" s="191"/>
      <x:c r="Q223" s="191"/>
      <x:c r="R223" s="191"/>
      <x:c r="S223" s="191"/>
      <x:c r="T223" s="191"/>
      <x:c r="U223" s="191"/>
      <x:c r="V223" s="191"/>
      <x:c r="W223" s="191"/>
      <x:c r="X223" s="191"/>
      <x:c r="Y223" s="191"/>
      <x:c r="Z223" s="191"/>
      <x:c r="AA223" s="191"/>
      <x:c r="AB223" s="191"/>
      <x:c r="AC223" s="191"/>
      <x:c r="AD223" s="191"/>
      <x:c r="AE223" s="191"/>
      <x:c r="AF223" s="191"/>
      <x:c r="AG223" s="191"/>
      <x:c r="AH223" s="191"/>
      <x:c r="AI223" s="191"/>
      <x:c r="AJ223" s="191"/>
      <x:c r="AK223" s="191"/>
    </x:row>
    <x:row r="224">
      <x:c r="A224" s="191"/>
      <x:c r="B224" s="191"/>
      <x:c r="C224" s="191"/>
      <x:c r="D224" s="191"/>
      <x:c r="E224" s="191"/>
      <x:c r="F224" s="191"/>
      <x:c r="G224" s="191"/>
      <x:c r="H224" s="191"/>
      <x:c r="I224" s="191"/>
      <x:c r="J224" s="191"/>
      <x:c r="K224" s="191"/>
      <x:c r="L224" s="191"/>
      <x:c r="M224" s="191"/>
      <x:c r="N224" s="191"/>
      <x:c r="O224" s="191"/>
      <x:c r="P224" s="191"/>
      <x:c r="Q224" s="191"/>
      <x:c r="R224" s="191"/>
      <x:c r="S224" s="191"/>
      <x:c r="T224" s="191"/>
      <x:c r="U224" s="191"/>
      <x:c r="V224" s="191"/>
      <x:c r="W224" s="191"/>
      <x:c r="X224" s="191"/>
      <x:c r="Y224" s="191"/>
      <x:c r="Z224" s="191"/>
      <x:c r="AA224" s="191"/>
      <x:c r="AB224" s="191"/>
      <x:c r="AC224" s="191"/>
      <x:c r="AD224" s="191"/>
      <x:c r="AE224" s="191"/>
      <x:c r="AF224" s="191"/>
      <x:c r="AG224" s="191"/>
      <x:c r="AH224" s="191"/>
      <x:c r="AI224" s="191"/>
      <x:c r="AJ224" s="191"/>
      <x:c r="AK224" s="191"/>
    </x:row>
    <x:row r="225">
      <x:c r="A225" s="191"/>
      <x:c r="B225" s="191"/>
      <x:c r="C225" s="191"/>
      <x:c r="D225" s="191"/>
      <x:c r="E225" s="191"/>
      <x:c r="F225" s="191"/>
      <x:c r="G225" s="191"/>
      <x:c r="H225" s="191"/>
      <x:c r="I225" s="191"/>
      <x:c r="J225" s="191"/>
      <x:c r="K225" s="191"/>
      <x:c r="L225" s="191"/>
      <x:c r="M225" s="191"/>
      <x:c r="N225" s="191"/>
      <x:c r="O225" s="191"/>
      <x:c r="P225" s="191"/>
      <x:c r="Q225" s="191"/>
      <x:c r="R225" s="191"/>
      <x:c r="S225" s="191"/>
      <x:c r="T225" s="191"/>
      <x:c r="U225" s="191"/>
      <x:c r="V225" s="191"/>
      <x:c r="W225" s="191"/>
      <x:c r="X225" s="191"/>
      <x:c r="Y225" s="191"/>
      <x:c r="Z225" s="191"/>
      <x:c r="AA225" s="191"/>
      <x:c r="AB225" s="191"/>
      <x:c r="AC225" s="191"/>
      <x:c r="AD225" s="191"/>
      <x:c r="AE225" s="191"/>
      <x:c r="AF225" s="191"/>
      <x:c r="AG225" s="191"/>
      <x:c r="AH225" s="191"/>
      <x:c r="AI225" s="191"/>
      <x:c r="AJ225" s="191"/>
      <x:c r="AK225" s="191"/>
    </x:row>
    <x:row r="226">
      <x:c r="A226" s="191"/>
      <x:c r="B226" s="191"/>
      <x:c r="C226" s="191"/>
      <x:c r="D226" s="191"/>
      <x:c r="E226" s="191"/>
      <x:c r="F226" s="191"/>
      <x:c r="G226" s="191"/>
      <x:c r="H226" s="191"/>
      <x:c r="I226" s="191"/>
      <x:c r="J226" s="191"/>
      <x:c r="K226" s="191"/>
      <x:c r="L226" s="191"/>
      <x:c r="M226" s="191"/>
      <x:c r="N226" s="191"/>
      <x:c r="O226" s="191"/>
      <x:c r="P226" s="191"/>
      <x:c r="Q226" s="191"/>
      <x:c r="R226" s="191"/>
      <x:c r="S226" s="191"/>
      <x:c r="T226" s="191"/>
      <x:c r="U226" s="191"/>
      <x:c r="V226" s="191"/>
      <x:c r="W226" s="191"/>
      <x:c r="X226" s="191"/>
      <x:c r="Y226" s="191"/>
      <x:c r="Z226" s="191"/>
      <x:c r="AA226" s="191"/>
      <x:c r="AB226" s="191"/>
      <x:c r="AC226" s="191"/>
      <x:c r="AD226" s="191"/>
      <x:c r="AE226" s="191"/>
      <x:c r="AF226" s="191"/>
      <x:c r="AG226" s="191"/>
      <x:c r="AH226" s="191"/>
      <x:c r="AI226" s="191"/>
      <x:c r="AJ226" s="191"/>
      <x:c r="AK226" s="191"/>
    </x:row>
    <x:row r="227">
      <x:c r="A227" s="191"/>
      <x:c r="B227" s="191"/>
      <x:c r="C227" s="191"/>
      <x:c r="D227" s="191"/>
      <x:c r="E227" s="191"/>
      <x:c r="F227" s="191"/>
      <x:c r="G227" s="191"/>
      <x:c r="H227" s="191"/>
      <x:c r="I227" s="191"/>
      <x:c r="J227" s="191"/>
      <x:c r="K227" s="191"/>
      <x:c r="L227" s="191"/>
      <x:c r="M227" s="191"/>
      <x:c r="N227" s="191"/>
      <x:c r="O227" s="191"/>
      <x:c r="P227" s="191"/>
      <x:c r="Q227" s="191"/>
      <x:c r="R227" s="191"/>
      <x:c r="S227" s="191"/>
      <x:c r="T227" s="191"/>
      <x:c r="U227" s="191"/>
      <x:c r="V227" s="191"/>
      <x:c r="W227" s="191"/>
      <x:c r="X227" s="191"/>
      <x:c r="Y227" s="191"/>
      <x:c r="Z227" s="191"/>
      <x:c r="AA227" s="191"/>
      <x:c r="AB227" s="191"/>
      <x:c r="AC227" s="191"/>
      <x:c r="AD227" s="191"/>
      <x:c r="AE227" s="191"/>
      <x:c r="AF227" s="191"/>
      <x:c r="AG227" s="191"/>
      <x:c r="AH227" s="191"/>
      <x:c r="AI227" s="191"/>
      <x:c r="AJ227" s="191"/>
      <x:c r="AK227" s="191"/>
    </x:row>
    <x:row r="228">
      <x:c r="A228" s="191"/>
      <x:c r="B228" s="191"/>
      <x:c r="C228" s="191"/>
      <x:c r="D228" s="191"/>
      <x:c r="E228" s="191"/>
      <x:c r="F228" s="191"/>
      <x:c r="G228" s="191"/>
      <x:c r="H228" s="191"/>
      <x:c r="I228" s="191"/>
      <x:c r="J228" s="191"/>
      <x:c r="K228" s="191"/>
      <x:c r="L228" s="191"/>
      <x:c r="M228" s="191"/>
      <x:c r="N228" s="191"/>
      <x:c r="O228" s="191"/>
      <x:c r="P228" s="191"/>
      <x:c r="Q228" s="191"/>
      <x:c r="R228" s="191"/>
      <x:c r="S228" s="191"/>
      <x:c r="T228" s="191"/>
      <x:c r="U228" s="191"/>
      <x:c r="V228" s="191"/>
      <x:c r="W228" s="191"/>
      <x:c r="X228" s="191"/>
      <x:c r="Y228" s="191"/>
      <x:c r="Z228" s="191"/>
      <x:c r="AA228" s="191"/>
      <x:c r="AB228" s="191"/>
      <x:c r="AC228" s="191"/>
      <x:c r="AD228" s="191"/>
      <x:c r="AE228" s="191"/>
      <x:c r="AF228" s="191"/>
      <x:c r="AG228" s="191"/>
      <x:c r="AH228" s="191"/>
      <x:c r="AI228" s="191"/>
      <x:c r="AJ228" s="191"/>
      <x:c r="AK228" s="191"/>
    </x:row>
    <x:row r="229">
      <x:c r="A229" s="191"/>
      <x:c r="B229" s="191"/>
      <x:c r="C229" s="191"/>
      <x:c r="D229" s="191"/>
      <x:c r="E229" s="191"/>
      <x:c r="F229" s="191"/>
      <x:c r="G229" s="191"/>
      <x:c r="H229" s="191"/>
      <x:c r="I229" s="191"/>
      <x:c r="J229" s="191"/>
      <x:c r="K229" s="191"/>
      <x:c r="L229" s="191"/>
      <x:c r="M229" s="191"/>
      <x:c r="N229" s="191"/>
      <x:c r="O229" s="191"/>
      <x:c r="P229" s="191"/>
      <x:c r="Q229" s="191"/>
      <x:c r="R229" s="191"/>
      <x:c r="S229" s="191"/>
      <x:c r="T229" s="191"/>
      <x:c r="U229" s="191"/>
      <x:c r="V229" s="191"/>
      <x:c r="W229" s="191"/>
      <x:c r="X229" s="191"/>
      <x:c r="Y229" s="191"/>
      <x:c r="Z229" s="191"/>
      <x:c r="AA229" s="191"/>
      <x:c r="AB229" s="191"/>
      <x:c r="AC229" s="191"/>
      <x:c r="AD229" s="191"/>
      <x:c r="AE229" s="191"/>
      <x:c r="AF229" s="191"/>
      <x:c r="AG229" s="191"/>
      <x:c r="AH229" s="191"/>
      <x:c r="AI229" s="191"/>
      <x:c r="AJ229" s="191"/>
      <x:c r="AK229" s="191"/>
    </x:row>
    <x:row r="230">
      <x:c r="A230" s="191"/>
      <x:c r="B230" s="191"/>
      <x:c r="C230" s="191"/>
      <x:c r="D230" s="191"/>
      <x:c r="E230" s="191"/>
      <x:c r="F230" s="191"/>
      <x:c r="G230" s="191"/>
      <x:c r="H230" s="191"/>
      <x:c r="I230" s="191"/>
      <x:c r="J230" s="191"/>
      <x:c r="K230" s="191"/>
      <x:c r="L230" s="191"/>
      <x:c r="M230" s="191"/>
      <x:c r="N230" s="191"/>
      <x:c r="O230" s="191"/>
      <x:c r="P230" s="191"/>
      <x:c r="Q230" s="191"/>
      <x:c r="R230" s="191"/>
      <x:c r="S230" s="191"/>
      <x:c r="T230" s="191"/>
      <x:c r="U230" s="191"/>
      <x:c r="V230" s="191"/>
      <x:c r="W230" s="191"/>
      <x:c r="X230" s="191"/>
      <x:c r="Y230" s="191"/>
      <x:c r="Z230" s="191"/>
      <x:c r="AA230" s="191"/>
      <x:c r="AB230" s="191"/>
      <x:c r="AC230" s="191"/>
      <x:c r="AD230" s="191"/>
      <x:c r="AE230" s="191"/>
      <x:c r="AF230" s="191"/>
      <x:c r="AG230" s="191"/>
      <x:c r="AH230" s="191"/>
      <x:c r="AI230" s="191"/>
      <x:c r="AJ230" s="191"/>
      <x:c r="AK230" s="191"/>
    </x:row>
    <x:row r="231">
      <x:c r="A231" s="191"/>
      <x:c r="B231" s="191"/>
      <x:c r="C231" s="191"/>
      <x:c r="D231" s="191"/>
      <x:c r="E231" s="191"/>
      <x:c r="F231" s="191"/>
      <x:c r="G231" s="191"/>
      <x:c r="H231" s="191"/>
      <x:c r="I231" s="191"/>
      <x:c r="J231" s="191"/>
      <x:c r="K231" s="191"/>
      <x:c r="L231" s="191"/>
      <x:c r="M231" s="191"/>
      <x:c r="N231" s="191"/>
      <x:c r="O231" s="191"/>
      <x:c r="P231" s="191"/>
      <x:c r="Q231" s="191"/>
      <x:c r="R231" s="191"/>
      <x:c r="S231" s="191"/>
      <x:c r="T231" s="191"/>
      <x:c r="U231" s="191"/>
      <x:c r="V231" s="191"/>
      <x:c r="W231" s="191"/>
      <x:c r="X231" s="191"/>
      <x:c r="Y231" s="191"/>
      <x:c r="Z231" s="191"/>
      <x:c r="AA231" s="191"/>
      <x:c r="AB231" s="191"/>
      <x:c r="AC231" s="191"/>
      <x:c r="AD231" s="191"/>
      <x:c r="AE231" s="191"/>
      <x:c r="AF231" s="191"/>
      <x:c r="AG231" s="191"/>
      <x:c r="AH231" s="191"/>
      <x:c r="AI231" s="191"/>
      <x:c r="AJ231" s="191"/>
      <x:c r="AK231" s="191"/>
    </x:row>
    <x:row r="232">
      <x:c r="A232" s="191"/>
      <x:c r="B232" s="191"/>
      <x:c r="C232" s="191"/>
      <x:c r="D232" s="191"/>
      <x:c r="E232" s="191"/>
      <x:c r="F232" s="191"/>
      <x:c r="G232" s="191"/>
      <x:c r="H232" s="191"/>
      <x:c r="I232" s="191"/>
      <x:c r="J232" s="191"/>
      <x:c r="K232" s="191"/>
      <x:c r="L232" s="191"/>
      <x:c r="M232" s="191"/>
      <x:c r="N232" s="191"/>
      <x:c r="O232" s="191"/>
      <x:c r="P232" s="191"/>
      <x:c r="Q232" s="191"/>
      <x:c r="R232" s="191"/>
      <x:c r="S232" s="191"/>
      <x:c r="T232" s="191"/>
      <x:c r="U232" s="191"/>
      <x:c r="V232" s="191"/>
      <x:c r="W232" s="191"/>
      <x:c r="X232" s="191"/>
      <x:c r="Y232" s="191"/>
      <x:c r="Z232" s="191"/>
      <x:c r="AA232" s="191"/>
      <x:c r="AB232" s="191"/>
      <x:c r="AC232" s="191"/>
      <x:c r="AD232" s="191"/>
      <x:c r="AE232" s="191"/>
      <x:c r="AF232" s="191"/>
      <x:c r="AG232" s="191"/>
      <x:c r="AH232" s="191"/>
      <x:c r="AI232" s="191"/>
      <x:c r="AJ232" s="191"/>
      <x:c r="AK232" s="191"/>
    </x:row>
    <x:row r="233">
      <x:c r="A233" s="191"/>
      <x:c r="B233" s="191"/>
      <x:c r="C233" s="191"/>
      <x:c r="D233" s="191"/>
      <x:c r="E233" s="191"/>
      <x:c r="F233" s="191"/>
      <x:c r="G233" s="191"/>
      <x:c r="H233" s="191"/>
      <x:c r="I233" s="191"/>
      <x:c r="J233" s="191"/>
      <x:c r="K233" s="191"/>
      <x:c r="L233" s="191"/>
      <x:c r="M233" s="191"/>
      <x:c r="N233" s="191"/>
      <x:c r="O233" s="191"/>
      <x:c r="P233" s="191"/>
      <x:c r="Q233" s="191"/>
      <x:c r="R233" s="191"/>
      <x:c r="S233" s="191"/>
      <x:c r="T233" s="191"/>
      <x:c r="U233" s="191"/>
      <x:c r="V233" s="191"/>
      <x:c r="W233" s="191"/>
      <x:c r="X233" s="191"/>
      <x:c r="Y233" s="191"/>
      <x:c r="Z233" s="191"/>
      <x:c r="AA233" s="191"/>
      <x:c r="AB233" s="191"/>
      <x:c r="AC233" s="191"/>
      <x:c r="AD233" s="191"/>
      <x:c r="AE233" s="191"/>
      <x:c r="AF233" s="191"/>
      <x:c r="AG233" s="191"/>
      <x:c r="AH233" s="191"/>
      <x:c r="AI233" s="191"/>
      <x:c r="AJ233" s="191"/>
      <x:c r="AK233" s="191"/>
    </x:row>
    <x:row r="234">
      <x:c r="A234" s="191"/>
      <x:c r="B234" s="191"/>
      <x:c r="C234" s="191"/>
      <x:c r="D234" s="191"/>
      <x:c r="E234" s="191"/>
      <x:c r="F234" s="191"/>
      <x:c r="G234" s="191"/>
      <x:c r="H234" s="191"/>
      <x:c r="I234" s="191"/>
      <x:c r="J234" s="191"/>
      <x:c r="K234" s="191"/>
      <x:c r="L234" s="191"/>
      <x:c r="M234" s="191"/>
      <x:c r="N234" s="191"/>
      <x:c r="O234" s="191"/>
      <x:c r="P234" s="191"/>
      <x:c r="Q234" s="191"/>
      <x:c r="R234" s="191"/>
      <x:c r="S234" s="191"/>
      <x:c r="T234" s="191"/>
      <x:c r="U234" s="191"/>
      <x:c r="V234" s="191"/>
      <x:c r="W234" s="191"/>
      <x:c r="X234" s="191"/>
      <x:c r="Y234" s="191"/>
      <x:c r="Z234" s="191"/>
      <x:c r="AA234" s="191"/>
      <x:c r="AB234" s="191"/>
      <x:c r="AC234" s="191"/>
      <x:c r="AD234" s="191"/>
      <x:c r="AE234" s="191"/>
      <x:c r="AF234" s="191"/>
      <x:c r="AG234" s="191"/>
      <x:c r="AH234" s="191"/>
      <x:c r="AI234" s="191"/>
      <x:c r="AJ234" s="191"/>
      <x:c r="AK234" s="191"/>
    </x:row>
    <x:row r="235">
      <x:c r="A235" s="191"/>
      <x:c r="B235" s="191"/>
      <x:c r="C235" s="191"/>
      <x:c r="D235" s="191"/>
      <x:c r="E235" s="191"/>
      <x:c r="F235" s="191"/>
      <x:c r="G235" s="191"/>
      <x:c r="H235" s="191"/>
      <x:c r="I235" s="191"/>
      <x:c r="J235" s="191"/>
      <x:c r="K235" s="191"/>
      <x:c r="L235" s="191"/>
      <x:c r="M235" s="191"/>
      <x:c r="N235" s="191"/>
      <x:c r="O235" s="191"/>
      <x:c r="P235" s="191"/>
      <x:c r="Q235" s="191"/>
      <x:c r="R235" s="191"/>
      <x:c r="S235" s="191"/>
      <x:c r="T235" s="191"/>
      <x:c r="U235" s="191"/>
      <x:c r="V235" s="191"/>
      <x:c r="W235" s="191"/>
      <x:c r="X235" s="191"/>
      <x:c r="Y235" s="191"/>
      <x:c r="Z235" s="191"/>
      <x:c r="AA235" s="191"/>
      <x:c r="AB235" s="191"/>
      <x:c r="AC235" s="191"/>
      <x:c r="AD235" s="191"/>
      <x:c r="AE235" s="191"/>
      <x:c r="AF235" s="191"/>
      <x:c r="AG235" s="191"/>
      <x:c r="AH235" s="191"/>
      <x:c r="AI235" s="191"/>
      <x:c r="AJ235" s="191"/>
      <x:c r="AK235" s="191"/>
    </x:row>
    <x:row r="236">
      <x:c r="A236" s="191"/>
      <x:c r="B236" s="191"/>
      <x:c r="C236" s="191"/>
      <x:c r="D236" s="191"/>
      <x:c r="E236" s="191"/>
      <x:c r="F236" s="191"/>
      <x:c r="G236" s="191"/>
      <x:c r="H236" s="191"/>
      <x:c r="I236" s="191"/>
      <x:c r="J236" s="191"/>
      <x:c r="K236" s="191"/>
      <x:c r="L236" s="191"/>
      <x:c r="M236" s="191"/>
      <x:c r="N236" s="191"/>
      <x:c r="O236" s="191"/>
      <x:c r="P236" s="191"/>
      <x:c r="Q236" s="191"/>
      <x:c r="R236" s="191"/>
      <x:c r="S236" s="191"/>
      <x:c r="T236" s="191"/>
      <x:c r="U236" s="191"/>
      <x:c r="V236" s="191"/>
      <x:c r="W236" s="191"/>
      <x:c r="X236" s="191"/>
      <x:c r="Y236" s="191"/>
      <x:c r="Z236" s="191"/>
      <x:c r="AA236" s="191"/>
      <x:c r="AB236" s="191"/>
      <x:c r="AC236" s="191"/>
      <x:c r="AD236" s="191"/>
      <x:c r="AE236" s="191"/>
      <x:c r="AF236" s="191"/>
      <x:c r="AG236" s="191"/>
      <x:c r="AH236" s="191"/>
      <x:c r="AI236" s="191"/>
      <x:c r="AJ236" s="191"/>
      <x:c r="AK236" s="191"/>
    </x:row>
    <x:row r="237">
      <x:c r="A237" s="191"/>
      <x:c r="B237" s="191"/>
      <x:c r="C237" s="191"/>
      <x:c r="D237" s="191"/>
      <x:c r="E237" s="191"/>
      <x:c r="F237" s="191"/>
      <x:c r="G237" s="191"/>
      <x:c r="H237" s="191"/>
      <x:c r="I237" s="191"/>
      <x:c r="J237" s="191"/>
      <x:c r="K237" s="191"/>
      <x:c r="L237" s="191"/>
      <x:c r="M237" s="191"/>
      <x:c r="N237" s="191"/>
      <x:c r="O237" s="191"/>
      <x:c r="P237" s="191"/>
      <x:c r="Q237" s="191"/>
      <x:c r="R237" s="191"/>
      <x:c r="S237" s="191"/>
      <x:c r="T237" s="191"/>
      <x:c r="U237" s="191"/>
      <x:c r="V237" s="191"/>
      <x:c r="W237" s="191"/>
      <x:c r="X237" s="191"/>
      <x:c r="Y237" s="191"/>
      <x:c r="Z237" s="191"/>
      <x:c r="AA237" s="191"/>
      <x:c r="AB237" s="191"/>
      <x:c r="AC237" s="191"/>
      <x:c r="AD237" s="191"/>
      <x:c r="AE237" s="191"/>
      <x:c r="AF237" s="191"/>
      <x:c r="AG237" s="191"/>
      <x:c r="AH237" s="191"/>
      <x:c r="AI237" s="191"/>
      <x:c r="AJ237" s="191"/>
      <x:c r="AK237" s="191"/>
    </x:row>
    <x:row r="238">
      <x:c r="A238" s="191"/>
      <x:c r="B238" s="191"/>
      <x:c r="C238" s="191"/>
      <x:c r="D238" s="191"/>
      <x:c r="E238" s="191"/>
      <x:c r="F238" s="191"/>
      <x:c r="G238" s="191"/>
      <x:c r="H238" s="191"/>
      <x:c r="I238" s="191"/>
      <x:c r="J238" s="191"/>
      <x:c r="K238" s="191"/>
      <x:c r="L238" s="191"/>
      <x:c r="M238" s="191"/>
      <x:c r="N238" s="191"/>
      <x:c r="O238" s="191"/>
      <x:c r="P238" s="191"/>
      <x:c r="Q238" s="191"/>
      <x:c r="R238" s="191"/>
      <x:c r="S238" s="191"/>
      <x:c r="T238" s="191"/>
      <x:c r="U238" s="191"/>
      <x:c r="V238" s="191"/>
      <x:c r="W238" s="191"/>
      <x:c r="X238" s="191"/>
      <x:c r="Y238" s="191"/>
      <x:c r="Z238" s="191"/>
      <x:c r="AA238" s="191"/>
      <x:c r="AB238" s="191"/>
      <x:c r="AC238" s="191"/>
      <x:c r="AD238" s="191"/>
      <x:c r="AE238" s="191"/>
      <x:c r="AF238" s="191"/>
      <x:c r="AG238" s="191"/>
      <x:c r="AH238" s="191"/>
      <x:c r="AI238" s="191"/>
      <x:c r="AJ238" s="191"/>
      <x:c r="AK238" s="191"/>
    </x:row>
    <x:row r="239">
      <x:c r="A239" s="191"/>
      <x:c r="B239" s="191"/>
      <x:c r="C239" s="191"/>
      <x:c r="D239" s="191"/>
      <x:c r="E239" s="191"/>
      <x:c r="F239" s="191"/>
      <x:c r="G239" s="191"/>
      <x:c r="H239" s="191"/>
      <x:c r="I239" s="191"/>
      <x:c r="J239" s="191"/>
      <x:c r="K239" s="191"/>
      <x:c r="L239" s="191"/>
      <x:c r="M239" s="191"/>
      <x:c r="N239" s="191"/>
      <x:c r="O239" s="191"/>
      <x:c r="P239" s="191"/>
      <x:c r="Q239" s="191"/>
      <x:c r="R239" s="191"/>
      <x:c r="S239" s="191"/>
      <x:c r="T239" s="191"/>
      <x:c r="U239" s="191"/>
      <x:c r="V239" s="191"/>
      <x:c r="W239" s="191"/>
      <x:c r="X239" s="191"/>
      <x:c r="Y239" s="191"/>
      <x:c r="Z239" s="191"/>
      <x:c r="AA239" s="191"/>
      <x:c r="AB239" s="191"/>
      <x:c r="AC239" s="191"/>
      <x:c r="AD239" s="191"/>
      <x:c r="AE239" s="191"/>
      <x:c r="AF239" s="191"/>
      <x:c r="AG239" s="191"/>
      <x:c r="AH239" s="191"/>
      <x:c r="AI239" s="191"/>
      <x:c r="AJ239" s="191"/>
      <x:c r="AK239" s="191"/>
    </x:row>
    <x:row r="240">
      <x:c r="A240" s="191"/>
      <x:c r="B240" s="191"/>
      <x:c r="C240" s="191"/>
      <x:c r="D240" s="191"/>
      <x:c r="E240" s="191"/>
      <x:c r="F240" s="191"/>
      <x:c r="G240" s="191"/>
      <x:c r="H240" s="191"/>
      <x:c r="I240" s="191"/>
      <x:c r="J240" s="191"/>
      <x:c r="K240" s="191"/>
      <x:c r="L240" s="191"/>
      <x:c r="M240" s="191"/>
      <x:c r="N240" s="191"/>
      <x:c r="O240" s="191"/>
      <x:c r="P240" s="191"/>
      <x:c r="Q240" s="191"/>
      <x:c r="R240" s="191"/>
      <x:c r="S240" s="191"/>
      <x:c r="T240" s="191"/>
      <x:c r="U240" s="191"/>
      <x:c r="V240" s="191"/>
      <x:c r="W240" s="191"/>
      <x:c r="X240" s="191"/>
      <x:c r="Y240" s="191"/>
      <x:c r="Z240" s="191"/>
      <x:c r="AA240" s="191"/>
      <x:c r="AB240" s="191"/>
      <x:c r="AC240" s="191"/>
      <x:c r="AD240" s="191"/>
      <x:c r="AE240" s="191"/>
      <x:c r="AF240" s="191"/>
      <x:c r="AG240" s="191"/>
      <x:c r="AH240" s="191"/>
      <x:c r="AI240" s="191"/>
      <x:c r="AJ240" s="191"/>
      <x:c r="AK240" s="191"/>
    </x:row>
    <x:row r="241">
      <x:c r="A241" s="191"/>
      <x:c r="B241" s="191"/>
      <x:c r="C241" s="191"/>
      <x:c r="D241" s="191"/>
      <x:c r="E241" s="191"/>
      <x:c r="F241" s="191"/>
      <x:c r="G241" s="191"/>
      <x:c r="H241" s="191"/>
      <x:c r="I241" s="191"/>
      <x:c r="J241" s="191"/>
      <x:c r="K241" s="191"/>
      <x:c r="L241" s="191"/>
      <x:c r="M241" s="191"/>
      <x:c r="N241" s="191"/>
      <x:c r="O241" s="191"/>
      <x:c r="P241" s="191"/>
      <x:c r="Q241" s="191"/>
      <x:c r="R241" s="191"/>
      <x:c r="S241" s="191"/>
      <x:c r="T241" s="191"/>
      <x:c r="U241" s="191"/>
      <x:c r="V241" s="191"/>
      <x:c r="W241" s="191"/>
      <x:c r="X241" s="191"/>
      <x:c r="Y241" s="191"/>
      <x:c r="Z241" s="191"/>
      <x:c r="AA241" s="191"/>
      <x:c r="AB241" s="191"/>
      <x:c r="AC241" s="191"/>
      <x:c r="AD241" s="191"/>
      <x:c r="AE241" s="191"/>
      <x:c r="AF241" s="191"/>
      <x:c r="AG241" s="191"/>
      <x:c r="AH241" s="191"/>
      <x:c r="AI241" s="191"/>
      <x:c r="AJ241" s="191"/>
      <x:c r="AK241" s="191"/>
    </x:row>
    <x:row r="242">
      <x:c r="A242" s="191"/>
      <x:c r="B242" s="191"/>
      <x:c r="C242" s="191"/>
      <x:c r="D242" s="191"/>
      <x:c r="E242" s="191"/>
      <x:c r="F242" s="191"/>
      <x:c r="G242" s="191"/>
      <x:c r="H242" s="191"/>
      <x:c r="I242" s="191"/>
      <x:c r="J242" s="191"/>
      <x:c r="K242" s="191"/>
      <x:c r="L242" s="191"/>
      <x:c r="M242" s="191"/>
      <x:c r="N242" s="191"/>
      <x:c r="O242" s="191"/>
      <x:c r="P242" s="191"/>
      <x:c r="Q242" s="191"/>
      <x:c r="R242" s="191"/>
      <x:c r="S242" s="191"/>
      <x:c r="T242" s="191"/>
      <x:c r="U242" s="191"/>
      <x:c r="V242" s="191"/>
      <x:c r="W242" s="191"/>
      <x:c r="X242" s="191"/>
      <x:c r="Y242" s="191"/>
      <x:c r="Z242" s="191"/>
      <x:c r="AA242" s="191"/>
      <x:c r="AB242" s="191"/>
      <x:c r="AC242" s="191"/>
      <x:c r="AD242" s="191"/>
      <x:c r="AE242" s="191"/>
      <x:c r="AF242" s="191"/>
      <x:c r="AG242" s="191"/>
      <x:c r="AH242" s="191"/>
      <x:c r="AI242" s="191"/>
      <x:c r="AJ242" s="191"/>
      <x:c r="AK242" s="191"/>
    </x:row>
    <x:row r="243">
      <x:c r="A243" s="191"/>
      <x:c r="B243" s="191"/>
      <x:c r="C243" s="191"/>
      <x:c r="D243" s="191"/>
      <x:c r="E243" s="191"/>
      <x:c r="F243" s="191"/>
      <x:c r="G243" s="191"/>
      <x:c r="H243" s="191"/>
      <x:c r="I243" s="191"/>
      <x:c r="J243" s="191"/>
      <x:c r="K243" s="191"/>
      <x:c r="L243" s="191"/>
      <x:c r="M243" s="191"/>
      <x:c r="N243" s="191"/>
      <x:c r="O243" s="191"/>
      <x:c r="P243" s="191"/>
      <x:c r="Q243" s="191"/>
      <x:c r="R243" s="191"/>
      <x:c r="S243" s="191"/>
      <x:c r="T243" s="191"/>
      <x:c r="U243" s="191"/>
      <x:c r="V243" s="191"/>
      <x:c r="W243" s="191"/>
      <x:c r="X243" s="191"/>
      <x:c r="Y243" s="191"/>
      <x:c r="Z243" s="191"/>
      <x:c r="AA243" s="191"/>
      <x:c r="AB243" s="191"/>
      <x:c r="AC243" s="191"/>
      <x:c r="AD243" s="191"/>
      <x:c r="AE243" s="191"/>
      <x:c r="AF243" s="191"/>
      <x:c r="AG243" s="191"/>
      <x:c r="AH243" s="191"/>
      <x:c r="AI243" s="191"/>
      <x:c r="AJ243" s="191"/>
      <x:c r="AK243" s="191"/>
    </x:row>
    <x:row r="244">
      <x:c r="A244" s="191"/>
      <x:c r="B244" s="191"/>
      <x:c r="C244" s="191"/>
      <x:c r="D244" s="191"/>
      <x:c r="E244" s="191"/>
      <x:c r="F244" s="191"/>
      <x:c r="G244" s="191"/>
      <x:c r="H244" s="191"/>
      <x:c r="I244" s="191"/>
      <x:c r="J244" s="191"/>
      <x:c r="K244" s="191"/>
      <x:c r="L244" s="191"/>
      <x:c r="M244" s="191"/>
      <x:c r="N244" s="191"/>
      <x:c r="O244" s="191"/>
      <x:c r="P244" s="191"/>
      <x:c r="Q244" s="191"/>
      <x:c r="R244" s="191"/>
      <x:c r="S244" s="191"/>
      <x:c r="T244" s="191"/>
      <x:c r="U244" s="191"/>
      <x:c r="V244" s="191"/>
      <x:c r="W244" s="191"/>
      <x:c r="X244" s="191"/>
      <x:c r="Y244" s="191"/>
      <x:c r="Z244" s="191"/>
      <x:c r="AA244" s="191"/>
      <x:c r="AB244" s="191"/>
      <x:c r="AC244" s="191"/>
      <x:c r="AD244" s="191"/>
      <x:c r="AE244" s="191"/>
      <x:c r="AF244" s="191"/>
      <x:c r="AG244" s="191"/>
      <x:c r="AH244" s="191"/>
      <x:c r="AI244" s="191"/>
      <x:c r="AJ244" s="191"/>
      <x:c r="AK244" s="191"/>
    </x:row>
    <x:row r="245">
      <x:c r="A245" s="191"/>
      <x:c r="B245" s="191"/>
      <x:c r="C245" s="191"/>
      <x:c r="D245" s="191"/>
      <x:c r="E245" s="191"/>
      <x:c r="F245" s="191"/>
      <x:c r="G245" s="191"/>
      <x:c r="H245" s="191"/>
      <x:c r="I245" s="191"/>
      <x:c r="J245" s="191"/>
      <x:c r="K245" s="191"/>
      <x:c r="L245" s="191"/>
      <x:c r="M245" s="191"/>
      <x:c r="N245" s="191"/>
      <x:c r="O245" s="191"/>
      <x:c r="P245" s="191"/>
      <x:c r="Q245" s="191"/>
      <x:c r="R245" s="191"/>
      <x:c r="S245" s="191"/>
      <x:c r="T245" s="191"/>
      <x:c r="U245" s="191"/>
      <x:c r="V245" s="191"/>
      <x:c r="W245" s="191"/>
      <x:c r="X245" s="191"/>
      <x:c r="Y245" s="191"/>
      <x:c r="Z245" s="191"/>
      <x:c r="AA245" s="191"/>
      <x:c r="AB245" s="191"/>
      <x:c r="AC245" s="191"/>
      <x:c r="AD245" s="191"/>
      <x:c r="AE245" s="191"/>
      <x:c r="AF245" s="191"/>
      <x:c r="AG245" s="191"/>
      <x:c r="AH245" s="191"/>
      <x:c r="AI245" s="191"/>
      <x:c r="AJ245" s="191"/>
      <x:c r="AK245" s="191"/>
    </x:row>
    <x:row r="246">
      <x:c r="A246" s="191"/>
      <x:c r="B246" s="191"/>
      <x:c r="C246" s="191"/>
      <x:c r="D246" s="191"/>
      <x:c r="E246" s="191"/>
      <x:c r="F246" s="191"/>
      <x:c r="G246" s="191"/>
      <x:c r="H246" s="191"/>
      <x:c r="I246" s="191"/>
      <x:c r="J246" s="191"/>
      <x:c r="K246" s="191"/>
      <x:c r="L246" s="191"/>
      <x:c r="M246" s="191"/>
      <x:c r="N246" s="191"/>
      <x:c r="O246" s="191"/>
      <x:c r="P246" s="191"/>
      <x:c r="Q246" s="191"/>
      <x:c r="R246" s="191"/>
      <x:c r="S246" s="191"/>
      <x:c r="T246" s="191"/>
      <x:c r="U246" s="191"/>
      <x:c r="V246" s="191"/>
      <x:c r="W246" s="191"/>
      <x:c r="X246" s="191"/>
      <x:c r="Y246" s="191"/>
      <x:c r="Z246" s="191"/>
      <x:c r="AA246" s="191"/>
      <x:c r="AB246" s="191"/>
      <x:c r="AC246" s="191"/>
      <x:c r="AD246" s="191"/>
      <x:c r="AE246" s="191"/>
      <x:c r="AF246" s="191"/>
      <x:c r="AG246" s="191"/>
      <x:c r="AH246" s="191"/>
      <x:c r="AI246" s="191"/>
      <x:c r="AJ246" s="191"/>
      <x:c r="AK246" s="191"/>
    </x:row>
    <x:row r="247">
      <x:c r="A247" s="191"/>
      <x:c r="B247" s="191"/>
      <x:c r="C247" s="191"/>
      <x:c r="D247" s="191"/>
      <x:c r="E247" s="191"/>
      <x:c r="F247" s="191"/>
      <x:c r="G247" s="191"/>
      <x:c r="H247" s="191"/>
      <x:c r="I247" s="191"/>
      <x:c r="J247" s="191"/>
      <x:c r="K247" s="191"/>
      <x:c r="L247" s="191"/>
      <x:c r="M247" s="191"/>
      <x:c r="N247" s="191"/>
      <x:c r="O247" s="191"/>
      <x:c r="P247" s="191"/>
      <x:c r="Q247" s="191"/>
      <x:c r="R247" s="191"/>
      <x:c r="S247" s="191"/>
      <x:c r="T247" s="191"/>
      <x:c r="U247" s="191"/>
      <x:c r="V247" s="191"/>
      <x:c r="W247" s="191"/>
      <x:c r="X247" s="191"/>
      <x:c r="Y247" s="191"/>
      <x:c r="Z247" s="191"/>
      <x:c r="AA247" s="191"/>
      <x:c r="AB247" s="191"/>
      <x:c r="AC247" s="191"/>
      <x:c r="AD247" s="191"/>
      <x:c r="AE247" s="191"/>
      <x:c r="AF247" s="191"/>
      <x:c r="AG247" s="191"/>
      <x:c r="AH247" s="191"/>
      <x:c r="AI247" s="191"/>
      <x:c r="AJ247" s="191"/>
      <x:c r="AK247" s="191"/>
    </x:row>
    <x:row r="248">
      <x:c r="A248" s="191"/>
      <x:c r="B248" s="191"/>
      <x:c r="C248" s="191"/>
      <x:c r="D248" s="191"/>
      <x:c r="E248" s="191"/>
      <x:c r="F248" s="191"/>
      <x:c r="G248" s="191"/>
      <x:c r="H248" s="191"/>
      <x:c r="I248" s="191"/>
      <x:c r="J248" s="191"/>
      <x:c r="K248" s="191"/>
      <x:c r="L248" s="191"/>
      <x:c r="M248" s="191"/>
      <x:c r="N248" s="191"/>
      <x:c r="O248" s="191"/>
      <x:c r="P248" s="191"/>
      <x:c r="Q248" s="191"/>
      <x:c r="R248" s="191"/>
      <x:c r="S248" s="191"/>
      <x:c r="T248" s="191"/>
      <x:c r="U248" s="191"/>
      <x:c r="V248" s="191"/>
      <x:c r="W248" s="191"/>
      <x:c r="X248" s="191"/>
      <x:c r="Y248" s="191"/>
      <x:c r="Z248" s="191"/>
      <x:c r="AA248" s="191"/>
      <x:c r="AB248" s="191"/>
      <x:c r="AC248" s="191"/>
      <x:c r="AD248" s="191"/>
      <x:c r="AE248" s="191"/>
      <x:c r="AF248" s="191"/>
      <x:c r="AG248" s="191"/>
      <x:c r="AH248" s="191"/>
      <x:c r="AI248" s="191"/>
      <x:c r="AJ248" s="191"/>
      <x:c r="AK248" s="191"/>
    </x:row>
    <x:row r="249">
      <x:c r="A249" s="191"/>
      <x:c r="B249" s="191"/>
      <x:c r="C249" s="191"/>
      <x:c r="D249" s="191"/>
      <x:c r="E249" s="191"/>
      <x:c r="F249" s="191"/>
      <x:c r="G249" s="191"/>
      <x:c r="H249" s="191"/>
      <x:c r="I249" s="191"/>
      <x:c r="J249" s="191"/>
      <x:c r="K249" s="191"/>
      <x:c r="L249" s="191"/>
      <x:c r="M249" s="191"/>
      <x:c r="N249" s="191"/>
      <x:c r="O249" s="191"/>
      <x:c r="P249" s="191"/>
      <x:c r="Q249" s="191"/>
      <x:c r="R249" s="191"/>
      <x:c r="S249" s="191"/>
      <x:c r="T249" s="191"/>
      <x:c r="U249" s="191"/>
      <x:c r="V249" s="191"/>
      <x:c r="W249" s="191"/>
      <x:c r="X249" s="191"/>
      <x:c r="Y249" s="191"/>
      <x:c r="Z249" s="191"/>
      <x:c r="AA249" s="191"/>
      <x:c r="AB249" s="191"/>
      <x:c r="AC249" s="191"/>
      <x:c r="AD249" s="191"/>
      <x:c r="AE249" s="191"/>
      <x:c r="AF249" s="191"/>
      <x:c r="AG249" s="191"/>
      <x:c r="AH249" s="191"/>
      <x:c r="AI249" s="191"/>
      <x:c r="AJ249" s="191"/>
      <x:c r="AK249" s="191"/>
    </x:row>
    <x:row r="250">
      <x:c r="A250" s="191"/>
      <x:c r="B250" s="191"/>
      <x:c r="C250" s="191"/>
      <x:c r="D250" s="191"/>
      <x:c r="E250" s="191"/>
      <x:c r="F250" s="191"/>
      <x:c r="G250" s="191"/>
      <x:c r="H250" s="191"/>
      <x:c r="I250" s="191"/>
      <x:c r="J250" s="191"/>
      <x:c r="K250" s="191"/>
      <x:c r="L250" s="191"/>
      <x:c r="M250" s="191"/>
      <x:c r="N250" s="191"/>
      <x:c r="O250" s="191"/>
      <x:c r="P250" s="191"/>
      <x:c r="Q250" s="191"/>
      <x:c r="R250" s="191"/>
      <x:c r="S250" s="191"/>
      <x:c r="T250" s="191"/>
      <x:c r="U250" s="191"/>
      <x:c r="V250" s="191"/>
      <x:c r="W250" s="191"/>
      <x:c r="X250" s="191"/>
      <x:c r="Y250" s="191"/>
      <x:c r="Z250" s="191"/>
      <x:c r="AA250" s="191"/>
      <x:c r="AB250" s="191"/>
      <x:c r="AC250" s="191"/>
      <x:c r="AD250" s="191"/>
      <x:c r="AE250" s="191"/>
      <x:c r="AF250" s="191"/>
      <x:c r="AG250" s="191"/>
      <x:c r="AH250" s="191"/>
      <x:c r="AI250" s="191"/>
      <x:c r="AJ250" s="191"/>
      <x:c r="AK250" s="191"/>
    </x:row>
    <x:row r="251">
      <x:c r="A251" s="191"/>
      <x:c r="B251" s="191"/>
      <x:c r="C251" s="191"/>
      <x:c r="D251" s="191"/>
      <x:c r="E251" s="191"/>
      <x:c r="F251" s="191"/>
      <x:c r="G251" s="191"/>
      <x:c r="H251" s="191"/>
      <x:c r="I251" s="191"/>
      <x:c r="J251" s="191"/>
      <x:c r="K251" s="191"/>
      <x:c r="L251" s="191"/>
      <x:c r="M251" s="191"/>
      <x:c r="N251" s="191"/>
      <x:c r="O251" s="191"/>
      <x:c r="P251" s="191"/>
      <x:c r="Q251" s="191"/>
      <x:c r="R251" s="191"/>
      <x:c r="S251" s="191"/>
      <x:c r="T251" s="191"/>
      <x:c r="U251" s="191"/>
      <x:c r="V251" s="191"/>
      <x:c r="W251" s="191"/>
      <x:c r="X251" s="191"/>
      <x:c r="Y251" s="191"/>
      <x:c r="Z251" s="191"/>
      <x:c r="AA251" s="191"/>
      <x:c r="AB251" s="191"/>
      <x:c r="AC251" s="191"/>
      <x:c r="AD251" s="191"/>
      <x:c r="AE251" s="191"/>
      <x:c r="AF251" s="191"/>
      <x:c r="AG251" s="191"/>
      <x:c r="AH251" s="191"/>
      <x:c r="AI251" s="191"/>
      <x:c r="AJ251" s="191"/>
      <x:c r="AK251" s="191"/>
    </x:row>
    <x:row r="252">
      <x:c r="A252" s="191"/>
      <x:c r="B252" s="191"/>
      <x:c r="C252" s="191"/>
      <x:c r="D252" s="191"/>
      <x:c r="E252" s="191"/>
      <x:c r="F252" s="191"/>
      <x:c r="G252" s="191"/>
      <x:c r="H252" s="191"/>
      <x:c r="I252" s="191"/>
      <x:c r="J252" s="191"/>
      <x:c r="K252" s="191"/>
      <x:c r="L252" s="191"/>
      <x:c r="M252" s="191"/>
      <x:c r="N252" s="191"/>
      <x:c r="O252" s="191"/>
      <x:c r="P252" s="191"/>
      <x:c r="Q252" s="191"/>
      <x:c r="R252" s="191"/>
      <x:c r="S252" s="191"/>
      <x:c r="T252" s="191"/>
      <x:c r="U252" s="191"/>
      <x:c r="V252" s="191"/>
      <x:c r="W252" s="191"/>
      <x:c r="X252" s="191"/>
      <x:c r="Y252" s="191"/>
      <x:c r="Z252" s="191"/>
      <x:c r="AA252" s="191"/>
      <x:c r="AB252" s="191"/>
      <x:c r="AC252" s="191"/>
      <x:c r="AD252" s="191"/>
      <x:c r="AE252" s="191"/>
      <x:c r="AF252" s="191"/>
      <x:c r="AG252" s="191"/>
      <x:c r="AH252" s="191"/>
      <x:c r="AI252" s="191"/>
      <x:c r="AJ252" s="191"/>
      <x:c r="AK252" s="191"/>
    </x:row>
    <x:row r="253">
      <x:c r="A253" s="191"/>
      <x:c r="B253" s="191"/>
      <x:c r="C253" s="191"/>
      <x:c r="D253" s="191"/>
      <x:c r="E253" s="191"/>
      <x:c r="F253" s="191"/>
      <x:c r="G253" s="191"/>
      <x:c r="H253" s="191"/>
      <x:c r="I253" s="191"/>
      <x:c r="J253" s="191"/>
      <x:c r="K253" s="191"/>
      <x:c r="L253" s="191"/>
      <x:c r="M253" s="191"/>
      <x:c r="N253" s="191"/>
      <x:c r="O253" s="191"/>
      <x:c r="P253" s="191"/>
      <x:c r="Q253" s="191"/>
      <x:c r="R253" s="191"/>
      <x:c r="S253" s="191"/>
      <x:c r="T253" s="191"/>
      <x:c r="U253" s="191"/>
      <x:c r="V253" s="191"/>
      <x:c r="W253" s="191"/>
      <x:c r="X253" s="191"/>
      <x:c r="Y253" s="191"/>
      <x:c r="Z253" s="191"/>
      <x:c r="AA253" s="191"/>
      <x:c r="AB253" s="191"/>
      <x:c r="AC253" s="191"/>
      <x:c r="AD253" s="191"/>
      <x:c r="AE253" s="191"/>
      <x:c r="AF253" s="191"/>
      <x:c r="AG253" s="191"/>
      <x:c r="AH253" s="191"/>
      <x:c r="AI253" s="191"/>
      <x:c r="AJ253" s="191"/>
      <x:c r="AK253" s="191"/>
    </x:row>
    <x:row r="254">
      <x:c r="A254" s="191"/>
      <x:c r="B254" s="191"/>
      <x:c r="C254" s="191"/>
      <x:c r="D254" s="191"/>
      <x:c r="E254" s="191"/>
      <x:c r="F254" s="191"/>
      <x:c r="G254" s="191"/>
      <x:c r="H254" s="191"/>
      <x:c r="I254" s="191"/>
      <x:c r="J254" s="191"/>
      <x:c r="K254" s="191"/>
      <x:c r="L254" s="191"/>
      <x:c r="M254" s="191"/>
      <x:c r="N254" s="191"/>
      <x:c r="O254" s="191"/>
      <x:c r="P254" s="191"/>
      <x:c r="Q254" s="191"/>
      <x:c r="R254" s="191"/>
      <x:c r="S254" s="191"/>
      <x:c r="T254" s="191"/>
      <x:c r="U254" s="191"/>
      <x:c r="V254" s="191"/>
      <x:c r="W254" s="191"/>
      <x:c r="X254" s="191"/>
      <x:c r="Y254" s="191"/>
      <x:c r="Z254" s="191"/>
      <x:c r="AA254" s="191"/>
      <x:c r="AB254" s="191"/>
      <x:c r="AC254" s="191"/>
      <x:c r="AD254" s="191"/>
      <x:c r="AE254" s="191"/>
      <x:c r="AF254" s="191"/>
      <x:c r="AG254" s="191"/>
      <x:c r="AH254" s="191"/>
      <x:c r="AI254" s="191"/>
      <x:c r="AJ254" s="191"/>
      <x:c r="AK254" s="191"/>
    </x:row>
    <x:row r="255">
      <x:c r="A255" s="191"/>
      <x:c r="B255" s="191"/>
      <x:c r="C255" s="191"/>
      <x:c r="D255" s="191"/>
      <x:c r="E255" s="191"/>
      <x:c r="F255" s="191"/>
      <x:c r="G255" s="191"/>
      <x:c r="H255" s="191"/>
      <x:c r="I255" s="191"/>
      <x:c r="J255" s="191"/>
      <x:c r="K255" s="191"/>
      <x:c r="L255" s="191"/>
      <x:c r="M255" s="191"/>
      <x:c r="N255" s="191"/>
      <x:c r="O255" s="191"/>
      <x:c r="P255" s="191"/>
      <x:c r="Q255" s="191"/>
      <x:c r="R255" s="191"/>
      <x:c r="S255" s="191"/>
      <x:c r="T255" s="191"/>
      <x:c r="U255" s="191"/>
      <x:c r="V255" s="191"/>
      <x:c r="W255" s="191"/>
      <x:c r="X255" s="191"/>
      <x:c r="Y255" s="191"/>
      <x:c r="Z255" s="191"/>
      <x:c r="AA255" s="191"/>
      <x:c r="AB255" s="191"/>
      <x:c r="AC255" s="191"/>
      <x:c r="AD255" s="191"/>
      <x:c r="AE255" s="191"/>
      <x:c r="AF255" s="191"/>
      <x:c r="AG255" s="191"/>
      <x:c r="AH255" s="191"/>
      <x:c r="AI255" s="191"/>
      <x:c r="AJ255" s="191"/>
      <x:c r="AK255" s="191"/>
    </x:row>
    <x:row r="256">
      <x:c r="A256" s="191"/>
      <x:c r="B256" s="191"/>
      <x:c r="C256" s="191"/>
      <x:c r="D256" s="191"/>
      <x:c r="E256" s="191"/>
      <x:c r="F256" s="191"/>
      <x:c r="G256" s="191"/>
      <x:c r="H256" s="191"/>
      <x:c r="I256" s="191"/>
      <x:c r="J256" s="191"/>
      <x:c r="K256" s="191"/>
      <x:c r="L256" s="191"/>
      <x:c r="M256" s="191"/>
      <x:c r="N256" s="191"/>
      <x:c r="O256" s="191"/>
      <x:c r="P256" s="191"/>
      <x:c r="Q256" s="191"/>
      <x:c r="R256" s="191"/>
      <x:c r="S256" s="191"/>
      <x:c r="T256" s="191"/>
      <x:c r="U256" s="191"/>
      <x:c r="V256" s="191"/>
      <x:c r="W256" s="191"/>
      <x:c r="X256" s="191"/>
      <x:c r="Y256" s="191"/>
      <x:c r="Z256" s="191"/>
      <x:c r="AA256" s="191"/>
      <x:c r="AB256" s="191"/>
      <x:c r="AC256" s="191"/>
      <x:c r="AD256" s="191"/>
      <x:c r="AE256" s="191"/>
      <x:c r="AF256" s="191"/>
      <x:c r="AG256" s="191"/>
      <x:c r="AH256" s="191"/>
      <x:c r="AI256" s="191"/>
      <x:c r="AJ256" s="191"/>
      <x:c r="AK256" s="191"/>
    </x:row>
    <x:row r="257">
      <x:c r="A257" s="191"/>
      <x:c r="B257" s="191"/>
      <x:c r="C257" s="191"/>
      <x:c r="D257" s="191"/>
      <x:c r="E257" s="191"/>
      <x:c r="F257" s="191"/>
      <x:c r="G257" s="191"/>
      <x:c r="H257" s="191"/>
      <x:c r="I257" s="191"/>
      <x:c r="J257" s="191"/>
      <x:c r="K257" s="191"/>
      <x:c r="L257" s="191"/>
      <x:c r="M257" s="191"/>
      <x:c r="N257" s="191"/>
      <x:c r="O257" s="191"/>
      <x:c r="P257" s="191"/>
      <x:c r="Q257" s="191"/>
      <x:c r="R257" s="191"/>
      <x:c r="S257" s="191"/>
      <x:c r="T257" s="191"/>
      <x:c r="U257" s="191"/>
      <x:c r="V257" s="191"/>
      <x:c r="W257" s="191"/>
      <x:c r="X257" s="191"/>
      <x:c r="Y257" s="191"/>
      <x:c r="Z257" s="191"/>
      <x:c r="AA257" s="191"/>
      <x:c r="AB257" s="191"/>
      <x:c r="AC257" s="191"/>
      <x:c r="AD257" s="191"/>
      <x:c r="AE257" s="191"/>
      <x:c r="AF257" s="191"/>
      <x:c r="AG257" s="191"/>
      <x:c r="AH257" s="191"/>
      <x:c r="AI257" s="191"/>
      <x:c r="AJ257" s="191"/>
      <x:c r="AK257" s="191"/>
    </x:row>
    <x:row r="258">
      <x:c r="A258" s="191"/>
      <x:c r="B258" s="191"/>
      <x:c r="C258" s="191"/>
      <x:c r="D258" s="191"/>
      <x:c r="E258" s="191"/>
      <x:c r="F258" s="191"/>
      <x:c r="G258" s="191"/>
      <x:c r="H258" s="191"/>
      <x:c r="I258" s="191"/>
      <x:c r="J258" s="191"/>
      <x:c r="K258" s="191"/>
      <x:c r="L258" s="191"/>
      <x:c r="M258" s="191"/>
      <x:c r="N258" s="191"/>
      <x:c r="O258" s="191"/>
      <x:c r="P258" s="191"/>
      <x:c r="Q258" s="191"/>
      <x:c r="R258" s="191"/>
      <x:c r="S258" s="191"/>
      <x:c r="T258" s="191"/>
      <x:c r="U258" s="191"/>
      <x:c r="V258" s="191"/>
      <x:c r="W258" s="191"/>
      <x:c r="X258" s="191"/>
      <x:c r="Y258" s="191"/>
      <x:c r="Z258" s="191"/>
      <x:c r="AA258" s="191"/>
      <x:c r="AB258" s="191"/>
      <x:c r="AC258" s="191"/>
      <x:c r="AD258" s="191"/>
      <x:c r="AE258" s="191"/>
      <x:c r="AF258" s="191"/>
      <x:c r="AG258" s="191"/>
      <x:c r="AH258" s="191"/>
      <x:c r="AI258" s="191"/>
      <x:c r="AJ258" s="191"/>
      <x:c r="AK258" s="191"/>
    </x:row>
    <x:row r="259">
      <x:c r="A259" s="191"/>
      <x:c r="B259" s="191"/>
      <x:c r="C259" s="191"/>
      <x:c r="D259" s="191"/>
      <x:c r="E259" s="191"/>
      <x:c r="F259" s="191"/>
      <x:c r="G259" s="191"/>
      <x:c r="H259" s="191"/>
      <x:c r="I259" s="191"/>
      <x:c r="J259" s="191"/>
      <x:c r="K259" s="191"/>
      <x:c r="L259" s="191"/>
      <x:c r="M259" s="191"/>
      <x:c r="N259" s="191"/>
      <x:c r="O259" s="191"/>
      <x:c r="P259" s="191"/>
      <x:c r="Q259" s="191"/>
      <x:c r="R259" s="191"/>
      <x:c r="S259" s="191"/>
      <x:c r="T259" s="191"/>
      <x:c r="U259" s="191"/>
      <x:c r="V259" s="191"/>
      <x:c r="W259" s="191"/>
      <x:c r="X259" s="191"/>
      <x:c r="Y259" s="191"/>
      <x:c r="Z259" s="191"/>
      <x:c r="AA259" s="191"/>
      <x:c r="AB259" s="191"/>
      <x:c r="AC259" s="191"/>
      <x:c r="AD259" s="191"/>
      <x:c r="AE259" s="191"/>
      <x:c r="AF259" s="191"/>
      <x:c r="AG259" s="191"/>
      <x:c r="AH259" s="191"/>
      <x:c r="AI259" s="191"/>
      <x:c r="AJ259" s="191"/>
      <x:c r="AK259" s="191"/>
    </x:row>
    <x:row r="260">
      <x:c r="A260" s="191"/>
      <x:c r="B260" s="191"/>
      <x:c r="C260" s="191"/>
      <x:c r="D260" s="191"/>
      <x:c r="E260" s="191"/>
      <x:c r="F260" s="191"/>
      <x:c r="G260" s="191"/>
      <x:c r="H260" s="191"/>
      <x:c r="I260" s="191"/>
      <x:c r="J260" s="191"/>
      <x:c r="K260" s="191"/>
      <x:c r="L260" s="191"/>
      <x:c r="M260" s="191"/>
      <x:c r="N260" s="191"/>
      <x:c r="O260" s="191"/>
      <x:c r="P260" s="191"/>
      <x:c r="Q260" s="191"/>
      <x:c r="R260" s="191"/>
      <x:c r="S260" s="191"/>
      <x:c r="T260" s="191"/>
      <x:c r="U260" s="191"/>
      <x:c r="V260" s="191"/>
      <x:c r="W260" s="191"/>
      <x:c r="X260" s="191"/>
      <x:c r="Y260" s="191"/>
      <x:c r="Z260" s="191"/>
      <x:c r="AA260" s="191"/>
      <x:c r="AB260" s="191"/>
      <x:c r="AC260" s="191"/>
      <x:c r="AD260" s="191"/>
      <x:c r="AE260" s="191"/>
      <x:c r="AF260" s="191"/>
      <x:c r="AG260" s="191"/>
      <x:c r="AH260" s="191"/>
      <x:c r="AI260" s="191"/>
      <x:c r="AJ260" s="191"/>
      <x:c r="AK260" s="191"/>
    </x:row>
    <x:row r="261">
      <x:c r="A261" s="191"/>
      <x:c r="B261" s="191"/>
      <x:c r="C261" s="191"/>
      <x:c r="D261" s="191"/>
      <x:c r="E261" s="191"/>
      <x:c r="F261" s="191"/>
      <x:c r="G261" s="191"/>
      <x:c r="H261" s="191"/>
      <x:c r="I261" s="191"/>
      <x:c r="J261" s="191"/>
      <x:c r="K261" s="191"/>
      <x:c r="L261" s="191"/>
      <x:c r="M261" s="191"/>
      <x:c r="N261" s="191"/>
      <x:c r="O261" s="191"/>
      <x:c r="P261" s="191"/>
      <x:c r="Q261" s="191"/>
      <x:c r="R261" s="191"/>
      <x:c r="S261" s="191"/>
      <x:c r="T261" s="191"/>
      <x:c r="U261" s="191"/>
      <x:c r="V261" s="191"/>
      <x:c r="W261" s="191"/>
      <x:c r="X261" s="191"/>
      <x:c r="Y261" s="191"/>
      <x:c r="Z261" s="191"/>
      <x:c r="AA261" s="191"/>
      <x:c r="AB261" s="191"/>
      <x:c r="AC261" s="191"/>
      <x:c r="AD261" s="191"/>
      <x:c r="AE261" s="191"/>
      <x:c r="AF261" s="191"/>
      <x:c r="AG261" s="191"/>
      <x:c r="AH261" s="191"/>
      <x:c r="AI261" s="191"/>
      <x:c r="AJ261" s="191"/>
      <x:c r="AK261" s="191"/>
    </x:row>
    <x:row r="262">
      <x:c r="A262" s="191"/>
      <x:c r="B262" s="191"/>
      <x:c r="C262" s="191"/>
      <x:c r="D262" s="191"/>
      <x:c r="E262" s="191"/>
      <x:c r="F262" s="191"/>
      <x:c r="G262" s="191"/>
      <x:c r="H262" s="191"/>
      <x:c r="I262" s="191"/>
      <x:c r="J262" s="191"/>
      <x:c r="K262" s="191"/>
      <x:c r="L262" s="191"/>
      <x:c r="M262" s="191"/>
      <x:c r="N262" s="191"/>
      <x:c r="O262" s="191"/>
      <x:c r="P262" s="191"/>
      <x:c r="Q262" s="191"/>
      <x:c r="R262" s="191"/>
      <x:c r="S262" s="191"/>
      <x:c r="T262" s="191"/>
      <x:c r="U262" s="191"/>
      <x:c r="V262" s="191"/>
      <x:c r="W262" s="191"/>
      <x:c r="X262" s="191"/>
      <x:c r="Y262" s="191"/>
      <x:c r="Z262" s="191"/>
      <x:c r="AA262" s="191"/>
      <x:c r="AB262" s="191"/>
      <x:c r="AC262" s="191"/>
      <x:c r="AD262" s="191"/>
      <x:c r="AE262" s="191"/>
      <x:c r="AF262" s="191"/>
      <x:c r="AG262" s="191"/>
      <x:c r="AH262" s="191"/>
      <x:c r="AI262" s="191"/>
      <x:c r="AJ262" s="191"/>
      <x:c r="AK262" s="191"/>
    </x:row>
    <x:row r="263">
      <x:c r="A263" s="191"/>
      <x:c r="B263" s="191"/>
      <x:c r="C263" s="191"/>
      <x:c r="D263" s="191"/>
      <x:c r="E263" s="191"/>
      <x:c r="F263" s="191"/>
      <x:c r="G263" s="191"/>
      <x:c r="H263" s="191"/>
      <x:c r="I263" s="191"/>
      <x:c r="J263" s="191"/>
      <x:c r="K263" s="191"/>
      <x:c r="L263" s="191"/>
      <x:c r="M263" s="191"/>
      <x:c r="N263" s="191"/>
      <x:c r="O263" s="191"/>
      <x:c r="P263" s="191"/>
      <x:c r="Q263" s="191"/>
      <x:c r="R263" s="191"/>
      <x:c r="S263" s="191"/>
      <x:c r="T263" s="191"/>
      <x:c r="U263" s="191"/>
      <x:c r="V263" s="191"/>
      <x:c r="W263" s="191"/>
      <x:c r="X263" s="191"/>
      <x:c r="Y263" s="191"/>
      <x:c r="Z263" s="191"/>
      <x:c r="AA263" s="191"/>
      <x:c r="AB263" s="191"/>
      <x:c r="AC263" s="191"/>
      <x:c r="AD263" s="191"/>
      <x:c r="AE263" s="191"/>
      <x:c r="AF263" s="191"/>
      <x:c r="AG263" s="191"/>
      <x:c r="AH263" s="191"/>
      <x:c r="AI263" s="191"/>
      <x:c r="AJ263" s="191"/>
      <x:c r="AK263" s="191"/>
    </x:row>
    <x:row r="264">
      <x:c r="A264" s="191"/>
      <x:c r="B264" s="191"/>
      <x:c r="C264" s="191"/>
      <x:c r="D264" s="191"/>
      <x:c r="E264" s="191"/>
      <x:c r="F264" s="191"/>
      <x:c r="G264" s="191"/>
      <x:c r="H264" s="191"/>
      <x:c r="I264" s="191"/>
      <x:c r="J264" s="191"/>
      <x:c r="K264" s="191"/>
      <x:c r="L264" s="191"/>
      <x:c r="M264" s="191"/>
      <x:c r="N264" s="191"/>
      <x:c r="O264" s="191"/>
      <x:c r="P264" s="191"/>
      <x:c r="Q264" s="191"/>
      <x:c r="R264" s="191"/>
      <x:c r="S264" s="191"/>
      <x:c r="T264" s="191"/>
      <x:c r="U264" s="191"/>
      <x:c r="V264" s="191"/>
      <x:c r="W264" s="191"/>
      <x:c r="X264" s="191"/>
      <x:c r="Y264" s="191"/>
      <x:c r="Z264" s="191"/>
      <x:c r="AA264" s="191"/>
      <x:c r="AB264" s="191"/>
      <x:c r="AC264" s="191"/>
      <x:c r="AD264" s="191"/>
      <x:c r="AE264" s="191"/>
      <x:c r="AF264" s="191"/>
      <x:c r="AG264" s="191"/>
      <x:c r="AH264" s="191"/>
      <x:c r="AI264" s="191"/>
      <x:c r="AJ264" s="191"/>
      <x:c r="AK264" s="191"/>
    </x:row>
    <x:row r="265">
      <x:c r="A265" s="191"/>
      <x:c r="B265" s="191"/>
      <x:c r="C265" s="191"/>
      <x:c r="D265" s="191"/>
      <x:c r="E265" s="191"/>
      <x:c r="F265" s="191"/>
      <x:c r="G265" s="191"/>
      <x:c r="H265" s="191"/>
      <x:c r="I265" s="191"/>
      <x:c r="J265" s="191"/>
      <x:c r="K265" s="191"/>
      <x:c r="L265" s="191"/>
      <x:c r="M265" s="191"/>
      <x:c r="N265" s="191"/>
      <x:c r="O265" s="191"/>
      <x:c r="P265" s="191"/>
      <x:c r="Q265" s="191"/>
      <x:c r="R265" s="191"/>
      <x:c r="S265" s="191"/>
      <x:c r="T265" s="191"/>
      <x:c r="U265" s="191"/>
      <x:c r="V265" s="191"/>
      <x:c r="W265" s="191"/>
      <x:c r="X265" s="191"/>
      <x:c r="Y265" s="191"/>
      <x:c r="Z265" s="191"/>
      <x:c r="AA265" s="191"/>
      <x:c r="AB265" s="191"/>
      <x:c r="AC265" s="191"/>
      <x:c r="AD265" s="191"/>
      <x:c r="AE265" s="191"/>
      <x:c r="AF265" s="191"/>
      <x:c r="AG265" s="191"/>
      <x:c r="AH265" s="191"/>
      <x:c r="AI265" s="191"/>
      <x:c r="AJ265" s="191"/>
      <x:c r="AK265" s="191"/>
    </x:row>
    <x:row r="266">
      <x:c r="A266" s="191"/>
      <x:c r="B266" s="191"/>
      <x:c r="C266" s="191"/>
      <x:c r="D266" s="191"/>
      <x:c r="E266" s="191"/>
      <x:c r="F266" s="191"/>
      <x:c r="G266" s="191"/>
      <x:c r="H266" s="191"/>
      <x:c r="I266" s="191"/>
      <x:c r="J266" s="191"/>
      <x:c r="K266" s="191"/>
      <x:c r="L266" s="191"/>
      <x:c r="M266" s="191"/>
      <x:c r="N266" s="191"/>
      <x:c r="O266" s="191"/>
      <x:c r="P266" s="191"/>
      <x:c r="Q266" s="191"/>
      <x:c r="R266" s="191"/>
      <x:c r="S266" s="191"/>
      <x:c r="T266" s="191"/>
      <x:c r="U266" s="191"/>
      <x:c r="V266" s="191"/>
      <x:c r="W266" s="191"/>
      <x:c r="X266" s="191"/>
      <x:c r="Y266" s="191"/>
      <x:c r="Z266" s="191"/>
      <x:c r="AA266" s="191"/>
      <x:c r="AB266" s="191"/>
      <x:c r="AC266" s="191"/>
      <x:c r="AD266" s="191"/>
      <x:c r="AE266" s="191"/>
      <x:c r="AF266" s="191"/>
      <x:c r="AG266" s="191"/>
      <x:c r="AH266" s="191"/>
      <x:c r="AI266" s="191"/>
      <x:c r="AJ266" s="191"/>
      <x:c r="AK266" s="191"/>
    </x:row>
    <x:row r="267">
      <x:c r="A267" s="191"/>
      <x:c r="B267" s="191"/>
      <x:c r="C267" s="191"/>
      <x:c r="D267" s="191"/>
      <x:c r="E267" s="191"/>
      <x:c r="F267" s="191"/>
      <x:c r="G267" s="191"/>
      <x:c r="H267" s="191"/>
      <x:c r="I267" s="191"/>
      <x:c r="J267" s="191"/>
      <x:c r="K267" s="191"/>
      <x:c r="L267" s="191"/>
      <x:c r="M267" s="191"/>
      <x:c r="N267" s="191"/>
      <x:c r="O267" s="191"/>
      <x:c r="P267" s="191"/>
      <x:c r="Q267" s="191"/>
      <x:c r="R267" s="191"/>
      <x:c r="S267" s="191"/>
      <x:c r="T267" s="191"/>
      <x:c r="U267" s="191"/>
      <x:c r="V267" s="191"/>
      <x:c r="W267" s="191"/>
      <x:c r="X267" s="191"/>
      <x:c r="Y267" s="191"/>
      <x:c r="Z267" s="191"/>
      <x:c r="AA267" s="191"/>
      <x:c r="AB267" s="191"/>
      <x:c r="AC267" s="191"/>
      <x:c r="AD267" s="191"/>
      <x:c r="AE267" s="191"/>
      <x:c r="AF267" s="191"/>
      <x:c r="AG267" s="191"/>
      <x:c r="AH267" s="191"/>
      <x:c r="AI267" s="191"/>
      <x:c r="AJ267" s="191"/>
      <x:c r="AK267" s="191"/>
    </x:row>
    <x:row r="268">
      <x:c r="A268" s="191"/>
      <x:c r="B268" s="191"/>
      <x:c r="C268" s="191"/>
      <x:c r="D268" s="191"/>
      <x:c r="E268" s="191"/>
      <x:c r="F268" s="191"/>
      <x:c r="G268" s="191"/>
      <x:c r="H268" s="191"/>
      <x:c r="I268" s="191"/>
      <x:c r="J268" s="191"/>
      <x:c r="K268" s="191"/>
      <x:c r="L268" s="191"/>
      <x:c r="M268" s="191"/>
      <x:c r="N268" s="191"/>
      <x:c r="O268" s="191"/>
      <x:c r="P268" s="191"/>
      <x:c r="Q268" s="191"/>
      <x:c r="R268" s="191"/>
      <x:c r="S268" s="191"/>
      <x:c r="T268" s="191"/>
      <x:c r="U268" s="191"/>
      <x:c r="V268" s="191"/>
      <x:c r="W268" s="191"/>
      <x:c r="X268" s="191"/>
      <x:c r="Y268" s="191"/>
      <x:c r="Z268" s="191"/>
      <x:c r="AA268" s="191"/>
      <x:c r="AB268" s="191"/>
      <x:c r="AC268" s="191"/>
      <x:c r="AD268" s="191"/>
      <x:c r="AE268" s="191"/>
      <x:c r="AF268" s="191"/>
      <x:c r="AG268" s="191"/>
      <x:c r="AH268" s="191"/>
      <x:c r="AI268" s="191"/>
      <x:c r="AJ268" s="191"/>
      <x:c r="AK268" s="191"/>
    </x:row>
    <x:row r="269">
      <x:c r="A269" s="191"/>
      <x:c r="B269" s="191"/>
      <x:c r="C269" s="191"/>
      <x:c r="D269" s="191"/>
      <x:c r="E269" s="191"/>
      <x:c r="F269" s="191"/>
      <x:c r="G269" s="191"/>
      <x:c r="H269" s="191"/>
      <x:c r="I269" s="191"/>
      <x:c r="J269" s="191"/>
      <x:c r="K269" s="191"/>
      <x:c r="L269" s="191"/>
      <x:c r="M269" s="191"/>
      <x:c r="N269" s="191"/>
      <x:c r="O269" s="191"/>
      <x:c r="P269" s="191"/>
      <x:c r="Q269" s="191"/>
      <x:c r="R269" s="191"/>
      <x:c r="S269" s="191"/>
      <x:c r="T269" s="191"/>
      <x:c r="U269" s="191"/>
      <x:c r="V269" s="191"/>
      <x:c r="W269" s="191"/>
      <x:c r="X269" s="191"/>
      <x:c r="Y269" s="191"/>
      <x:c r="Z269" s="191"/>
      <x:c r="AA269" s="191"/>
      <x:c r="AB269" s="191"/>
      <x:c r="AC269" s="191"/>
      <x:c r="AD269" s="191"/>
      <x:c r="AE269" s="191"/>
      <x:c r="AF269" s="191"/>
      <x:c r="AG269" s="191"/>
      <x:c r="AH269" s="191"/>
      <x:c r="AI269" s="191"/>
      <x:c r="AJ269" s="191"/>
      <x:c r="AK269" s="191"/>
    </x:row>
    <x:row r="270">
      <x:c r="A270" s="191"/>
      <x:c r="B270" s="191"/>
      <x:c r="C270" s="191"/>
      <x:c r="D270" s="191"/>
      <x:c r="E270" s="191"/>
      <x:c r="F270" s="191"/>
      <x:c r="G270" s="191"/>
      <x:c r="H270" s="191"/>
      <x:c r="I270" s="191"/>
      <x:c r="J270" s="191"/>
      <x:c r="K270" s="191"/>
      <x:c r="L270" s="191"/>
      <x:c r="M270" s="191"/>
      <x:c r="N270" s="191"/>
      <x:c r="O270" s="191"/>
      <x:c r="P270" s="191"/>
      <x:c r="Q270" s="191"/>
      <x:c r="R270" s="191"/>
      <x:c r="S270" s="191"/>
      <x:c r="T270" s="191"/>
      <x:c r="U270" s="191"/>
      <x:c r="V270" s="191"/>
      <x:c r="W270" s="191"/>
      <x:c r="X270" s="191"/>
      <x:c r="Y270" s="191"/>
      <x:c r="Z270" s="191"/>
      <x:c r="AA270" s="191"/>
      <x:c r="AB270" s="191"/>
      <x:c r="AC270" s="191"/>
      <x:c r="AD270" s="191"/>
      <x:c r="AE270" s="191"/>
      <x:c r="AF270" s="191"/>
      <x:c r="AG270" s="191"/>
      <x:c r="AH270" s="191"/>
      <x:c r="AI270" s="191"/>
      <x:c r="AJ270" s="191"/>
      <x:c r="AK270" s="191"/>
    </x:row>
    <x:row r="271">
      <x:c r="A271" s="191"/>
      <x:c r="B271" s="191"/>
      <x:c r="C271" s="191"/>
      <x:c r="D271" s="191"/>
      <x:c r="E271" s="191"/>
      <x:c r="F271" s="191"/>
      <x:c r="G271" s="191"/>
      <x:c r="H271" s="191"/>
      <x:c r="I271" s="191"/>
      <x:c r="J271" s="191"/>
      <x:c r="K271" s="191"/>
      <x:c r="L271" s="191"/>
      <x:c r="M271" s="191"/>
      <x:c r="N271" s="191"/>
      <x:c r="O271" s="191"/>
      <x:c r="P271" s="191"/>
      <x:c r="Q271" s="191"/>
      <x:c r="R271" s="191"/>
      <x:c r="S271" s="191"/>
      <x:c r="T271" s="191"/>
      <x:c r="U271" s="191"/>
      <x:c r="V271" s="191"/>
      <x:c r="W271" s="191"/>
      <x:c r="X271" s="191"/>
      <x:c r="Y271" s="191"/>
      <x:c r="Z271" s="191"/>
      <x:c r="AA271" s="191"/>
      <x:c r="AB271" s="191"/>
      <x:c r="AC271" s="191"/>
      <x:c r="AD271" s="191"/>
      <x:c r="AE271" s="191"/>
      <x:c r="AF271" s="191"/>
      <x:c r="AG271" s="191"/>
      <x:c r="AH271" s="191"/>
      <x:c r="AI271" s="191"/>
      <x:c r="AJ271" s="191"/>
      <x:c r="AK271" s="191"/>
    </x:row>
    <x:row r="272">
      <x:c r="A272" s="191"/>
      <x:c r="B272" s="191"/>
      <x:c r="C272" s="191"/>
      <x:c r="D272" s="191"/>
      <x:c r="E272" s="191"/>
      <x:c r="F272" s="191"/>
      <x:c r="G272" s="191"/>
      <x:c r="H272" s="191"/>
      <x:c r="I272" s="191"/>
      <x:c r="J272" s="191"/>
      <x:c r="K272" s="191"/>
      <x:c r="L272" s="191"/>
      <x:c r="M272" s="191"/>
      <x:c r="N272" s="191"/>
      <x:c r="O272" s="191"/>
      <x:c r="P272" s="191"/>
      <x:c r="Q272" s="191"/>
      <x:c r="R272" s="191"/>
      <x:c r="S272" s="191"/>
      <x:c r="T272" s="191"/>
      <x:c r="U272" s="191"/>
      <x:c r="V272" s="191"/>
      <x:c r="W272" s="191"/>
      <x:c r="X272" s="191"/>
      <x:c r="Y272" s="191"/>
      <x:c r="Z272" s="191"/>
      <x:c r="AA272" s="191"/>
      <x:c r="AB272" s="191"/>
      <x:c r="AC272" s="191"/>
      <x:c r="AD272" s="191"/>
      <x:c r="AE272" s="191"/>
      <x:c r="AF272" s="191"/>
      <x:c r="AG272" s="191"/>
      <x:c r="AH272" s="191"/>
      <x:c r="AI272" s="191"/>
      <x:c r="AJ272" s="191"/>
      <x:c r="AK272" s="191"/>
    </x:row>
    <x:row r="273">
      <x:c r="A273" s="191"/>
      <x:c r="B273" s="191"/>
      <x:c r="C273" s="191"/>
      <x:c r="D273" s="191"/>
      <x:c r="E273" s="191"/>
      <x:c r="F273" s="191"/>
      <x:c r="G273" s="191"/>
      <x:c r="H273" s="191"/>
      <x:c r="I273" s="191"/>
      <x:c r="J273" s="191"/>
      <x:c r="K273" s="191"/>
      <x:c r="L273" s="191"/>
      <x:c r="M273" s="191"/>
      <x:c r="N273" s="191"/>
      <x:c r="O273" s="191"/>
      <x:c r="P273" s="191"/>
      <x:c r="Q273" s="191"/>
      <x:c r="R273" s="191"/>
      <x:c r="S273" s="191"/>
      <x:c r="T273" s="191"/>
      <x:c r="U273" s="191"/>
      <x:c r="V273" s="191"/>
      <x:c r="W273" s="191"/>
      <x:c r="X273" s="191"/>
      <x:c r="Y273" s="191"/>
      <x:c r="Z273" s="191"/>
      <x:c r="AA273" s="191"/>
      <x:c r="AB273" s="191"/>
      <x:c r="AC273" s="191"/>
      <x:c r="AD273" s="191"/>
      <x:c r="AE273" s="191"/>
      <x:c r="AF273" s="191"/>
      <x:c r="AG273" s="191"/>
      <x:c r="AH273" s="191"/>
      <x:c r="AI273" s="191"/>
      <x:c r="AJ273" s="191"/>
      <x:c r="AK273" s="191"/>
    </x:row>
    <x:row r="274">
      <x:c r="A274" s="191"/>
      <x:c r="B274" s="191"/>
      <x:c r="C274" s="191"/>
      <x:c r="D274" s="191"/>
      <x:c r="E274" s="191"/>
      <x:c r="F274" s="191"/>
      <x:c r="G274" s="191"/>
      <x:c r="H274" s="191"/>
      <x:c r="I274" s="191"/>
      <x:c r="J274" s="191"/>
      <x:c r="K274" s="191"/>
      <x:c r="L274" s="191"/>
      <x:c r="M274" s="191"/>
      <x:c r="N274" s="191"/>
      <x:c r="O274" s="191"/>
      <x:c r="P274" s="191"/>
      <x:c r="Q274" s="191"/>
      <x:c r="R274" s="191"/>
      <x:c r="S274" s="191"/>
      <x:c r="T274" s="191"/>
      <x:c r="U274" s="191"/>
      <x:c r="V274" s="191"/>
      <x:c r="W274" s="191"/>
      <x:c r="X274" s="191"/>
      <x:c r="Y274" s="191"/>
      <x:c r="Z274" s="191"/>
      <x:c r="AA274" s="191"/>
      <x:c r="AB274" s="191"/>
      <x:c r="AC274" s="191"/>
      <x:c r="AD274" s="191"/>
      <x:c r="AE274" s="191"/>
      <x:c r="AF274" s="191"/>
      <x:c r="AG274" s="191"/>
      <x:c r="AH274" s="191"/>
      <x:c r="AI274" s="191"/>
      <x:c r="AJ274" s="191"/>
      <x:c r="AK274" s="191"/>
    </x:row>
    <x:row r="275">
      <x:c r="A275" s="191"/>
      <x:c r="B275" s="191"/>
      <x:c r="C275" s="191"/>
      <x:c r="D275" s="191"/>
      <x:c r="E275" s="191"/>
      <x:c r="F275" s="191"/>
      <x:c r="G275" s="191"/>
      <x:c r="H275" s="191"/>
      <x:c r="I275" s="191"/>
      <x:c r="J275" s="191"/>
      <x:c r="K275" s="191"/>
      <x:c r="L275" s="191"/>
      <x:c r="M275" s="191"/>
      <x:c r="N275" s="191"/>
      <x:c r="O275" s="191"/>
      <x:c r="P275" s="191"/>
      <x:c r="Q275" s="191"/>
      <x:c r="R275" s="191"/>
      <x:c r="S275" s="191"/>
      <x:c r="T275" s="191"/>
      <x:c r="U275" s="191"/>
      <x:c r="V275" s="191"/>
      <x:c r="W275" s="191"/>
      <x:c r="X275" s="191"/>
      <x:c r="Y275" s="191"/>
      <x:c r="Z275" s="191"/>
      <x:c r="AA275" s="191"/>
      <x:c r="AB275" s="191"/>
      <x:c r="AC275" s="191"/>
      <x:c r="AD275" s="191"/>
      <x:c r="AE275" s="191"/>
      <x:c r="AF275" s="191"/>
      <x:c r="AG275" s="191"/>
      <x:c r="AH275" s="191"/>
      <x:c r="AI275" s="191"/>
      <x:c r="AJ275" s="191"/>
      <x:c r="AK275" s="191"/>
    </x:row>
    <x:row r="276">
      <x:c r="A276" s="191"/>
      <x:c r="B276" s="191"/>
      <x:c r="C276" s="191"/>
      <x:c r="D276" s="191"/>
      <x:c r="E276" s="191"/>
      <x:c r="F276" s="191"/>
      <x:c r="G276" s="191"/>
      <x:c r="H276" s="191"/>
      <x:c r="I276" s="191"/>
      <x:c r="J276" s="191"/>
      <x:c r="K276" s="191"/>
      <x:c r="L276" s="191"/>
      <x:c r="M276" s="191"/>
      <x:c r="N276" s="191"/>
      <x:c r="O276" s="191"/>
      <x:c r="P276" s="191"/>
      <x:c r="Q276" s="191"/>
      <x:c r="R276" s="191"/>
      <x:c r="S276" s="191"/>
      <x:c r="T276" s="191"/>
      <x:c r="U276" s="191"/>
      <x:c r="V276" s="191"/>
      <x:c r="W276" s="191"/>
      <x:c r="X276" s="191"/>
      <x:c r="Y276" s="191"/>
      <x:c r="Z276" s="191"/>
      <x:c r="AA276" s="191"/>
      <x:c r="AB276" s="191"/>
      <x:c r="AC276" s="191"/>
      <x:c r="AD276" s="191"/>
      <x:c r="AE276" s="191"/>
      <x:c r="AF276" s="191"/>
      <x:c r="AG276" s="191"/>
      <x:c r="AH276" s="191"/>
      <x:c r="AI276" s="191"/>
      <x:c r="AJ276" s="191"/>
      <x:c r="AK276" s="191"/>
    </x:row>
    <x:row r="277">
      <x:c r="A277" s="191"/>
      <x:c r="B277" s="191"/>
      <x:c r="C277" s="191"/>
      <x:c r="D277" s="191"/>
      <x:c r="E277" s="191"/>
      <x:c r="F277" s="191"/>
      <x:c r="G277" s="191"/>
      <x:c r="H277" s="191"/>
      <x:c r="I277" s="191"/>
      <x:c r="J277" s="191"/>
      <x:c r="K277" s="191"/>
      <x:c r="L277" s="191"/>
      <x:c r="M277" s="191"/>
      <x:c r="N277" s="191"/>
      <x:c r="O277" s="191"/>
      <x:c r="P277" s="191"/>
      <x:c r="Q277" s="191"/>
      <x:c r="R277" s="191"/>
      <x:c r="S277" s="191"/>
      <x:c r="T277" s="191"/>
      <x:c r="U277" s="191"/>
      <x:c r="V277" s="191"/>
      <x:c r="W277" s="191"/>
      <x:c r="X277" s="191"/>
      <x:c r="Y277" s="191"/>
      <x:c r="Z277" s="191"/>
      <x:c r="AA277" s="191"/>
      <x:c r="AB277" s="191"/>
      <x:c r="AC277" s="191"/>
      <x:c r="AD277" s="191"/>
      <x:c r="AE277" s="191"/>
      <x:c r="AF277" s="191"/>
      <x:c r="AG277" s="191"/>
      <x:c r="AH277" s="191"/>
      <x:c r="AI277" s="191"/>
      <x:c r="AJ277" s="191"/>
      <x:c r="AK277" s="191"/>
    </x:row>
    <x:row r="278">
      <x:c r="A278" s="191"/>
      <x:c r="B278" s="191"/>
      <x:c r="C278" s="191"/>
      <x:c r="D278" s="191"/>
      <x:c r="E278" s="191"/>
      <x:c r="F278" s="191"/>
      <x:c r="G278" s="191"/>
      <x:c r="H278" s="191"/>
      <x:c r="I278" s="191"/>
      <x:c r="J278" s="191"/>
      <x:c r="K278" s="191"/>
      <x:c r="L278" s="191"/>
      <x:c r="M278" s="191"/>
      <x:c r="N278" s="191"/>
      <x:c r="O278" s="191"/>
      <x:c r="P278" s="191"/>
      <x:c r="Q278" s="191"/>
      <x:c r="R278" s="191"/>
      <x:c r="S278" s="191"/>
      <x:c r="T278" s="191"/>
      <x:c r="U278" s="191"/>
      <x:c r="V278" s="191"/>
      <x:c r="W278" s="191"/>
      <x:c r="X278" s="191"/>
      <x:c r="Y278" s="191"/>
      <x:c r="Z278" s="191"/>
      <x:c r="AA278" s="191"/>
      <x:c r="AB278" s="191"/>
      <x:c r="AC278" s="191"/>
      <x:c r="AD278" s="191"/>
      <x:c r="AE278" s="191"/>
      <x:c r="AF278" s="191"/>
      <x:c r="AG278" s="191"/>
      <x:c r="AH278" s="191"/>
      <x:c r="AI278" s="191"/>
      <x:c r="AJ278" s="191"/>
      <x:c r="AK278" s="191"/>
    </x:row>
    <x:row r="279">
      <x:c r="A279" s="191"/>
      <x:c r="B279" s="191"/>
      <x:c r="C279" s="191"/>
      <x:c r="D279" s="191"/>
      <x:c r="E279" s="191"/>
      <x:c r="F279" s="191"/>
      <x:c r="G279" s="191"/>
      <x:c r="H279" s="191"/>
      <x:c r="I279" s="191"/>
      <x:c r="J279" s="191"/>
      <x:c r="K279" s="191"/>
      <x:c r="L279" s="191"/>
      <x:c r="M279" s="191"/>
      <x:c r="N279" s="191"/>
      <x:c r="O279" s="191"/>
      <x:c r="P279" s="191"/>
      <x:c r="Q279" s="191"/>
      <x:c r="R279" s="191"/>
      <x:c r="S279" s="191"/>
      <x:c r="T279" s="191"/>
      <x:c r="U279" s="191"/>
      <x:c r="V279" s="191"/>
      <x:c r="W279" s="191"/>
      <x:c r="X279" s="191"/>
      <x:c r="Y279" s="191"/>
      <x:c r="Z279" s="191"/>
      <x:c r="AA279" s="191"/>
      <x:c r="AB279" s="191"/>
      <x:c r="AC279" s="191"/>
      <x:c r="AD279" s="191"/>
      <x:c r="AE279" s="191"/>
      <x:c r="AF279" s="191"/>
      <x:c r="AG279" s="191"/>
      <x:c r="AH279" s="191"/>
      <x:c r="AI279" s="191"/>
      <x:c r="AJ279" s="191"/>
      <x:c r="AK279" s="191"/>
    </x:row>
    <x:row r="280">
      <x:c r="A280" s="191"/>
      <x:c r="B280" s="191"/>
      <x:c r="C280" s="191"/>
      <x:c r="D280" s="191"/>
      <x:c r="E280" s="191"/>
      <x:c r="F280" s="191"/>
      <x:c r="G280" s="191"/>
      <x:c r="H280" s="191"/>
      <x:c r="I280" s="191"/>
      <x:c r="J280" s="191"/>
      <x:c r="K280" s="191"/>
      <x:c r="L280" s="191"/>
      <x:c r="M280" s="191"/>
      <x:c r="N280" s="191"/>
      <x:c r="O280" s="191"/>
      <x:c r="P280" s="191"/>
      <x:c r="Q280" s="191"/>
      <x:c r="R280" s="191"/>
      <x:c r="S280" s="191"/>
      <x:c r="T280" s="191"/>
      <x:c r="U280" s="191"/>
      <x:c r="V280" s="191"/>
      <x:c r="W280" s="191"/>
      <x:c r="X280" s="191"/>
      <x:c r="Y280" s="191"/>
      <x:c r="Z280" s="191"/>
      <x:c r="AA280" s="191"/>
      <x:c r="AB280" s="191"/>
      <x:c r="AC280" s="191"/>
      <x:c r="AD280" s="191"/>
      <x:c r="AE280" s="191"/>
      <x:c r="AF280" s="191"/>
      <x:c r="AG280" s="191"/>
      <x:c r="AH280" s="191"/>
      <x:c r="AI280" s="191"/>
      <x:c r="AJ280" s="191"/>
      <x:c r="AK280" s="191"/>
    </x:row>
    <x:row r="281">
      <x:c r="A281" s="191"/>
      <x:c r="B281" s="191"/>
      <x:c r="C281" s="191"/>
      <x:c r="D281" s="191"/>
      <x:c r="E281" s="191"/>
      <x:c r="F281" s="191"/>
      <x:c r="G281" s="191"/>
      <x:c r="H281" s="191"/>
      <x:c r="I281" s="191"/>
      <x:c r="J281" s="191"/>
      <x:c r="K281" s="191"/>
      <x:c r="L281" s="191"/>
      <x:c r="M281" s="191"/>
      <x:c r="N281" s="191"/>
      <x:c r="O281" s="191"/>
      <x:c r="P281" s="191"/>
      <x:c r="Q281" s="191"/>
      <x:c r="R281" s="191"/>
      <x:c r="S281" s="191"/>
      <x:c r="T281" s="191"/>
      <x:c r="U281" s="191"/>
      <x:c r="V281" s="191"/>
      <x:c r="W281" s="191"/>
      <x:c r="X281" s="191"/>
      <x:c r="Y281" s="191"/>
      <x:c r="Z281" s="191"/>
      <x:c r="AA281" s="191"/>
      <x:c r="AB281" s="191"/>
      <x:c r="AC281" s="191"/>
      <x:c r="AD281" s="191"/>
      <x:c r="AE281" s="191"/>
      <x:c r="AF281" s="191"/>
      <x:c r="AG281" s="191"/>
      <x:c r="AH281" s="191"/>
      <x:c r="AI281" s="191"/>
      <x:c r="AJ281" s="191"/>
      <x:c r="AK281" s="191"/>
    </x:row>
    <x:row r="282">
      <x:c r="A282" s="191"/>
      <x:c r="B282" s="191"/>
      <x:c r="C282" s="191"/>
      <x:c r="D282" s="191"/>
      <x:c r="E282" s="191"/>
      <x:c r="F282" s="191"/>
      <x:c r="G282" s="191"/>
      <x:c r="H282" s="191"/>
      <x:c r="I282" s="191"/>
      <x:c r="J282" s="191"/>
      <x:c r="K282" s="191"/>
      <x:c r="L282" s="191"/>
      <x:c r="M282" s="191"/>
      <x:c r="N282" s="191"/>
      <x:c r="O282" s="191"/>
      <x:c r="P282" s="191"/>
      <x:c r="Q282" s="191"/>
      <x:c r="R282" s="191"/>
      <x:c r="S282" s="191"/>
      <x:c r="T282" s="191"/>
      <x:c r="U282" s="191"/>
      <x:c r="V282" s="191"/>
      <x:c r="W282" s="191"/>
      <x:c r="X282" s="191"/>
      <x:c r="Y282" s="191"/>
      <x:c r="Z282" s="191"/>
      <x:c r="AA282" s="191"/>
      <x:c r="AB282" s="191"/>
      <x:c r="AC282" s="191"/>
      <x:c r="AD282" s="191"/>
      <x:c r="AE282" s="191"/>
      <x:c r="AF282" s="191"/>
      <x:c r="AG282" s="191"/>
      <x:c r="AH282" s="191"/>
      <x:c r="AI282" s="191"/>
      <x:c r="AJ282" s="191"/>
      <x:c r="AK282" s="191"/>
    </x:row>
    <x:row r="283">
      <x:c r="A283" s="191"/>
      <x:c r="B283" s="191"/>
      <x:c r="C283" s="191"/>
      <x:c r="D283" s="191"/>
      <x:c r="E283" s="191"/>
      <x:c r="F283" s="191"/>
      <x:c r="G283" s="191"/>
      <x:c r="H283" s="191"/>
      <x:c r="I283" s="191"/>
      <x:c r="J283" s="191"/>
      <x:c r="K283" s="191"/>
      <x:c r="L283" s="191"/>
      <x:c r="M283" s="191"/>
      <x:c r="N283" s="191"/>
      <x:c r="O283" s="191"/>
      <x:c r="P283" s="191"/>
      <x:c r="Q283" s="191"/>
      <x:c r="R283" s="191"/>
      <x:c r="S283" s="191"/>
      <x:c r="T283" s="191"/>
      <x:c r="U283" s="191"/>
      <x:c r="V283" s="191"/>
      <x:c r="W283" s="191"/>
      <x:c r="X283" s="191"/>
      <x:c r="Y283" s="191"/>
      <x:c r="Z283" s="191"/>
      <x:c r="AA283" s="191"/>
      <x:c r="AB283" s="191"/>
      <x:c r="AC283" s="191"/>
      <x:c r="AD283" s="191"/>
      <x:c r="AE283" s="191"/>
      <x:c r="AF283" s="191"/>
      <x:c r="AG283" s="191"/>
      <x:c r="AH283" s="191"/>
      <x:c r="AI283" s="191"/>
      <x:c r="AJ283" s="191"/>
      <x:c r="AK283" s="191"/>
    </x:row>
    <x:row r="284">
      <x:c r="A284" s="191"/>
      <x:c r="B284" s="191"/>
      <x:c r="C284" s="191"/>
      <x:c r="D284" s="191"/>
      <x:c r="E284" s="191"/>
      <x:c r="F284" s="191"/>
      <x:c r="G284" s="191"/>
      <x:c r="H284" s="191"/>
      <x:c r="I284" s="191"/>
      <x:c r="J284" s="191"/>
      <x:c r="K284" s="191"/>
      <x:c r="L284" s="191"/>
      <x:c r="M284" s="191"/>
      <x:c r="N284" s="191"/>
      <x:c r="O284" s="191"/>
      <x:c r="P284" s="191"/>
      <x:c r="Q284" s="191"/>
      <x:c r="R284" s="191"/>
      <x:c r="S284" s="191"/>
      <x:c r="T284" s="191"/>
      <x:c r="U284" s="191"/>
      <x:c r="V284" s="191"/>
      <x:c r="W284" s="191"/>
      <x:c r="X284" s="191"/>
      <x:c r="Y284" s="191"/>
      <x:c r="Z284" s="191"/>
      <x:c r="AA284" s="191"/>
      <x:c r="AB284" s="191"/>
      <x:c r="AC284" s="191"/>
      <x:c r="AD284" s="191"/>
      <x:c r="AE284" s="191"/>
      <x:c r="AF284" s="191"/>
      <x:c r="AG284" s="191"/>
      <x:c r="AH284" s="191"/>
      <x:c r="AI284" s="191"/>
      <x:c r="AJ284" s="191"/>
      <x:c r="AK284" s="191"/>
    </x:row>
    <x:row r="285">
      <x:c r="A285" s="191"/>
      <x:c r="B285" s="191"/>
      <x:c r="C285" s="191"/>
      <x:c r="D285" s="191"/>
      <x:c r="E285" s="191"/>
      <x:c r="F285" s="191"/>
      <x:c r="G285" s="191"/>
      <x:c r="H285" s="191"/>
      <x:c r="I285" s="191"/>
      <x:c r="J285" s="191"/>
      <x:c r="K285" s="191"/>
      <x:c r="L285" s="191"/>
      <x:c r="M285" s="191"/>
      <x:c r="N285" s="191"/>
      <x:c r="O285" s="191"/>
      <x:c r="P285" s="191"/>
      <x:c r="Q285" s="191"/>
      <x:c r="R285" s="191"/>
      <x:c r="S285" s="191"/>
      <x:c r="T285" s="191"/>
      <x:c r="U285" s="191"/>
      <x:c r="V285" s="191"/>
      <x:c r="W285" s="191"/>
      <x:c r="X285" s="191"/>
      <x:c r="Y285" s="191"/>
      <x:c r="Z285" s="191"/>
      <x:c r="AA285" s="191"/>
      <x:c r="AB285" s="191"/>
      <x:c r="AC285" s="191"/>
      <x:c r="AD285" s="191"/>
      <x:c r="AE285" s="191"/>
      <x:c r="AF285" s="191"/>
      <x:c r="AG285" s="191"/>
      <x:c r="AH285" s="191"/>
      <x:c r="AI285" s="191"/>
      <x:c r="AJ285" s="191"/>
      <x:c r="AK285" s="191"/>
    </x:row>
    <x:row r="286">
      <x:c r="A286" s="191"/>
      <x:c r="B286" s="191"/>
      <x:c r="C286" s="191"/>
      <x:c r="D286" s="191"/>
      <x:c r="E286" s="191"/>
      <x:c r="F286" s="191"/>
      <x:c r="G286" s="191"/>
      <x:c r="H286" s="191"/>
      <x:c r="I286" s="191"/>
      <x:c r="J286" s="191"/>
      <x:c r="K286" s="191"/>
      <x:c r="L286" s="191"/>
      <x:c r="M286" s="191"/>
      <x:c r="N286" s="191"/>
      <x:c r="O286" s="191"/>
      <x:c r="P286" s="191"/>
      <x:c r="Q286" s="191"/>
      <x:c r="R286" s="191"/>
      <x:c r="S286" s="191"/>
      <x:c r="T286" s="191"/>
      <x:c r="U286" s="191"/>
      <x:c r="V286" s="191"/>
      <x:c r="W286" s="191"/>
      <x:c r="X286" s="191"/>
      <x:c r="Y286" s="191"/>
      <x:c r="Z286" s="191"/>
      <x:c r="AA286" s="191"/>
      <x:c r="AB286" s="191"/>
      <x:c r="AC286" s="191"/>
      <x:c r="AD286" s="191"/>
      <x:c r="AE286" s="191"/>
      <x:c r="AF286" s="191"/>
      <x:c r="AG286" s="191"/>
      <x:c r="AH286" s="191"/>
      <x:c r="AI286" s="191"/>
      <x:c r="AJ286" s="191"/>
      <x:c r="AK286" s="191"/>
    </x:row>
    <x:row r="287">
      <x:c r="A287" s="191"/>
      <x:c r="B287" s="191"/>
      <x:c r="C287" s="191"/>
      <x:c r="D287" s="191"/>
      <x:c r="E287" s="191"/>
      <x:c r="F287" s="191"/>
      <x:c r="G287" s="191"/>
      <x:c r="H287" s="191"/>
      <x:c r="I287" s="191"/>
      <x:c r="J287" s="191"/>
      <x:c r="K287" s="191"/>
      <x:c r="L287" s="191"/>
      <x:c r="M287" s="191"/>
      <x:c r="N287" s="191"/>
      <x:c r="O287" s="191"/>
      <x:c r="P287" s="191"/>
      <x:c r="Q287" s="191"/>
      <x:c r="R287" s="191"/>
      <x:c r="S287" s="191"/>
      <x:c r="T287" s="191"/>
      <x:c r="U287" s="191"/>
      <x:c r="V287" s="191"/>
      <x:c r="W287" s="191"/>
      <x:c r="X287" s="191"/>
      <x:c r="Y287" s="191"/>
      <x:c r="Z287" s="191"/>
      <x:c r="AA287" s="191"/>
      <x:c r="AB287" s="191"/>
      <x:c r="AC287" s="191"/>
      <x:c r="AD287" s="191"/>
      <x:c r="AE287" s="191"/>
      <x:c r="AF287" s="191"/>
      <x:c r="AG287" s="191"/>
      <x:c r="AH287" s="191"/>
      <x:c r="AI287" s="191"/>
      <x:c r="AJ287" s="191"/>
      <x:c r="AK287" s="191"/>
    </x:row>
    <x:row r="288">
      <x:c r="A288" s="191"/>
      <x:c r="B288" s="191"/>
      <x:c r="C288" s="191"/>
      <x:c r="D288" s="191"/>
      <x:c r="E288" s="191"/>
      <x:c r="F288" s="191"/>
      <x:c r="G288" s="191"/>
      <x:c r="H288" s="191"/>
      <x:c r="I288" s="191"/>
      <x:c r="J288" s="191"/>
      <x:c r="K288" s="191"/>
      <x:c r="L288" s="191"/>
      <x:c r="M288" s="191"/>
      <x:c r="N288" s="191"/>
      <x:c r="O288" s="191"/>
      <x:c r="P288" s="191"/>
      <x:c r="Q288" s="191"/>
      <x:c r="R288" s="191"/>
      <x:c r="S288" s="191"/>
      <x:c r="T288" s="191"/>
      <x:c r="U288" s="191"/>
      <x:c r="V288" s="191"/>
      <x:c r="W288" s="191"/>
      <x:c r="X288" s="191"/>
      <x:c r="Y288" s="191"/>
      <x:c r="Z288" s="191"/>
      <x:c r="AA288" s="191"/>
      <x:c r="AB288" s="191"/>
      <x:c r="AC288" s="191"/>
      <x:c r="AD288" s="191"/>
      <x:c r="AE288" s="191"/>
      <x:c r="AF288" s="191"/>
      <x:c r="AG288" s="191"/>
      <x:c r="AH288" s="191"/>
      <x:c r="AI288" s="191"/>
      <x:c r="AJ288" s="191"/>
      <x:c r="AK288" s="191"/>
    </x:row>
    <x:row r="289">
      <x:c r="A289" s="191"/>
      <x:c r="B289" s="191"/>
      <x:c r="C289" s="191"/>
      <x:c r="D289" s="191"/>
      <x:c r="E289" s="191"/>
      <x:c r="F289" s="191"/>
      <x:c r="G289" s="191"/>
      <x:c r="H289" s="191"/>
      <x:c r="I289" s="191"/>
      <x:c r="J289" s="191"/>
      <x:c r="K289" s="191"/>
      <x:c r="L289" s="191"/>
      <x:c r="M289" s="191"/>
      <x:c r="N289" s="191"/>
      <x:c r="O289" s="191"/>
      <x:c r="P289" s="191"/>
      <x:c r="Q289" s="191"/>
      <x:c r="R289" s="191"/>
      <x:c r="S289" s="191"/>
      <x:c r="T289" s="191"/>
      <x:c r="U289" s="191"/>
      <x:c r="V289" s="191"/>
      <x:c r="W289" s="191"/>
      <x:c r="X289" s="191"/>
      <x:c r="Y289" s="191"/>
      <x:c r="Z289" s="191"/>
      <x:c r="AA289" s="191"/>
      <x:c r="AB289" s="191"/>
      <x:c r="AC289" s="191"/>
      <x:c r="AD289" s="191"/>
      <x:c r="AE289" s="191"/>
      <x:c r="AF289" s="191"/>
      <x:c r="AG289" s="191"/>
      <x:c r="AH289" s="191"/>
      <x:c r="AI289" s="191"/>
      <x:c r="AJ289" s="191"/>
      <x:c r="AK289" s="191"/>
    </x:row>
    <x:row r="290">
      <x:c r="A290" s="191"/>
      <x:c r="B290" s="191"/>
      <x:c r="C290" s="191"/>
      <x:c r="D290" s="191"/>
      <x:c r="E290" s="191"/>
      <x:c r="F290" s="191"/>
      <x:c r="G290" s="191"/>
      <x:c r="H290" s="191"/>
      <x:c r="I290" s="191"/>
      <x:c r="J290" s="191"/>
      <x:c r="K290" s="191"/>
      <x:c r="L290" s="191"/>
      <x:c r="M290" s="191"/>
      <x:c r="N290" s="191"/>
      <x:c r="O290" s="191"/>
      <x:c r="P290" s="191"/>
      <x:c r="Q290" s="191"/>
      <x:c r="R290" s="191"/>
      <x:c r="S290" s="191"/>
      <x:c r="T290" s="191"/>
      <x:c r="U290" s="191"/>
      <x:c r="V290" s="191"/>
      <x:c r="W290" s="191"/>
      <x:c r="X290" s="191"/>
      <x:c r="Y290" s="191"/>
      <x:c r="Z290" s="191"/>
      <x:c r="AA290" s="191"/>
      <x:c r="AB290" s="191"/>
      <x:c r="AC290" s="191"/>
      <x:c r="AD290" s="191"/>
      <x:c r="AE290" s="191"/>
      <x:c r="AF290" s="191"/>
      <x:c r="AG290" s="191"/>
      <x:c r="AH290" s="191"/>
      <x:c r="AI290" s="191"/>
      <x:c r="AJ290" s="191"/>
      <x:c r="AK290" s="191"/>
    </x:row>
    <x:row r="291">
      <x:c r="A291" s="191"/>
      <x:c r="B291" s="191"/>
      <x:c r="C291" s="191"/>
      <x:c r="D291" s="191"/>
      <x:c r="E291" s="191"/>
      <x:c r="F291" s="191"/>
      <x:c r="G291" s="191"/>
      <x:c r="H291" s="191"/>
      <x:c r="I291" s="191"/>
      <x:c r="J291" s="191"/>
      <x:c r="K291" s="191"/>
      <x:c r="L291" s="191"/>
      <x:c r="M291" s="191"/>
      <x:c r="N291" s="191"/>
      <x:c r="O291" s="191"/>
      <x:c r="P291" s="191"/>
      <x:c r="Q291" s="191"/>
      <x:c r="R291" s="191"/>
      <x:c r="S291" s="191"/>
      <x:c r="T291" s="191"/>
      <x:c r="U291" s="191"/>
      <x:c r="V291" s="191"/>
      <x:c r="W291" s="191"/>
      <x:c r="X291" s="191"/>
      <x:c r="Y291" s="191"/>
      <x:c r="Z291" s="191"/>
      <x:c r="AA291" s="191"/>
      <x:c r="AB291" s="191"/>
      <x:c r="AC291" s="191"/>
      <x:c r="AD291" s="191"/>
      <x:c r="AE291" s="191"/>
      <x:c r="AF291" s="191"/>
      <x:c r="AG291" s="191"/>
      <x:c r="AH291" s="191"/>
      <x:c r="AI291" s="191"/>
      <x:c r="AJ291" s="191"/>
      <x:c r="AK291" s="191"/>
    </x:row>
    <x:row r="292">
      <x:c r="A292" s="191"/>
      <x:c r="B292" s="191"/>
      <x:c r="C292" s="191"/>
      <x:c r="D292" s="191"/>
      <x:c r="E292" s="191"/>
      <x:c r="F292" s="191"/>
      <x:c r="G292" s="191"/>
      <x:c r="H292" s="191"/>
      <x:c r="I292" s="191"/>
      <x:c r="J292" s="191"/>
      <x:c r="K292" s="191"/>
      <x:c r="L292" s="191"/>
      <x:c r="M292" s="191"/>
      <x:c r="N292" s="191"/>
      <x:c r="O292" s="191"/>
      <x:c r="P292" s="191"/>
      <x:c r="Q292" s="191"/>
      <x:c r="R292" s="191"/>
      <x:c r="S292" s="191"/>
      <x:c r="T292" s="191"/>
      <x:c r="U292" s="191"/>
      <x:c r="V292" s="191"/>
      <x:c r="W292" s="191"/>
      <x:c r="X292" s="191"/>
      <x:c r="Y292" s="191"/>
      <x:c r="Z292" s="191"/>
      <x:c r="AA292" s="191"/>
      <x:c r="AB292" s="191"/>
      <x:c r="AC292" s="191"/>
      <x:c r="AD292" s="191"/>
      <x:c r="AE292" s="191"/>
      <x:c r="AF292" s="191"/>
      <x:c r="AG292" s="191"/>
      <x:c r="AH292" s="191"/>
      <x:c r="AI292" s="191"/>
      <x:c r="AJ292" s="191"/>
      <x:c r="AK292" s="191"/>
    </x:row>
    <x:row r="293">
      <x:c r="A293" s="191"/>
      <x:c r="B293" s="191"/>
      <x:c r="C293" s="191"/>
      <x:c r="D293" s="191"/>
      <x:c r="E293" s="191"/>
      <x:c r="F293" s="191"/>
      <x:c r="G293" s="191"/>
      <x:c r="H293" s="191"/>
      <x:c r="I293" s="191"/>
      <x:c r="J293" s="191"/>
      <x:c r="K293" s="191"/>
      <x:c r="L293" s="191"/>
      <x:c r="M293" s="191"/>
      <x:c r="N293" s="191"/>
      <x:c r="O293" s="191"/>
      <x:c r="P293" s="191"/>
      <x:c r="Q293" s="191"/>
      <x:c r="R293" s="191"/>
      <x:c r="S293" s="191"/>
      <x:c r="T293" s="191"/>
      <x:c r="U293" s="191"/>
      <x:c r="V293" s="191"/>
      <x:c r="W293" s="191"/>
      <x:c r="X293" s="191"/>
      <x:c r="Y293" s="191"/>
      <x:c r="Z293" s="191"/>
      <x:c r="AA293" s="191"/>
      <x:c r="AB293" s="191"/>
      <x:c r="AC293" s="191"/>
      <x:c r="AD293" s="191"/>
      <x:c r="AE293" s="191"/>
      <x:c r="AF293" s="191"/>
      <x:c r="AG293" s="191"/>
      <x:c r="AH293" s="191"/>
      <x:c r="AI293" s="191"/>
      <x:c r="AJ293" s="191"/>
      <x:c r="AK293" s="191"/>
    </x:row>
    <x:row r="294">
      <x:c r="A294" s="191"/>
      <x:c r="B294" s="191"/>
      <x:c r="C294" s="191"/>
      <x:c r="D294" s="191"/>
      <x:c r="E294" s="191"/>
      <x:c r="F294" s="191"/>
      <x:c r="G294" s="191"/>
      <x:c r="H294" s="191"/>
      <x:c r="I294" s="191"/>
      <x:c r="J294" s="191"/>
      <x:c r="K294" s="191"/>
      <x:c r="L294" s="191"/>
      <x:c r="M294" s="191"/>
      <x:c r="N294" s="191"/>
      <x:c r="O294" s="191"/>
      <x:c r="P294" s="191"/>
      <x:c r="Q294" s="191"/>
      <x:c r="R294" s="191"/>
      <x:c r="S294" s="191"/>
      <x:c r="T294" s="191"/>
      <x:c r="U294" s="191"/>
      <x:c r="V294" s="191"/>
      <x:c r="W294" s="191"/>
      <x:c r="X294" s="191"/>
      <x:c r="Y294" s="191"/>
      <x:c r="Z294" s="191"/>
      <x:c r="AA294" s="191"/>
      <x:c r="AB294" s="191"/>
      <x:c r="AC294" s="191"/>
      <x:c r="AD294" s="191"/>
      <x:c r="AE294" s="191"/>
      <x:c r="AF294" s="191"/>
      <x:c r="AG294" s="191"/>
      <x:c r="AH294" s="191"/>
      <x:c r="AI294" s="191"/>
      <x:c r="AJ294" s="191"/>
      <x:c r="AK294" s="191"/>
    </x:row>
    <x:row r="295">
      <x:c r="A295" s="191"/>
      <x:c r="B295" s="191"/>
      <x:c r="C295" s="191"/>
      <x:c r="D295" s="191"/>
      <x:c r="E295" s="191"/>
      <x:c r="F295" s="191"/>
      <x:c r="G295" s="191"/>
      <x:c r="H295" s="191"/>
      <x:c r="I295" s="191"/>
      <x:c r="J295" s="191"/>
      <x:c r="K295" s="191"/>
      <x:c r="L295" s="191"/>
      <x:c r="M295" s="191"/>
      <x:c r="N295" s="191"/>
      <x:c r="O295" s="191"/>
      <x:c r="P295" s="191"/>
      <x:c r="Q295" s="191"/>
      <x:c r="R295" s="191"/>
      <x:c r="S295" s="191"/>
      <x:c r="T295" s="191"/>
      <x:c r="U295" s="191"/>
      <x:c r="V295" s="191"/>
      <x:c r="W295" s="191"/>
      <x:c r="X295" s="191"/>
      <x:c r="Y295" s="191"/>
      <x:c r="Z295" s="191"/>
      <x:c r="AA295" s="191"/>
      <x:c r="AB295" s="191"/>
      <x:c r="AC295" s="191"/>
      <x:c r="AD295" s="191"/>
      <x:c r="AE295" s="191"/>
      <x:c r="AF295" s="191"/>
      <x:c r="AG295" s="191"/>
      <x:c r="AH295" s="191"/>
      <x:c r="AI295" s="191"/>
      <x:c r="AJ295" s="191"/>
      <x:c r="AK295" s="191"/>
    </x:row>
    <x:row r="296">
      <x:c r="A296" s="191"/>
      <x:c r="B296" s="191"/>
      <x:c r="C296" s="191"/>
      <x:c r="D296" s="191"/>
      <x:c r="E296" s="191"/>
      <x:c r="F296" s="191"/>
      <x:c r="G296" s="191"/>
      <x:c r="H296" s="191"/>
      <x:c r="I296" s="191"/>
      <x:c r="J296" s="191"/>
      <x:c r="K296" s="191"/>
      <x:c r="L296" s="191"/>
      <x:c r="M296" s="191"/>
      <x:c r="N296" s="191"/>
      <x:c r="O296" s="191"/>
      <x:c r="P296" s="191"/>
      <x:c r="Q296" s="191"/>
      <x:c r="R296" s="191"/>
      <x:c r="S296" s="191"/>
      <x:c r="T296" s="191"/>
      <x:c r="U296" s="191"/>
      <x:c r="V296" s="191"/>
      <x:c r="W296" s="191"/>
      <x:c r="X296" s="191"/>
      <x:c r="Y296" s="191"/>
      <x:c r="Z296" s="191"/>
      <x:c r="AA296" s="191"/>
      <x:c r="AB296" s="191"/>
      <x:c r="AC296" s="191"/>
      <x:c r="AD296" s="191"/>
      <x:c r="AE296" s="191"/>
      <x:c r="AF296" s="191"/>
      <x:c r="AG296" s="191"/>
      <x:c r="AH296" s="191"/>
      <x:c r="AI296" s="191"/>
      <x:c r="AJ296" s="191"/>
      <x:c r="AK296" s="191"/>
    </x:row>
    <x:row r="297">
      <x:c r="A297" s="191"/>
      <x:c r="B297" s="191"/>
      <x:c r="C297" s="191"/>
      <x:c r="D297" s="191"/>
      <x:c r="E297" s="191"/>
      <x:c r="F297" s="191"/>
      <x:c r="G297" s="191"/>
      <x:c r="H297" s="191"/>
      <x:c r="I297" s="191"/>
      <x:c r="J297" s="191"/>
      <x:c r="K297" s="191"/>
      <x:c r="L297" s="191"/>
      <x:c r="M297" s="191"/>
      <x:c r="N297" s="191"/>
      <x:c r="O297" s="191"/>
      <x:c r="P297" s="191"/>
      <x:c r="Q297" s="191"/>
      <x:c r="R297" s="191"/>
      <x:c r="S297" s="191"/>
      <x:c r="T297" s="191"/>
      <x:c r="U297" s="191"/>
      <x:c r="V297" s="191"/>
      <x:c r="W297" s="191"/>
      <x:c r="X297" s="191"/>
      <x:c r="Y297" s="191"/>
      <x:c r="Z297" s="191"/>
      <x:c r="AA297" s="191"/>
      <x:c r="AB297" s="191"/>
      <x:c r="AC297" s="191"/>
      <x:c r="AD297" s="191"/>
      <x:c r="AE297" s="191"/>
      <x:c r="AF297" s="191"/>
      <x:c r="AG297" s="191"/>
      <x:c r="AH297" s="191"/>
      <x:c r="AI297" s="191"/>
      <x:c r="AJ297" s="191"/>
      <x:c r="AK297" s="191"/>
    </x:row>
    <x:row r="298">
      <x:c r="A298" s="191"/>
      <x:c r="B298" s="191"/>
      <x:c r="C298" s="191"/>
      <x:c r="D298" s="191"/>
      <x:c r="E298" s="191"/>
      <x:c r="F298" s="191"/>
      <x:c r="G298" s="191"/>
      <x:c r="H298" s="191"/>
      <x:c r="I298" s="191"/>
      <x:c r="J298" s="191"/>
      <x:c r="K298" s="191"/>
      <x:c r="L298" s="191"/>
      <x:c r="M298" s="191"/>
      <x:c r="N298" s="191"/>
      <x:c r="O298" s="191"/>
      <x:c r="P298" s="191"/>
      <x:c r="Q298" s="191"/>
      <x:c r="R298" s="191"/>
      <x:c r="S298" s="191"/>
      <x:c r="T298" s="191"/>
      <x:c r="U298" s="191"/>
      <x:c r="V298" s="191"/>
      <x:c r="W298" s="191"/>
      <x:c r="X298" s="191"/>
      <x:c r="Y298" s="191"/>
      <x:c r="Z298" s="191"/>
      <x:c r="AA298" s="191"/>
      <x:c r="AB298" s="191"/>
      <x:c r="AC298" s="191"/>
      <x:c r="AD298" s="191"/>
      <x:c r="AE298" s="191"/>
      <x:c r="AF298" s="191"/>
      <x:c r="AG298" s="191"/>
      <x:c r="AH298" s="191"/>
      <x:c r="AI298" s="191"/>
      <x:c r="AJ298" s="191"/>
      <x:c r="AK298" s="191"/>
    </x:row>
    <x:row r="299">
      <x:c r="A299" s="191"/>
      <x:c r="B299" s="191"/>
      <x:c r="C299" s="191"/>
      <x:c r="D299" s="191"/>
      <x:c r="E299" s="191"/>
      <x:c r="F299" s="191"/>
      <x:c r="G299" s="191"/>
      <x:c r="H299" s="191"/>
      <x:c r="I299" s="191"/>
      <x:c r="J299" s="191"/>
      <x:c r="K299" s="191"/>
      <x:c r="L299" s="191"/>
      <x:c r="M299" s="191"/>
      <x:c r="N299" s="191"/>
      <x:c r="O299" s="191"/>
      <x:c r="P299" s="191"/>
      <x:c r="Q299" s="191"/>
      <x:c r="R299" s="191"/>
      <x:c r="S299" s="191"/>
      <x:c r="T299" s="191"/>
      <x:c r="U299" s="191"/>
      <x:c r="V299" s="191"/>
      <x:c r="W299" s="191"/>
      <x:c r="X299" s="191"/>
      <x:c r="Y299" s="191"/>
      <x:c r="Z299" s="191"/>
      <x:c r="AA299" s="191"/>
      <x:c r="AB299" s="191"/>
      <x:c r="AC299" s="191"/>
      <x:c r="AD299" s="191"/>
      <x:c r="AE299" s="191"/>
      <x:c r="AF299" s="191"/>
      <x:c r="AG299" s="191"/>
      <x:c r="AH299" s="191"/>
      <x:c r="AI299" s="191"/>
      <x:c r="AJ299" s="191"/>
      <x:c r="AK299" s="191"/>
    </x:row>
    <x:row r="300">
      <x:c r="A300" s="191"/>
      <x:c r="B300" s="191"/>
      <x:c r="C300" s="191"/>
      <x:c r="D300" s="191"/>
      <x:c r="E300" s="191"/>
      <x:c r="F300" s="191"/>
      <x:c r="G300" s="191"/>
      <x:c r="H300" s="191"/>
      <x:c r="I300" s="191"/>
      <x:c r="J300" s="191"/>
      <x:c r="K300" s="191"/>
      <x:c r="L300" s="191"/>
      <x:c r="M300" s="191"/>
      <x:c r="N300" s="191"/>
      <x:c r="O300" s="191"/>
      <x:c r="P300" s="191"/>
      <x:c r="Q300" s="191"/>
      <x:c r="R300" s="191"/>
      <x:c r="S300" s="191"/>
      <x:c r="T300" s="191"/>
      <x:c r="U300" s="191"/>
      <x:c r="V300" s="191"/>
      <x:c r="W300" s="191"/>
      <x:c r="X300" s="191"/>
      <x:c r="Y300" s="191"/>
      <x:c r="Z300" s="191"/>
      <x:c r="AA300" s="191"/>
      <x:c r="AB300" s="191"/>
      <x:c r="AC300" s="191"/>
      <x:c r="AD300" s="191"/>
      <x:c r="AE300" s="191"/>
      <x:c r="AF300" s="191"/>
      <x:c r="AG300" s="191"/>
      <x:c r="AH300" s="191"/>
      <x:c r="AI300" s="191"/>
      <x:c r="AJ300" s="191"/>
      <x:c r="AK300" s="191"/>
    </x:row>
  </x:sheetData>
  <x:mergeCells>
    <x:mergeCell ref="A1:D1"/>
    <x:mergeCell ref="A9:D13"/>
  </x:mergeCells>
  <x:pageMargins left="0.7" right="0.7" top="0.75" bottom="0.75" header="0.3" footer="0.3"/>
</x:worksheet>
</file>